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hultz43\Desktop\C3143 Ecosystem modeling of Mesocosms\To Waterborne\Effect Calibration Final\"/>
    </mc:Choice>
  </mc:AlternateContent>
  <xr:revisionPtr revIDLastSave="0" documentId="13_ncr:1_{71A35158-50B2-434A-A45F-2C3C7456E8CC}" xr6:coauthVersionLast="47" xr6:coauthVersionMax="47" xr10:uidLastSave="{00000000-0000-0000-0000-000000000000}"/>
  <bookViews>
    <workbookView xWindow="-57720" yWindow="-120" windowWidth="29040" windowHeight="15360" firstSheet="2" activeTab="2" xr2:uid="{D6307FC1-56E5-4FFB-9BD9-3284609FB3FE}"/>
  </bookViews>
  <sheets>
    <sheet name="Info" sheetId="1" r:id="rId1"/>
    <sheet name="Phytoplankton" sheetId="2" r:id="rId2"/>
    <sheet name="Copepoda predatory" sheetId="3" r:id="rId3"/>
    <sheet name="Rotifera herbivorous 2" sheetId="4" r:id="rId4"/>
    <sheet name="Cladocera small" sheetId="5" r:id="rId5"/>
    <sheet name="Daphnidae" sheetId="6" r:id="rId6"/>
    <sheet name="Fina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7" l="1"/>
  <c r="B8" i="7"/>
  <c r="C7" i="7"/>
  <c r="B7" i="7"/>
  <c r="C6" i="7"/>
  <c r="B6" i="7"/>
  <c r="C5" i="7"/>
  <c r="B5" i="7"/>
  <c r="C4" i="7"/>
  <c r="B4" i="7"/>
  <c r="C3" i="7"/>
  <c r="B3" i="7"/>
  <c r="C13" i="2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O13" i="2"/>
  <c r="N13" i="2"/>
  <c r="M13" i="2"/>
  <c r="L13" i="2"/>
  <c r="K13" i="2"/>
  <c r="J13" i="2"/>
  <c r="I13" i="2"/>
  <c r="H13" i="2"/>
  <c r="G13" i="2"/>
  <c r="F13" i="2"/>
  <c r="E13" i="2"/>
  <c r="D13" i="2"/>
  <c r="B13" i="2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D3" i="7" l="1"/>
  <c r="D8" i="7"/>
  <c r="D7" i="7"/>
  <c r="D6" i="7"/>
  <c r="D5" i="7"/>
  <c r="D4" i="7"/>
</calcChain>
</file>

<file path=xl/sharedStrings.xml><?xml version="1.0" encoding="utf-8"?>
<sst xmlns="http://schemas.openxmlformats.org/spreadsheetml/2006/main" count="312" uniqueCount="88">
  <si>
    <t>CRITERIA TO ANALYZE MODEL OUTPUTS WHEN SIMULATING EFFECTS</t>
  </si>
  <si>
    <t>Ecosystem modeling of mesocosm studies: Azoxystrobin effect calibration criteria</t>
  </si>
  <si>
    <t>Date: May 3 2022</t>
  </si>
  <si>
    <t>Prepared by: Chiara Accolla, Farah Abi-Akar, Amelie Schmolke</t>
  </si>
  <si>
    <r>
      <t xml:space="preserve">The following sheets in this file provide the numerical effect criteria for relevant,treatment-related effects and templates for the reporting of the effect calibration outcomes. The following points summarize the steps for presentation of the simulated effects. </t>
    </r>
    <r>
      <rPr>
        <b/>
        <sz val="11"/>
        <color rgb="FFFF0000"/>
        <rFont val="Calibri"/>
        <family val="2"/>
        <scheme val="minor"/>
      </rPr>
      <t>Relevant, treatment-related effects that apply to consensus species groups were only observed in the highest treatment level (33 µg ai/L) applied in the 2019 AZT mesocsom study and thus, all criteria listed apply to this treatment level only.</t>
    </r>
    <r>
      <rPr>
        <sz val="11"/>
        <color theme="1"/>
        <rFont val="Calibri"/>
        <family val="2"/>
        <scheme val="minor"/>
      </rPr>
      <t xml:space="preserve"> Please refer to the accompanying document "</t>
    </r>
    <r>
      <rPr>
        <b/>
        <sz val="11"/>
        <color theme="1"/>
        <rFont val="Calibri"/>
        <family val="2"/>
        <scheme val="minor"/>
      </rPr>
      <t>AZT_effect_criteria_June2022.docx</t>
    </r>
    <r>
      <rPr>
        <sz val="11"/>
        <color theme="1"/>
        <rFont val="Calibri"/>
        <family val="2"/>
        <scheme val="minor"/>
      </rPr>
      <t xml:space="preserve">" for details.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 (see Section II. in the accompanying document). </t>
    </r>
  </si>
  <si>
    <t>Instructions:  In each tab, fill in the effect size percentage and ME in the rows under "Model Output"  (e.g., in sheet "Phytoplankton", cells B12:O12 and B13:O13)</t>
  </si>
  <si>
    <t>****</t>
  </si>
  <si>
    <t>1) The effect direction needs to be captured (increase or decrease of chlorophyll-a/abundance)</t>
  </si>
  <si>
    <r>
      <t xml:space="preserve">2) The effect size, i.e., the </t>
    </r>
    <r>
      <rPr>
        <u/>
        <sz val="11"/>
        <color theme="1"/>
        <rFont val="Calibri"/>
        <family val="2"/>
        <scheme val="minor"/>
      </rPr>
      <t>relative difference between simulated treatment (%) and simulated control (%) (absolute value),</t>
    </r>
    <r>
      <rPr>
        <sz val="11"/>
        <color theme="1"/>
        <rFont val="Calibri"/>
        <family val="2"/>
        <scheme val="minor"/>
      </rPr>
      <t xml:space="preserve">  must be at least as large as the day-specific %MDD when effects have been observed (table cells with yellow shading).</t>
    </r>
  </si>
  <si>
    <r>
      <t xml:space="preserve">3) The effect size, i.e., the </t>
    </r>
    <r>
      <rPr>
        <u/>
        <sz val="11"/>
        <color theme="1"/>
        <rFont val="Calibri"/>
        <family val="2"/>
        <scheme val="minor"/>
      </rPr>
      <t>relative difference between simulated treatment (%) and simulated control (%) (absolute value)</t>
    </r>
    <r>
      <rPr>
        <sz val="11"/>
        <color theme="1"/>
        <rFont val="Calibri"/>
        <family val="2"/>
        <scheme val="minor"/>
      </rPr>
      <t>,  must be smaller than the day-specific %MDD when there are no observed effects.</t>
    </r>
  </si>
  <si>
    <t>4) If a clear recovery was identified, model should capture it (table cells with blue shading). Recovery is defined by a 20% threshold: effect size must be less than 20% in absolute value.</t>
  </si>
  <si>
    <t>5) The Mean Error (ME), i.e., difference (absolute value) between simulated and observed  % effect size is calculated for each sampling day (after first application) as indicated in the tables.</t>
  </si>
  <si>
    <t>Model results need to be discussed whenever they fail to meet the criteria.</t>
  </si>
  <si>
    <r>
      <t>For the species groups with relevant, treatment-related effects, the number of false negatives (abs(%effect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>) &lt; %MDD in yellow cells) and false positives (abs(%effect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Calibri"/>
        <family val="2"/>
      </rPr>
      <t xml:space="preserve">≥ %MDD in white cells) </t>
    </r>
    <r>
      <rPr>
        <sz val="11"/>
        <color theme="1"/>
        <rFont val="Calibri"/>
        <family val="2"/>
        <scheme val="minor"/>
      </rPr>
      <t>should be reported in the sheet "Final"</t>
    </r>
  </si>
  <si>
    <t>Yellow cases show when relevant treatment-related effects were found in the mesocosm experiment. -&gt; simulated effect-size &gt;= MDD</t>
  </si>
  <si>
    <t>Blue cases show when recovery must happen in the simulation. -&gt; simulated effect-size &lt; 20 %</t>
  </si>
  <si>
    <t>Values in gray cells do not need to be compared to the corresponding MDD value, but effect-size values are required for the ME calculation</t>
  </si>
  <si>
    <t>White cases show when NO relevant treatment-related effects were found -&gt; simulated effect-size &lt; MDD</t>
  </si>
  <si>
    <t xml:space="preserve">ME: Mean Error, calculated as the absolute value of the difference between % simulated effect size and % observed effect size for each observation date. </t>
  </si>
  <si>
    <t>Species group</t>
  </si>
  <si>
    <t>Diatoms (3A)</t>
  </si>
  <si>
    <t>Mesocosm effect study</t>
  </si>
  <si>
    <t>Date</t>
  </si>
  <si>
    <t>Day after first application</t>
  </si>
  <si>
    <t>day 1</t>
  </si>
  <si>
    <t>day 5</t>
  </si>
  <si>
    <t>day 9</t>
  </si>
  <si>
    <t>day 14</t>
  </si>
  <si>
    <t>day 21</t>
  </si>
  <si>
    <t>day 27</t>
  </si>
  <si>
    <t>day 35</t>
  </si>
  <si>
    <t>day 42</t>
  </si>
  <si>
    <t>day 49</t>
  </si>
  <si>
    <t>day 55</t>
  </si>
  <si>
    <t>day 63</t>
  </si>
  <si>
    <t>day 69</t>
  </si>
  <si>
    <t>day 76</t>
  </si>
  <si>
    <t>day 83</t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</si>
  <si>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DECREASE</t>
    </r>
    <r>
      <rPr>
        <sz val="11"/>
        <color theme="1"/>
        <rFont val="Calibri"/>
        <family val="2"/>
        <scheme val="minor"/>
      </rPr>
      <t xml:space="preserve"> in chlorophyll-a</t>
    </r>
  </si>
  <si>
    <t>MDD [%]</t>
  </si>
  <si>
    <t>Observed effect size [%]</t>
  </si>
  <si>
    <t>Model output</t>
  </si>
  <si>
    <r>
      <rPr>
        <b/>
        <sz val="11"/>
        <rFont val="Calibri"/>
        <family val="2"/>
        <scheme val="minor"/>
      </rPr>
      <t>Effect</t>
    </r>
    <r>
      <rPr>
        <sz val="11"/>
        <rFont val="Calibri"/>
        <family val="2"/>
        <scheme val="minor"/>
      </rPr>
      <t xml:space="preserve">: </t>
    </r>
    <r>
      <rPr>
        <u/>
        <sz val="11"/>
        <rFont val="Calibri"/>
        <family val="2"/>
        <scheme val="minor"/>
      </rPr>
      <t>INCREASE</t>
    </r>
    <r>
      <rPr>
        <sz val="11"/>
        <rFont val="Calibri"/>
        <family val="2"/>
        <scheme val="minor"/>
      </rPr>
      <t xml:space="preserve"> in chlorophyll-a</t>
    </r>
  </si>
  <si>
    <t>FN</t>
  </si>
  <si>
    <t>FP</t>
  </si>
  <si>
    <t>Simulated effect size  [%]</t>
  </si>
  <si>
    <t>ME</t>
  </si>
  <si>
    <t>Cryptophytes (3A)</t>
  </si>
  <si>
    <t>Effect: DECREASE in chlorophyll-a</t>
  </si>
  <si>
    <t>MDD  [%]</t>
  </si>
  <si>
    <t>Simulated effect size [%]</t>
  </si>
  <si>
    <t>**** NOTE</t>
  </si>
  <si>
    <r>
      <t>You have to fill this table (and the table in the next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</si>
  <si>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Copepodit + adults (5B)</t>
  </si>
  <si>
    <t>day 7</t>
  </si>
  <si>
    <t>day 15</t>
  </si>
  <si>
    <t>day 22</t>
  </si>
  <si>
    <t>day 29</t>
  </si>
  <si>
    <t>day 36</t>
  </si>
  <si>
    <t>day 43</t>
  </si>
  <si>
    <t>day 50</t>
  </si>
  <si>
    <t>day 57</t>
  </si>
  <si>
    <t>day 64</t>
  </si>
  <si>
    <t>day 71</t>
  </si>
  <si>
    <t>day 77</t>
  </si>
  <si>
    <t>day 85</t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</si>
  <si>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DECREASE</t>
    </r>
    <r>
      <rPr>
        <sz val="11"/>
        <color theme="1"/>
        <rFont val="Calibri"/>
        <family val="2"/>
        <scheme val="minor"/>
      </rPr>
      <t xml:space="preserve"> in abundance</t>
    </r>
  </si>
  <si>
    <t>Sum Rotatoria (5B+)</t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</si>
  <si>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INCREASE</t>
    </r>
    <r>
      <rPr>
        <sz val="11"/>
        <color theme="1"/>
        <rFont val="Calibri"/>
        <family val="2"/>
        <scheme val="minor"/>
      </rPr>
      <t xml:space="preserve"> in abundance</t>
    </r>
  </si>
  <si>
    <r>
      <rPr>
        <b/>
        <i/>
        <sz val="11"/>
        <color theme="1"/>
        <rFont val="Calibri"/>
        <family val="2"/>
        <scheme val="minor"/>
      </rPr>
      <t>Chydorus sphaericus</t>
    </r>
    <r>
      <rPr>
        <b/>
        <sz val="11"/>
        <color theme="1"/>
        <rFont val="Calibri"/>
        <family val="2"/>
        <scheme val="minor"/>
      </rPr>
      <t xml:space="preserve"> (3A+)</t>
    </r>
  </si>
  <si>
    <r>
      <rPr>
        <b/>
        <i/>
        <sz val="11"/>
        <color theme="1"/>
        <rFont val="Calibri"/>
        <family val="2"/>
        <scheme val="minor"/>
      </rPr>
      <t xml:space="preserve">Daphnia sp. </t>
    </r>
    <r>
      <rPr>
        <b/>
        <sz val="11"/>
        <color theme="1"/>
        <rFont val="Calibri"/>
        <family val="2"/>
        <scheme val="minor"/>
      </rPr>
      <t>(3A)</t>
    </r>
  </si>
  <si>
    <t>Summary of model performance relative to effect criteria</t>
  </si>
  <si>
    <t>False negatives</t>
  </si>
  <si>
    <t>False positives</t>
  </si>
  <si>
    <t>Avg. ME</t>
  </si>
  <si>
    <t>Definitions</t>
  </si>
  <si>
    <t>Phytoplankton- Diatoms</t>
  </si>
  <si>
    <t xml:space="preserve">False negatives: </t>
  </si>
  <si>
    <r>
      <t>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 xml:space="preserve">) &lt; %MDD on sampling dates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treatment-related effects observed in the 2019 AZT mesocoms study (yellow cells)</t>
    </r>
  </si>
  <si>
    <t>Phytoplankton- Cryptophytes</t>
  </si>
  <si>
    <t xml:space="preserve">False positives: </t>
  </si>
  <si>
    <r>
      <t xml:space="preserve">abs(%effectsim) ≥ %MDD on sampling dates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treatment-related effects observed in the 2019 AZT mesocoms study (white cells)</t>
    </r>
  </si>
  <si>
    <t>Copepoda predatory</t>
  </si>
  <si>
    <t>Rotifera herbivorous 2</t>
  </si>
  <si>
    <t>Avg. ME:</t>
  </si>
  <si>
    <t>Average of ME values comparing observed and simulated % effect sizes calculated for each sampling date</t>
  </si>
  <si>
    <t>Cladocera small</t>
  </si>
  <si>
    <t>Daphnidae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</si>
</sst>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9" fillId="7" borderId="0" applyNumberFormat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2" xfId="0" applyBorder="1"/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/>
    <xf numFmtId="0" fontId="11" fillId="3" borderId="1" xfId="0" applyFont="1" applyFill="1" applyBorder="1"/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0" fontId="12" fillId="0" borderId="0" xfId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09DA-28BA-440B-8F0A-AF8BC4F620D1}">
  <dimension ref="A1:O55"/>
  <sheetViews>
    <sheetView topLeftCell="A4" workbookViewId="0">
      <selection activeCell="B23" sqref="B23"/>
    </sheetView>
  </sheetViews>
  <sheetFormatPr defaultRowHeight="15"/>
  <cols>
    <col min="1" max="1" width="9.140625" style="3"/>
    <col min="2" max="2" width="200.42578125" customWidth="1"/>
    <col min="4" max="4" width="11" customWidth="1"/>
  </cols>
  <sheetData>
    <row r="1" spans="1:7" ht="27.95" customHeight="1">
      <c r="A1" s="64" t="s">
        <v>0</v>
      </c>
      <c r="B1" s="65"/>
      <c r="C1" s="65"/>
      <c r="D1" s="65"/>
      <c r="E1" s="65"/>
      <c r="F1" s="65"/>
      <c r="G1" s="66"/>
    </row>
    <row r="2" spans="1:7" ht="27.95" customHeight="1">
      <c r="A2" s="4"/>
      <c r="B2" s="4"/>
      <c r="C2" s="4"/>
      <c r="D2" s="4"/>
      <c r="E2" s="4"/>
      <c r="F2" s="4"/>
      <c r="G2" s="4"/>
    </row>
    <row r="3" spans="1:7" ht="27.95" customHeight="1">
      <c r="A3" s="16" t="s">
        <v>1</v>
      </c>
      <c r="B3" s="4"/>
      <c r="C3" s="4"/>
      <c r="D3" s="4"/>
      <c r="E3" s="4"/>
      <c r="F3" s="4"/>
      <c r="G3" s="4"/>
    </row>
    <row r="4" spans="1:7" ht="27.95" customHeight="1">
      <c r="A4" s="16" t="s">
        <v>2</v>
      </c>
      <c r="B4" s="4"/>
      <c r="C4" s="4"/>
      <c r="D4" s="4"/>
      <c r="E4" s="4"/>
      <c r="F4" s="4"/>
      <c r="G4" s="4"/>
    </row>
    <row r="5" spans="1:7" ht="27.95" customHeight="1">
      <c r="A5" s="16" t="s">
        <v>3</v>
      </c>
      <c r="B5" s="4"/>
      <c r="C5" s="4"/>
      <c r="D5" s="4"/>
      <c r="E5" s="4"/>
      <c r="F5" s="4"/>
      <c r="G5" s="4"/>
    </row>
    <row r="6" spans="1:7" ht="66" customHeight="1">
      <c r="B6" s="17" t="s">
        <v>4</v>
      </c>
      <c r="C6" s="18"/>
      <c r="D6" s="19"/>
      <c r="E6" s="4"/>
      <c r="F6" s="4"/>
      <c r="G6" s="4"/>
    </row>
    <row r="7" spans="1:7" ht="39" customHeight="1">
      <c r="B7" s="17" t="s">
        <v>5</v>
      </c>
      <c r="C7" s="4"/>
      <c r="D7" s="4"/>
      <c r="E7" s="4"/>
      <c r="F7" s="4"/>
      <c r="G7" s="4"/>
    </row>
    <row r="8" spans="1:7" ht="27.95" customHeight="1">
      <c r="A8" s="4"/>
      <c r="B8" s="4"/>
      <c r="C8" s="4"/>
      <c r="D8" s="4"/>
      <c r="E8" s="4"/>
      <c r="F8" s="4"/>
      <c r="G8" s="4"/>
    </row>
    <row r="9" spans="1:7">
      <c r="A9" s="3" t="s">
        <v>6</v>
      </c>
      <c r="B9" t="s">
        <v>7</v>
      </c>
    </row>
    <row r="10" spans="1:7">
      <c r="A10" t="s">
        <v>6</v>
      </c>
      <c r="B10" t="s">
        <v>8</v>
      </c>
    </row>
    <row r="11" spans="1:7">
      <c r="A11" t="s">
        <v>6</v>
      </c>
      <c r="B11" t="s">
        <v>9</v>
      </c>
    </row>
    <row r="12" spans="1:7">
      <c r="A12" t="s">
        <v>6</v>
      </c>
      <c r="B12" t="s">
        <v>10</v>
      </c>
    </row>
    <row r="13" spans="1:7">
      <c r="A13" t="s">
        <v>6</v>
      </c>
      <c r="B13" t="s">
        <v>11</v>
      </c>
    </row>
    <row r="14" spans="1:7">
      <c r="A14"/>
    </row>
    <row r="15" spans="1:7">
      <c r="A15" t="s">
        <v>6</v>
      </c>
      <c r="B15" t="s">
        <v>12</v>
      </c>
    </row>
    <row r="16" spans="1:7" ht="33">
      <c r="A16" t="s">
        <v>6</v>
      </c>
      <c r="B16" s="22" t="s">
        <v>13</v>
      </c>
    </row>
    <row r="17" spans="1:15">
      <c r="A17"/>
    </row>
    <row r="18" spans="1:15">
      <c r="A18" s="3" t="s">
        <v>6</v>
      </c>
      <c r="B18" s="37" t="s">
        <v>14</v>
      </c>
    </row>
    <row r="19" spans="1:15">
      <c r="A19" t="s">
        <v>6</v>
      </c>
      <c r="B19" s="55" t="s">
        <v>15</v>
      </c>
    </row>
    <row r="20" spans="1:15">
      <c r="A20" t="s">
        <v>6</v>
      </c>
      <c r="B20" s="38" t="s">
        <v>16</v>
      </c>
    </row>
    <row r="21" spans="1:15">
      <c r="A21" s="3" t="s">
        <v>6</v>
      </c>
      <c r="B21" s="6" t="s">
        <v>17</v>
      </c>
    </row>
    <row r="22" spans="1:15">
      <c r="A22" s="3" t="s">
        <v>6</v>
      </c>
      <c r="B22" s="6" t="s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C23" s="1"/>
    </row>
    <row r="24" spans="1:15">
      <c r="B24" s="1"/>
      <c r="C24" s="1"/>
      <c r="D24" s="1"/>
    </row>
    <row r="25" spans="1:15">
      <c r="A25"/>
      <c r="B25" s="1"/>
      <c r="C25" s="1"/>
      <c r="D25" s="1"/>
    </row>
    <row r="28" spans="1:15">
      <c r="C28" s="1"/>
    </row>
    <row r="29" spans="1:15">
      <c r="B29" s="1"/>
      <c r="C29" s="1"/>
      <c r="D29" s="1"/>
      <c r="E29" s="1"/>
      <c r="F29" s="1"/>
      <c r="G29" s="1"/>
      <c r="H29" s="1"/>
    </row>
    <row r="30" spans="1:15">
      <c r="A30"/>
      <c r="B30" s="1"/>
      <c r="C30" s="1"/>
      <c r="D30" s="1"/>
      <c r="E30" s="1"/>
      <c r="F30" s="1"/>
      <c r="G30" s="1"/>
      <c r="H30" s="1"/>
    </row>
    <row r="33" spans="1:1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1:15">
      <c r="C34" s="1"/>
    </row>
    <row r="35" spans="1:15">
      <c r="A35" s="4"/>
      <c r="B35" s="12"/>
      <c r="C35" s="12"/>
      <c r="D35" s="12"/>
    </row>
    <row r="36" spans="1:15">
      <c r="A36" s="12"/>
      <c r="B36" s="12"/>
      <c r="C36" s="12"/>
      <c r="D36" s="12"/>
    </row>
    <row r="40" spans="1:15">
      <c r="C40" s="1"/>
    </row>
    <row r="41" spans="1:15">
      <c r="B41" s="1"/>
      <c r="C41" s="1"/>
      <c r="D41" s="1"/>
    </row>
    <row r="42" spans="1:15">
      <c r="A42"/>
      <c r="B42" s="1"/>
      <c r="C42" s="1"/>
      <c r="D42" s="1"/>
    </row>
    <row r="44" spans="1:15">
      <c r="C44" s="1"/>
    </row>
    <row r="45" spans="1:15">
      <c r="B45" s="1"/>
      <c r="C45" s="1"/>
    </row>
    <row r="46" spans="1:15">
      <c r="A46"/>
      <c r="B46" s="1"/>
      <c r="C46" s="1"/>
    </row>
    <row r="48" spans="1:15">
      <c r="C48" s="1"/>
    </row>
    <row r="49" spans="1:5">
      <c r="B49" s="1"/>
      <c r="C49" s="1"/>
      <c r="D49" s="1"/>
    </row>
    <row r="50" spans="1:5">
      <c r="A50"/>
      <c r="B50" s="1"/>
      <c r="C50" s="1"/>
      <c r="D50" s="1"/>
    </row>
    <row r="52" spans="1:5">
      <c r="C52" s="1"/>
    </row>
    <row r="53" spans="1:5">
      <c r="B53" s="1"/>
      <c r="C53" s="1"/>
      <c r="D53" s="1"/>
      <c r="E53" s="1"/>
    </row>
    <row r="54" spans="1:5">
      <c r="A54"/>
      <c r="B54" s="1"/>
      <c r="C54" s="1"/>
      <c r="D54" s="1"/>
      <c r="E54" s="1"/>
    </row>
    <row r="55" spans="1:5">
      <c r="A55"/>
      <c r="B55" s="1"/>
      <c r="C55" s="1"/>
      <c r="D55" s="1"/>
      <c r="E55" s="1"/>
    </row>
  </sheetData>
  <mergeCells count="2">
    <mergeCell ref="A33:O33"/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9DBD-3F56-4320-80EA-B5DBDB2DF94E}">
  <dimension ref="A1:V35"/>
  <sheetViews>
    <sheetView topLeftCell="A7" zoomScale="90" zoomScaleNormal="90" workbookViewId="0">
      <selection activeCell="E26" sqref="E26"/>
    </sheetView>
  </sheetViews>
  <sheetFormatPr defaultRowHeight="15"/>
  <cols>
    <col min="1" max="1" width="18.7109375" style="22" customWidth="1"/>
    <col min="2" max="15" width="10.7109375" customWidth="1"/>
  </cols>
  <sheetData>
    <row r="1" spans="1:22" ht="15.75" thickBot="1">
      <c r="A1" s="47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R1" s="9"/>
      <c r="S1" s="9"/>
      <c r="T1" s="9"/>
      <c r="U1" s="9"/>
      <c r="V1" s="9"/>
    </row>
    <row r="2" spans="1:22" ht="27.95" customHeight="1" thickBot="1">
      <c r="A2" s="10" t="s">
        <v>19</v>
      </c>
      <c r="P2" s="8"/>
      <c r="Q2" s="7"/>
      <c r="R2" s="7"/>
      <c r="S2" s="7"/>
      <c r="T2" s="7"/>
      <c r="U2" s="7"/>
      <c r="V2" s="7"/>
    </row>
    <row r="3" spans="1:22" ht="27.95" customHeight="1" thickBot="1">
      <c r="A3" s="48" t="s">
        <v>20</v>
      </c>
      <c r="B3" s="70" t="s">
        <v>21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2"/>
    </row>
    <row r="4" spans="1:22" ht="30" customHeight="1">
      <c r="A4" s="13" t="s">
        <v>22</v>
      </c>
      <c r="B4" s="15">
        <v>43630</v>
      </c>
      <c r="C4" s="15">
        <v>43634</v>
      </c>
      <c r="D4" s="15">
        <v>43638</v>
      </c>
      <c r="E4" s="15">
        <v>43643</v>
      </c>
      <c r="F4" s="15">
        <v>43650</v>
      </c>
      <c r="G4" s="15">
        <v>43656</v>
      </c>
      <c r="H4" s="15">
        <v>43664</v>
      </c>
      <c r="I4" s="15">
        <v>43671</v>
      </c>
      <c r="J4" s="15">
        <v>43678</v>
      </c>
      <c r="K4" s="15">
        <v>43684</v>
      </c>
      <c r="L4" s="15">
        <v>43692</v>
      </c>
      <c r="M4" s="15">
        <v>43698</v>
      </c>
      <c r="N4" s="15">
        <v>43705</v>
      </c>
      <c r="O4" s="15">
        <v>43712</v>
      </c>
    </row>
    <row r="5" spans="1:22" ht="30" customHeight="1">
      <c r="A5" s="13" t="s">
        <v>23</v>
      </c>
      <c r="B5" s="29" t="s">
        <v>24</v>
      </c>
      <c r="C5" s="29" t="s">
        <v>25</v>
      </c>
      <c r="D5" s="29" t="s">
        <v>26</v>
      </c>
      <c r="E5" s="29" t="s">
        <v>27</v>
      </c>
      <c r="F5" s="29" t="s">
        <v>28</v>
      </c>
      <c r="G5" s="29" t="s">
        <v>29</v>
      </c>
      <c r="H5" s="29" t="s">
        <v>30</v>
      </c>
      <c r="I5" s="29" t="s">
        <v>31</v>
      </c>
      <c r="J5" s="29" t="s">
        <v>32</v>
      </c>
      <c r="K5" s="29" t="s">
        <v>33</v>
      </c>
      <c r="L5" s="30" t="s">
        <v>34</v>
      </c>
      <c r="M5" s="31" t="s">
        <v>35</v>
      </c>
      <c r="N5" s="30" t="s">
        <v>36</v>
      </c>
      <c r="O5" s="29" t="s">
        <v>37</v>
      </c>
      <c r="Q5" s="73" t="s">
        <v>38</v>
      </c>
      <c r="R5" s="74"/>
      <c r="S5" s="74"/>
      <c r="T5" s="75"/>
    </row>
    <row r="6" spans="1:22" ht="30" customHeight="1">
      <c r="A6" s="49" t="s">
        <v>39</v>
      </c>
      <c r="B6" s="2">
        <v>48</v>
      </c>
      <c r="C6" s="2">
        <v>37</v>
      </c>
      <c r="D6" s="2">
        <v>32</v>
      </c>
      <c r="E6" s="2">
        <v>29</v>
      </c>
      <c r="F6" s="2">
        <v>44</v>
      </c>
      <c r="G6" s="2">
        <v>45</v>
      </c>
      <c r="H6" s="2">
        <v>47</v>
      </c>
      <c r="I6" s="2">
        <v>47</v>
      </c>
      <c r="J6" s="2">
        <v>49</v>
      </c>
      <c r="K6" s="2">
        <v>50</v>
      </c>
      <c r="L6" s="2">
        <v>57</v>
      </c>
      <c r="M6" s="28">
        <v>55</v>
      </c>
      <c r="N6" s="2">
        <v>53</v>
      </c>
      <c r="O6" s="2">
        <v>56</v>
      </c>
    </row>
    <row r="7" spans="1:22" ht="30" customHeight="1">
      <c r="A7" s="41" t="s">
        <v>40</v>
      </c>
      <c r="B7" s="2">
        <v>91</v>
      </c>
      <c r="C7" s="2">
        <v>-3</v>
      </c>
      <c r="D7" s="2">
        <v>31</v>
      </c>
      <c r="E7" s="2">
        <v>7</v>
      </c>
      <c r="F7" s="2">
        <v>99</v>
      </c>
      <c r="G7" s="2">
        <v>94</v>
      </c>
      <c r="H7" s="2">
        <v>-4</v>
      </c>
      <c r="I7" s="2">
        <v>-38</v>
      </c>
      <c r="J7" s="2">
        <v>-32</v>
      </c>
      <c r="K7" s="2">
        <v>-39</v>
      </c>
      <c r="L7" s="2">
        <v>-60</v>
      </c>
      <c r="M7" s="28">
        <v>-2</v>
      </c>
      <c r="N7" s="2">
        <v>-45</v>
      </c>
      <c r="O7" s="2">
        <v>-24</v>
      </c>
    </row>
    <row r="8" spans="1:22" ht="15.75" thickBot="1">
      <c r="A8" s="45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22" ht="27.95" customHeight="1" thickBot="1">
      <c r="A9" s="50"/>
      <c r="B9" s="70" t="s">
        <v>41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2"/>
    </row>
    <row r="10" spans="1:22" ht="30" customHeight="1">
      <c r="A10" s="41" t="s">
        <v>22</v>
      </c>
      <c r="B10" s="14">
        <v>43630</v>
      </c>
      <c r="C10" s="14">
        <v>43634</v>
      </c>
      <c r="D10" s="14">
        <v>43638</v>
      </c>
      <c r="E10" s="14">
        <v>43643</v>
      </c>
      <c r="F10" s="14">
        <v>43650</v>
      </c>
      <c r="G10" s="14">
        <v>43656</v>
      </c>
      <c r="H10" s="14">
        <v>43664</v>
      </c>
      <c r="I10" s="14">
        <v>43671</v>
      </c>
      <c r="J10" s="14">
        <v>43678</v>
      </c>
      <c r="K10" s="14">
        <v>43684</v>
      </c>
      <c r="L10" s="14">
        <v>43692</v>
      </c>
      <c r="M10" s="14">
        <v>43698</v>
      </c>
      <c r="N10" s="14">
        <v>43705</v>
      </c>
      <c r="O10" s="15">
        <v>43712</v>
      </c>
      <c r="Q10" s="67" t="s">
        <v>42</v>
      </c>
      <c r="R10" s="68"/>
      <c r="S10" s="68"/>
      <c r="T10" s="69"/>
    </row>
    <row r="11" spans="1:22" ht="30" customHeight="1">
      <c r="A11" s="13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32</v>
      </c>
      <c r="K11" s="2" t="s">
        <v>33</v>
      </c>
      <c r="L11" s="5" t="s">
        <v>34</v>
      </c>
      <c r="M11" s="28" t="s">
        <v>35</v>
      </c>
      <c r="N11" s="5" t="s">
        <v>36</v>
      </c>
      <c r="O11" s="27" t="s">
        <v>37</v>
      </c>
      <c r="P11" s="12" t="s">
        <v>43</v>
      </c>
      <c r="Q11" s="12" t="s">
        <v>44</v>
      </c>
      <c r="R11" s="1"/>
    </row>
    <row r="12" spans="1:22" ht="30" customHeight="1">
      <c r="A12" s="41" t="s">
        <v>45</v>
      </c>
      <c r="B12" s="57">
        <v>-23.2</v>
      </c>
      <c r="C12" s="57">
        <v>-10.199999999999999</v>
      </c>
      <c r="D12" s="57">
        <v>-8.0500000000000007</v>
      </c>
      <c r="E12" s="56">
        <v>-42.5</v>
      </c>
      <c r="F12" s="57">
        <v>3.03</v>
      </c>
      <c r="G12" s="57">
        <v>33</v>
      </c>
      <c r="H12" s="57">
        <v>19.399999999999999</v>
      </c>
      <c r="I12" s="57">
        <v>-4.5</v>
      </c>
      <c r="J12" s="57">
        <v>22.5</v>
      </c>
      <c r="K12" s="57">
        <v>-3.57</v>
      </c>
      <c r="L12" s="57">
        <v>63.3</v>
      </c>
      <c r="M12" s="28">
        <v>121</v>
      </c>
      <c r="N12" s="56">
        <v>20.399999999999999</v>
      </c>
      <c r="O12" s="57">
        <v>41.5</v>
      </c>
      <c r="P12" s="61">
        <v>1</v>
      </c>
      <c r="Q12" s="62">
        <v>1</v>
      </c>
    </row>
    <row r="13" spans="1:22" ht="30" customHeight="1">
      <c r="A13" s="41" t="s">
        <v>46</v>
      </c>
      <c r="B13" s="60">
        <f>ABS(B12-B7)</f>
        <v>114.2</v>
      </c>
      <c r="C13" s="60">
        <f t="shared" ref="C13:O13" si="0">ABS(C12-C7)</f>
        <v>7.1999999999999993</v>
      </c>
      <c r="D13" s="60">
        <f t="shared" si="0"/>
        <v>39.049999999999997</v>
      </c>
      <c r="E13" s="60">
        <f t="shared" si="0"/>
        <v>49.5</v>
      </c>
      <c r="F13" s="60">
        <f t="shared" si="0"/>
        <v>95.97</v>
      </c>
      <c r="G13" s="60">
        <f t="shared" si="0"/>
        <v>61</v>
      </c>
      <c r="H13" s="60">
        <f t="shared" si="0"/>
        <v>23.4</v>
      </c>
      <c r="I13" s="60">
        <f t="shared" si="0"/>
        <v>33.5</v>
      </c>
      <c r="J13" s="60">
        <f t="shared" si="0"/>
        <v>54.5</v>
      </c>
      <c r="K13" s="60">
        <f t="shared" si="0"/>
        <v>35.43</v>
      </c>
      <c r="L13" s="60">
        <f t="shared" si="0"/>
        <v>123.3</v>
      </c>
      <c r="M13" s="60">
        <f t="shared" si="0"/>
        <v>123</v>
      </c>
      <c r="N13" s="60">
        <f t="shared" si="0"/>
        <v>65.400000000000006</v>
      </c>
      <c r="O13" s="60">
        <f t="shared" si="0"/>
        <v>65.5</v>
      </c>
    </row>
    <row r="14" spans="1:2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2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2" ht="15.75" thickBot="1"/>
    <row r="17" spans="1:22" ht="27.95" customHeight="1" thickBot="1">
      <c r="A17" s="48" t="s">
        <v>47</v>
      </c>
      <c r="B17" s="70" t="s">
        <v>21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2"/>
      <c r="P17" s="20"/>
    </row>
    <row r="18" spans="1:22" ht="30" customHeight="1">
      <c r="A18" s="13" t="s">
        <v>22</v>
      </c>
      <c r="B18" s="15">
        <v>43630</v>
      </c>
      <c r="C18" s="15">
        <v>43634</v>
      </c>
      <c r="D18" s="15">
        <v>43638</v>
      </c>
      <c r="E18" s="15">
        <v>43643</v>
      </c>
      <c r="F18" s="15">
        <v>43650</v>
      </c>
      <c r="G18" s="15">
        <v>43656</v>
      </c>
      <c r="H18" s="15">
        <v>43664</v>
      </c>
      <c r="I18" s="15">
        <v>43671</v>
      </c>
      <c r="J18" s="15">
        <v>43678</v>
      </c>
      <c r="K18" s="15">
        <v>43684</v>
      </c>
      <c r="L18" s="15">
        <v>43692</v>
      </c>
      <c r="M18" s="15">
        <v>43698</v>
      </c>
      <c r="N18" s="15">
        <v>43705</v>
      </c>
      <c r="O18" s="15">
        <v>43712</v>
      </c>
    </row>
    <row r="19" spans="1:22" ht="30" customHeight="1">
      <c r="A19" s="13" t="s">
        <v>23</v>
      </c>
      <c r="B19" s="39" t="s">
        <v>24</v>
      </c>
      <c r="C19" s="29" t="s">
        <v>25</v>
      </c>
      <c r="D19" s="29" t="s">
        <v>26</v>
      </c>
      <c r="E19" s="30" t="s">
        <v>27</v>
      </c>
      <c r="F19" s="29" t="s">
        <v>28</v>
      </c>
      <c r="G19" s="29" t="s">
        <v>29</v>
      </c>
      <c r="H19" s="29" t="s">
        <v>30</v>
      </c>
      <c r="I19" s="30" t="s">
        <v>31</v>
      </c>
      <c r="J19" s="31" t="s">
        <v>32</v>
      </c>
      <c r="K19" s="30" t="s">
        <v>33</v>
      </c>
      <c r="L19" s="29" t="s">
        <v>34</v>
      </c>
      <c r="M19" s="29" t="s">
        <v>35</v>
      </c>
      <c r="N19" s="29" t="s">
        <v>36</v>
      </c>
      <c r="O19" s="29" t="s">
        <v>37</v>
      </c>
      <c r="P19" s="1"/>
      <c r="Q19" s="73" t="s">
        <v>48</v>
      </c>
      <c r="R19" s="74"/>
      <c r="S19" s="74"/>
      <c r="T19" s="75"/>
      <c r="U19" s="1"/>
      <c r="V19" s="1"/>
    </row>
    <row r="20" spans="1:22" ht="30" customHeight="1">
      <c r="A20" s="49" t="s">
        <v>49</v>
      </c>
      <c r="B20" s="40">
        <v>48</v>
      </c>
      <c r="C20" s="2">
        <v>41</v>
      </c>
      <c r="D20" s="2">
        <v>48</v>
      </c>
      <c r="E20" s="2">
        <v>71</v>
      </c>
      <c r="F20" s="2">
        <v>92</v>
      </c>
      <c r="G20" s="2">
        <v>66</v>
      </c>
      <c r="H20" s="2">
        <v>73</v>
      </c>
      <c r="I20" s="2">
        <v>47</v>
      </c>
      <c r="J20" s="28">
        <v>85</v>
      </c>
      <c r="K20" s="2">
        <v>44</v>
      </c>
      <c r="L20" s="2">
        <v>85</v>
      </c>
      <c r="M20" s="2">
        <v>81</v>
      </c>
      <c r="N20" s="2">
        <v>86</v>
      </c>
      <c r="O20" s="2">
        <v>44</v>
      </c>
      <c r="P20" s="1"/>
      <c r="Q20" s="1"/>
      <c r="R20" s="1"/>
      <c r="S20" s="1"/>
      <c r="T20" s="1"/>
      <c r="U20" s="1"/>
    </row>
    <row r="21" spans="1:22" ht="30" customHeight="1">
      <c r="A21" s="41" t="s">
        <v>40</v>
      </c>
      <c r="B21" s="40">
        <v>126</v>
      </c>
      <c r="C21" s="2">
        <v>-26</v>
      </c>
      <c r="D21" s="2">
        <v>-17</v>
      </c>
      <c r="E21" s="2">
        <v>-74</v>
      </c>
      <c r="F21" s="2">
        <v>2</v>
      </c>
      <c r="G21" s="2">
        <v>31</v>
      </c>
      <c r="H21" s="2">
        <v>66</v>
      </c>
      <c r="I21" s="2">
        <v>-80</v>
      </c>
      <c r="J21" s="2">
        <v>-69</v>
      </c>
      <c r="K21" s="2">
        <v>-62</v>
      </c>
      <c r="L21" s="2">
        <v>-71</v>
      </c>
      <c r="M21" s="2">
        <v>-36</v>
      </c>
      <c r="N21" s="2">
        <v>-74</v>
      </c>
      <c r="O21" s="2">
        <v>-36</v>
      </c>
      <c r="P21" s="1"/>
      <c r="Q21" s="1"/>
      <c r="R21" s="1"/>
      <c r="S21" s="1"/>
      <c r="T21" s="1"/>
      <c r="U21" s="1"/>
    </row>
    <row r="22" spans="1:22" ht="15.75" thickBot="1">
      <c r="A22" s="45"/>
      <c r="B22" s="3"/>
      <c r="C22" s="3"/>
      <c r="D22" s="3"/>
      <c r="L22" s="3"/>
    </row>
    <row r="23" spans="1:22" ht="27.95" customHeight="1" thickBot="1">
      <c r="A23" s="50"/>
      <c r="B23" s="70" t="s">
        <v>41</v>
      </c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2"/>
    </row>
    <row r="24" spans="1:22" ht="30" customHeight="1">
      <c r="A24" s="41" t="s">
        <v>22</v>
      </c>
      <c r="B24" s="14">
        <v>43630</v>
      </c>
      <c r="C24" s="14">
        <v>43634</v>
      </c>
      <c r="D24" s="14">
        <v>43638</v>
      </c>
      <c r="E24" s="14">
        <v>43643</v>
      </c>
      <c r="F24" s="14">
        <v>43650</v>
      </c>
      <c r="G24" s="14">
        <v>43656</v>
      </c>
      <c r="H24" s="14">
        <v>43664</v>
      </c>
      <c r="I24" s="14">
        <v>43671</v>
      </c>
      <c r="J24" s="14">
        <v>43678</v>
      </c>
      <c r="K24" s="14">
        <v>43684</v>
      </c>
      <c r="L24" s="14">
        <v>43692</v>
      </c>
      <c r="M24" s="14">
        <v>43698</v>
      </c>
      <c r="N24" s="14">
        <v>43705</v>
      </c>
      <c r="O24" s="15">
        <v>43712</v>
      </c>
      <c r="Q24" s="67" t="s">
        <v>42</v>
      </c>
      <c r="R24" s="68"/>
      <c r="S24" s="68"/>
      <c r="T24" s="69"/>
    </row>
    <row r="25" spans="1:22" ht="30" customHeight="1">
      <c r="A25" s="13" t="s">
        <v>23</v>
      </c>
      <c r="B25" s="2" t="s">
        <v>24</v>
      </c>
      <c r="C25" s="2" t="s">
        <v>25</v>
      </c>
      <c r="D25" s="2" t="s">
        <v>26</v>
      </c>
      <c r="E25" s="5" t="s">
        <v>27</v>
      </c>
      <c r="F25" s="2" t="s">
        <v>28</v>
      </c>
      <c r="G25" s="2" t="s">
        <v>29</v>
      </c>
      <c r="H25" s="2" t="s">
        <v>30</v>
      </c>
      <c r="I25" s="5" t="s">
        <v>31</v>
      </c>
      <c r="J25" s="28" t="s">
        <v>32</v>
      </c>
      <c r="K25" s="5" t="s">
        <v>33</v>
      </c>
      <c r="L25" s="2" t="s">
        <v>34</v>
      </c>
      <c r="M25" s="2" t="s">
        <v>35</v>
      </c>
      <c r="N25" s="2" t="s">
        <v>36</v>
      </c>
      <c r="O25" s="2" t="s">
        <v>37</v>
      </c>
      <c r="P25" s="1" t="s">
        <v>43</v>
      </c>
      <c r="Q25" s="1" t="s">
        <v>44</v>
      </c>
    </row>
    <row r="26" spans="1:22" ht="30" customHeight="1">
      <c r="A26" s="41" t="s">
        <v>50</v>
      </c>
      <c r="B26" s="57">
        <v>11.4</v>
      </c>
      <c r="C26" s="56">
        <v>131</v>
      </c>
      <c r="D26" s="56">
        <v>298</v>
      </c>
      <c r="E26" s="56">
        <v>39.4</v>
      </c>
      <c r="F26" s="56">
        <v>156</v>
      </c>
      <c r="G26" s="56">
        <v>185</v>
      </c>
      <c r="H26" s="57">
        <v>44.4</v>
      </c>
      <c r="I26" s="56">
        <v>8.15</v>
      </c>
      <c r="J26" s="28">
        <v>34.6</v>
      </c>
      <c r="K26" s="56">
        <v>3.26</v>
      </c>
      <c r="L26" s="57">
        <v>61.9</v>
      </c>
      <c r="M26" s="56">
        <v>90.6</v>
      </c>
      <c r="N26" s="57">
        <v>12</v>
      </c>
      <c r="O26" s="57">
        <v>37.799999999999997</v>
      </c>
      <c r="P26" s="1">
        <v>3</v>
      </c>
      <c r="Q26" s="1">
        <v>5</v>
      </c>
      <c r="S26" s="22"/>
    </row>
    <row r="27" spans="1:22" ht="30" customHeight="1">
      <c r="A27" s="41" t="s">
        <v>46</v>
      </c>
      <c r="B27" s="2">
        <f>ABS(B26-B21)</f>
        <v>114.6</v>
      </c>
      <c r="C27" s="60">
        <f t="shared" ref="C27:O27" si="1">ABS(C26-C21)</f>
        <v>157</v>
      </c>
      <c r="D27" s="60">
        <f t="shared" si="1"/>
        <v>315</v>
      </c>
      <c r="E27" s="2">
        <f t="shared" si="1"/>
        <v>113.4</v>
      </c>
      <c r="F27" s="60">
        <f t="shared" si="1"/>
        <v>154</v>
      </c>
      <c r="G27" s="60">
        <f t="shared" si="1"/>
        <v>154</v>
      </c>
      <c r="H27" s="2">
        <f t="shared" si="1"/>
        <v>21.6</v>
      </c>
      <c r="I27" s="2">
        <f t="shared" si="1"/>
        <v>88.15</v>
      </c>
      <c r="J27" s="2">
        <f t="shared" si="1"/>
        <v>103.6</v>
      </c>
      <c r="K27" s="60">
        <f t="shared" si="1"/>
        <v>65.260000000000005</v>
      </c>
      <c r="L27" s="2">
        <f t="shared" si="1"/>
        <v>132.9</v>
      </c>
      <c r="M27" s="2">
        <f t="shared" si="1"/>
        <v>126.6</v>
      </c>
      <c r="N27" s="60">
        <f t="shared" si="1"/>
        <v>86</v>
      </c>
      <c r="O27" s="2">
        <f t="shared" si="1"/>
        <v>73.8</v>
      </c>
    </row>
    <row r="35" spans="1:12">
      <c r="A35" s="4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</sheetData>
  <mergeCells count="8">
    <mergeCell ref="Q24:T24"/>
    <mergeCell ref="B3:O3"/>
    <mergeCell ref="B9:O9"/>
    <mergeCell ref="B23:O23"/>
    <mergeCell ref="B17:O17"/>
    <mergeCell ref="Q5:T5"/>
    <mergeCell ref="Q19:T19"/>
    <mergeCell ref="Q10:T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5E1B-747D-47E0-9633-D1AC379F6319}">
  <dimension ref="A1:T26"/>
  <sheetViews>
    <sheetView tabSelected="1" workbookViewId="0">
      <selection activeCell="Q8" sqref="Q8"/>
    </sheetView>
  </sheetViews>
  <sheetFormatPr defaultRowHeight="15"/>
  <cols>
    <col min="1" max="1" width="21.5703125" style="22" customWidth="1"/>
    <col min="2" max="15" width="10.7109375" customWidth="1"/>
  </cols>
  <sheetData>
    <row r="1" spans="1:20" ht="36" customHeight="1">
      <c r="A1" s="51" t="s">
        <v>51</v>
      </c>
      <c r="B1" s="25" t="s">
        <v>52</v>
      </c>
      <c r="C1" s="26"/>
      <c r="D1" s="26"/>
      <c r="E1" s="26"/>
      <c r="F1" s="26"/>
      <c r="G1" s="26"/>
      <c r="H1" s="9"/>
      <c r="I1" s="9"/>
      <c r="J1" s="9"/>
      <c r="K1" s="9"/>
      <c r="L1" s="9"/>
      <c r="M1" s="9"/>
      <c r="N1" s="9"/>
    </row>
    <row r="2" spans="1:20" ht="36" customHeight="1">
      <c r="A2" s="52"/>
      <c r="B2" s="23"/>
      <c r="C2" s="24"/>
      <c r="D2" s="24"/>
      <c r="E2" s="24"/>
      <c r="F2" s="24"/>
      <c r="G2" s="24"/>
    </row>
    <row r="3" spans="1:20" ht="15.75" thickBot="1"/>
    <row r="4" spans="1:20" ht="27.95" customHeight="1" thickBot="1">
      <c r="A4" s="10" t="s">
        <v>19</v>
      </c>
    </row>
    <row r="5" spans="1:20" ht="27.95" customHeight="1" thickBot="1">
      <c r="A5" s="48" t="s">
        <v>53</v>
      </c>
      <c r="B5" s="70" t="s">
        <v>21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2"/>
    </row>
    <row r="6" spans="1:20" ht="30" customHeight="1">
      <c r="A6" s="41" t="s">
        <v>22</v>
      </c>
      <c r="B6" s="15">
        <v>43630</v>
      </c>
      <c r="C6" s="15">
        <v>43636</v>
      </c>
      <c r="D6" s="15">
        <v>43638</v>
      </c>
      <c r="E6" s="15">
        <v>43644</v>
      </c>
      <c r="F6" s="15">
        <v>43651</v>
      </c>
      <c r="G6" s="15">
        <v>43658</v>
      </c>
      <c r="H6" s="15">
        <v>43665</v>
      </c>
      <c r="I6" s="15">
        <v>43672</v>
      </c>
      <c r="J6" s="15">
        <v>43679</v>
      </c>
      <c r="K6" s="15">
        <v>43686</v>
      </c>
      <c r="L6" s="15">
        <v>43693</v>
      </c>
      <c r="M6" s="15">
        <v>43700</v>
      </c>
      <c r="N6" s="15">
        <v>43706</v>
      </c>
      <c r="O6" s="15">
        <v>43714</v>
      </c>
    </row>
    <row r="7" spans="1:20" ht="30" customHeight="1">
      <c r="A7" s="13" t="s">
        <v>23</v>
      </c>
      <c r="B7" s="33" t="s">
        <v>24</v>
      </c>
      <c r="C7" s="34" t="s">
        <v>54</v>
      </c>
      <c r="D7" s="34" t="s">
        <v>26</v>
      </c>
      <c r="E7" s="34" t="s">
        <v>55</v>
      </c>
      <c r="F7" s="34" t="s">
        <v>56</v>
      </c>
      <c r="G7" s="34" t="s">
        <v>57</v>
      </c>
      <c r="H7" s="34" t="s">
        <v>58</v>
      </c>
      <c r="I7" s="34" t="s">
        <v>59</v>
      </c>
      <c r="J7" s="34" t="s">
        <v>60</v>
      </c>
      <c r="K7" s="34" t="s">
        <v>61</v>
      </c>
      <c r="L7" s="34" t="s">
        <v>62</v>
      </c>
      <c r="M7" s="33" t="s">
        <v>63</v>
      </c>
      <c r="N7" s="33" t="s">
        <v>64</v>
      </c>
      <c r="O7" s="53" t="s">
        <v>65</v>
      </c>
      <c r="Q7" s="73" t="s">
        <v>66</v>
      </c>
      <c r="R7" s="74"/>
      <c r="S7" s="74"/>
      <c r="T7" s="75"/>
    </row>
    <row r="8" spans="1:20" ht="30" customHeight="1">
      <c r="A8" s="49" t="s">
        <v>39</v>
      </c>
      <c r="B8" s="35">
        <v>51</v>
      </c>
      <c r="C8" s="35">
        <v>40</v>
      </c>
      <c r="D8" s="35">
        <v>51</v>
      </c>
      <c r="E8" s="35">
        <v>60</v>
      </c>
      <c r="F8" s="35">
        <v>46</v>
      </c>
      <c r="G8" s="35">
        <v>38</v>
      </c>
      <c r="H8" s="35">
        <v>53</v>
      </c>
      <c r="I8" s="35">
        <v>53</v>
      </c>
      <c r="J8" s="35">
        <v>51</v>
      </c>
      <c r="K8" s="35">
        <v>47</v>
      </c>
      <c r="L8" s="35">
        <v>34</v>
      </c>
      <c r="M8" s="35">
        <v>56</v>
      </c>
      <c r="N8" s="35">
        <v>45</v>
      </c>
      <c r="O8" s="36">
        <v>59</v>
      </c>
    </row>
    <row r="9" spans="1:20" ht="30" customHeight="1">
      <c r="A9" s="41" t="s">
        <v>40</v>
      </c>
      <c r="B9" s="35">
        <v>38</v>
      </c>
      <c r="C9" s="35">
        <v>-64</v>
      </c>
      <c r="D9" s="35">
        <v>-86</v>
      </c>
      <c r="E9" s="35">
        <v>-97</v>
      </c>
      <c r="F9" s="35">
        <v>-66</v>
      </c>
      <c r="G9" s="35">
        <v>-63</v>
      </c>
      <c r="H9" s="35">
        <v>-80</v>
      </c>
      <c r="I9" s="35">
        <v>-81</v>
      </c>
      <c r="J9" s="35">
        <v>-80</v>
      </c>
      <c r="K9" s="35">
        <v>-73</v>
      </c>
      <c r="L9" s="35">
        <v>-72</v>
      </c>
      <c r="M9" s="35">
        <v>4</v>
      </c>
      <c r="N9" s="35">
        <v>-36</v>
      </c>
      <c r="O9" s="42">
        <v>2</v>
      </c>
    </row>
    <row r="10" spans="1:20" ht="15.75" thickBot="1">
      <c r="A10" s="4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20" ht="27.95" customHeight="1" thickBot="1">
      <c r="A11" s="45"/>
      <c r="B11" s="70" t="s">
        <v>41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2"/>
      <c r="R11" s="1"/>
    </row>
    <row r="12" spans="1:20" ht="30" customHeight="1">
      <c r="A12" s="41" t="s">
        <v>22</v>
      </c>
      <c r="B12" s="14">
        <v>43630</v>
      </c>
      <c r="C12" s="14">
        <v>43636</v>
      </c>
      <c r="D12" s="14">
        <v>43638</v>
      </c>
      <c r="E12" s="14">
        <v>43644</v>
      </c>
      <c r="F12" s="14">
        <v>43651</v>
      </c>
      <c r="G12" s="14">
        <v>43658</v>
      </c>
      <c r="H12" s="14">
        <v>43665</v>
      </c>
      <c r="I12" s="14">
        <v>43672</v>
      </c>
      <c r="J12" s="14">
        <v>43679</v>
      </c>
      <c r="K12" s="14">
        <v>43686</v>
      </c>
      <c r="L12" s="14">
        <v>43693</v>
      </c>
      <c r="M12" s="14">
        <v>43700</v>
      </c>
      <c r="N12" s="14">
        <v>43706</v>
      </c>
      <c r="O12" s="14">
        <v>43714</v>
      </c>
      <c r="R12" s="1"/>
    </row>
    <row r="13" spans="1:20" ht="30" customHeight="1">
      <c r="A13" s="13" t="s">
        <v>23</v>
      </c>
      <c r="B13" s="2" t="s">
        <v>24</v>
      </c>
      <c r="C13" s="5" t="s">
        <v>54</v>
      </c>
      <c r="D13" s="5" t="s">
        <v>26</v>
      </c>
      <c r="E13" s="5" t="s">
        <v>55</v>
      </c>
      <c r="F13" s="5" t="s">
        <v>56</v>
      </c>
      <c r="G13" s="5" t="s">
        <v>57</v>
      </c>
      <c r="H13" s="5" t="s">
        <v>58</v>
      </c>
      <c r="I13" s="5" t="s">
        <v>59</v>
      </c>
      <c r="J13" s="5" t="s">
        <v>60</v>
      </c>
      <c r="K13" s="5" t="s">
        <v>61</v>
      </c>
      <c r="L13" s="5" t="s">
        <v>62</v>
      </c>
      <c r="M13" s="2" t="s">
        <v>63</v>
      </c>
      <c r="N13" s="2" t="s">
        <v>64</v>
      </c>
      <c r="O13" s="53" t="s">
        <v>65</v>
      </c>
    </row>
    <row r="14" spans="1:20" ht="30" customHeight="1">
      <c r="A14" s="41" t="s">
        <v>50</v>
      </c>
      <c r="B14" s="56">
        <v>-53.5</v>
      </c>
      <c r="C14" s="57">
        <v>-81.900000000000006</v>
      </c>
      <c r="D14" s="57">
        <v>-75.099999999999994</v>
      </c>
      <c r="E14" s="57">
        <v>-68.099999999999994</v>
      </c>
      <c r="F14" s="57">
        <v>-66.3</v>
      </c>
      <c r="G14" s="56">
        <v>-27.3</v>
      </c>
      <c r="H14" s="57">
        <v>-55</v>
      </c>
      <c r="I14" s="57">
        <v>-63.3</v>
      </c>
      <c r="J14" s="57">
        <v>-72.599999999999994</v>
      </c>
      <c r="K14" s="57">
        <v>-75</v>
      </c>
      <c r="L14" s="57">
        <v>-81.5</v>
      </c>
      <c r="M14" s="56">
        <v>-83</v>
      </c>
      <c r="N14" s="56">
        <v>-74</v>
      </c>
      <c r="O14" s="57">
        <v>-4.3</v>
      </c>
      <c r="Q14" s="78" t="s">
        <v>66</v>
      </c>
      <c r="R14" s="79"/>
      <c r="S14" s="79"/>
      <c r="T14" s="80"/>
    </row>
    <row r="15" spans="1:20" ht="30" customHeight="1">
      <c r="A15" s="41" t="s">
        <v>46</v>
      </c>
      <c r="B15" s="60">
        <f>ABS(B14-B9)</f>
        <v>91.5</v>
      </c>
      <c r="C15" s="60">
        <f t="shared" ref="C15:O15" si="0">ABS(C14-C9)</f>
        <v>17.900000000000006</v>
      </c>
      <c r="D15" s="60">
        <f t="shared" si="0"/>
        <v>10.900000000000006</v>
      </c>
      <c r="E15" s="60">
        <f t="shared" si="0"/>
        <v>28.900000000000006</v>
      </c>
      <c r="F15" s="60">
        <f t="shared" si="0"/>
        <v>0.29999999999999716</v>
      </c>
      <c r="G15" s="60">
        <f t="shared" si="0"/>
        <v>35.700000000000003</v>
      </c>
      <c r="H15" s="60">
        <f t="shared" si="0"/>
        <v>25</v>
      </c>
      <c r="I15" s="60">
        <f t="shared" si="0"/>
        <v>17.700000000000003</v>
      </c>
      <c r="J15" s="60">
        <f t="shared" si="0"/>
        <v>7.4000000000000057</v>
      </c>
      <c r="K15" s="60">
        <f t="shared" si="0"/>
        <v>2</v>
      </c>
      <c r="L15" s="60">
        <f t="shared" si="0"/>
        <v>9.5</v>
      </c>
      <c r="M15" s="60">
        <f t="shared" si="0"/>
        <v>87</v>
      </c>
      <c r="N15" s="60">
        <f t="shared" si="0"/>
        <v>38</v>
      </c>
      <c r="O15" s="60">
        <f t="shared" si="0"/>
        <v>6.3</v>
      </c>
      <c r="Q15" t="s">
        <v>43</v>
      </c>
      <c r="R15" t="s">
        <v>44</v>
      </c>
    </row>
    <row r="16" spans="1:20">
      <c r="Q16">
        <v>1</v>
      </c>
      <c r="R16">
        <v>3</v>
      </c>
    </row>
    <row r="18" spans="1:20" ht="27.95" customHeight="1">
      <c r="A18" s="7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</row>
    <row r="19" spans="1:20" ht="30" customHeight="1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20" ht="30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Q20" s="77"/>
      <c r="R20" s="77"/>
      <c r="S20" s="77"/>
      <c r="T20" s="77"/>
    </row>
    <row r="21" spans="1:20" ht="30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20">
      <c r="A22" s="4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20" ht="27.95" customHeight="1">
      <c r="A23" s="45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</row>
    <row r="24" spans="1:20" ht="30" customHeight="1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1:20" ht="30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20" ht="30" customHeight="1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</sheetData>
  <mergeCells count="7">
    <mergeCell ref="B5:O5"/>
    <mergeCell ref="B11:O11"/>
    <mergeCell ref="B23:O23"/>
    <mergeCell ref="B18:O18"/>
    <mergeCell ref="Q7:T7"/>
    <mergeCell ref="Q20:T20"/>
    <mergeCell ref="Q14:T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3B93-9DA5-4FC6-BBC3-F5CEC41B30AA}">
  <dimension ref="A1:T14"/>
  <sheetViews>
    <sheetView workbookViewId="0">
      <selection activeCell="R15" sqref="R15"/>
    </sheetView>
  </sheetViews>
  <sheetFormatPr defaultRowHeight="15"/>
  <cols>
    <col min="1" max="1" width="18.7109375" style="22" customWidth="1"/>
    <col min="2" max="15" width="10.7109375" customWidth="1"/>
  </cols>
  <sheetData>
    <row r="1" spans="1:20" ht="15.75" thickBot="1"/>
    <row r="2" spans="1:20" ht="27.95" customHeight="1" thickBot="1">
      <c r="A2" s="10" t="s">
        <v>19</v>
      </c>
    </row>
    <row r="3" spans="1:20" ht="27.95" customHeight="1" thickBot="1">
      <c r="A3" s="48" t="s">
        <v>67</v>
      </c>
      <c r="B3" s="70" t="s">
        <v>21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2"/>
    </row>
    <row r="4" spans="1:20" ht="30" customHeight="1">
      <c r="A4" s="41" t="s">
        <v>22</v>
      </c>
      <c r="B4" s="14">
        <v>43630</v>
      </c>
      <c r="C4" s="14">
        <v>43636</v>
      </c>
      <c r="D4" s="14">
        <v>43638</v>
      </c>
      <c r="E4" s="14">
        <v>43644</v>
      </c>
      <c r="F4" s="14">
        <v>43651</v>
      </c>
      <c r="G4" s="14">
        <v>43658</v>
      </c>
      <c r="H4" s="14">
        <v>43665</v>
      </c>
      <c r="I4" s="14">
        <v>43672</v>
      </c>
      <c r="J4" s="14">
        <v>43679</v>
      </c>
      <c r="K4" s="14">
        <v>43686</v>
      </c>
      <c r="L4" s="14">
        <v>43693</v>
      </c>
      <c r="M4" s="14">
        <v>43700</v>
      </c>
      <c r="N4" s="14">
        <v>43706</v>
      </c>
      <c r="O4" s="14">
        <v>43714</v>
      </c>
    </row>
    <row r="5" spans="1:20" ht="30" customHeight="1">
      <c r="A5" s="13" t="s">
        <v>23</v>
      </c>
      <c r="B5" s="33" t="s">
        <v>24</v>
      </c>
      <c r="C5" s="33" t="s">
        <v>54</v>
      </c>
      <c r="D5" s="33" t="s">
        <v>26</v>
      </c>
      <c r="E5" s="33" t="s">
        <v>55</v>
      </c>
      <c r="F5" s="33" t="s">
        <v>56</v>
      </c>
      <c r="G5" s="34" t="s">
        <v>57</v>
      </c>
      <c r="H5" s="34" t="s">
        <v>58</v>
      </c>
      <c r="I5" s="34" t="s">
        <v>59</v>
      </c>
      <c r="J5" s="34" t="s">
        <v>60</v>
      </c>
      <c r="K5" s="34" t="s">
        <v>61</v>
      </c>
      <c r="L5" s="34" t="s">
        <v>62</v>
      </c>
      <c r="M5" s="34" t="s">
        <v>63</v>
      </c>
      <c r="N5" s="34" t="s">
        <v>64</v>
      </c>
      <c r="O5" s="34" t="s">
        <v>65</v>
      </c>
      <c r="Q5" s="73" t="s">
        <v>68</v>
      </c>
      <c r="R5" s="74"/>
      <c r="S5" s="74"/>
      <c r="T5" s="75"/>
    </row>
    <row r="6" spans="1:20" ht="30" customHeight="1">
      <c r="A6" s="49" t="s">
        <v>39</v>
      </c>
      <c r="B6" s="2">
        <v>71</v>
      </c>
      <c r="C6" s="2">
        <v>73</v>
      </c>
      <c r="D6" s="2">
        <v>75</v>
      </c>
      <c r="E6" s="2">
        <v>86</v>
      </c>
      <c r="F6" s="2">
        <v>57</v>
      </c>
      <c r="G6" s="2">
        <v>54</v>
      </c>
      <c r="H6" s="2">
        <v>56</v>
      </c>
      <c r="I6" s="2">
        <v>52</v>
      </c>
      <c r="J6" s="2">
        <v>64</v>
      </c>
      <c r="K6" s="2">
        <v>67</v>
      </c>
      <c r="L6" s="2">
        <v>69</v>
      </c>
      <c r="M6" s="2">
        <v>66</v>
      </c>
      <c r="N6" s="2">
        <v>71</v>
      </c>
      <c r="O6" s="2">
        <v>63</v>
      </c>
    </row>
    <row r="7" spans="1:20" ht="30" customHeight="1">
      <c r="A7" s="41" t="s">
        <v>40</v>
      </c>
      <c r="B7" s="2">
        <v>-32</v>
      </c>
      <c r="C7" s="2">
        <v>58</v>
      </c>
      <c r="D7" s="2">
        <v>56</v>
      </c>
      <c r="E7" s="2">
        <v>119</v>
      </c>
      <c r="F7" s="2">
        <v>156</v>
      </c>
      <c r="G7" s="2">
        <v>251</v>
      </c>
      <c r="H7" s="2">
        <v>249</v>
      </c>
      <c r="I7" s="2">
        <v>317</v>
      </c>
      <c r="J7" s="2">
        <v>584</v>
      </c>
      <c r="K7" s="2">
        <v>337</v>
      </c>
      <c r="L7" s="2">
        <v>159</v>
      </c>
      <c r="M7" s="2">
        <v>167</v>
      </c>
      <c r="N7" s="2">
        <v>446</v>
      </c>
      <c r="O7" s="2">
        <v>230</v>
      </c>
    </row>
    <row r="8" spans="1:20" ht="15.75" thickBot="1">
      <c r="A8" s="45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20" ht="27.95" customHeight="1" thickBot="1">
      <c r="A9" s="45"/>
      <c r="B9" s="70" t="s">
        <v>41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2"/>
    </row>
    <row r="10" spans="1:20" ht="30" customHeight="1">
      <c r="A10" s="41" t="s">
        <v>22</v>
      </c>
      <c r="B10" s="14">
        <v>43630</v>
      </c>
      <c r="C10" s="14">
        <v>43636</v>
      </c>
      <c r="D10" s="14">
        <v>43638</v>
      </c>
      <c r="E10" s="14">
        <v>43644</v>
      </c>
      <c r="F10" s="14">
        <v>43651</v>
      </c>
      <c r="G10" s="14">
        <v>43658</v>
      </c>
      <c r="H10" s="14">
        <v>43665</v>
      </c>
      <c r="I10" s="14">
        <v>43672</v>
      </c>
      <c r="J10" s="14">
        <v>43679</v>
      </c>
      <c r="K10" s="14">
        <v>43686</v>
      </c>
      <c r="L10" s="14">
        <v>43693</v>
      </c>
      <c r="M10" s="14">
        <v>43700</v>
      </c>
      <c r="N10" s="14">
        <v>43706</v>
      </c>
      <c r="O10" s="14">
        <v>43714</v>
      </c>
    </row>
    <row r="11" spans="1:20" ht="30" customHeight="1">
      <c r="A11" s="13" t="s">
        <v>23</v>
      </c>
      <c r="B11" s="2" t="s">
        <v>24</v>
      </c>
      <c r="C11" s="2" t="s">
        <v>54</v>
      </c>
      <c r="D11" s="2" t="s">
        <v>26</v>
      </c>
      <c r="E11" s="2" t="s">
        <v>55</v>
      </c>
      <c r="F11" s="2" t="s">
        <v>56</v>
      </c>
      <c r="G11" s="5" t="s">
        <v>57</v>
      </c>
      <c r="H11" s="5" t="s">
        <v>58</v>
      </c>
      <c r="I11" s="5" t="s">
        <v>59</v>
      </c>
      <c r="J11" s="5" t="s">
        <v>60</v>
      </c>
      <c r="K11" s="5" t="s">
        <v>61</v>
      </c>
      <c r="L11" s="5" t="s">
        <v>62</v>
      </c>
      <c r="M11" s="5" t="s">
        <v>63</v>
      </c>
      <c r="N11" s="5" t="s">
        <v>64</v>
      </c>
      <c r="O11" s="5" t="s">
        <v>65</v>
      </c>
      <c r="R11" s="1"/>
    </row>
    <row r="12" spans="1:20" ht="30" customHeight="1">
      <c r="A12" s="41" t="s">
        <v>50</v>
      </c>
      <c r="B12" s="57">
        <v>4.8499999999999996</v>
      </c>
      <c r="C12" s="57">
        <v>-11</v>
      </c>
      <c r="D12" s="57">
        <v>0.16400000000000001</v>
      </c>
      <c r="E12" s="57">
        <v>7.89</v>
      </c>
      <c r="F12" s="57">
        <v>34.299999999999997</v>
      </c>
      <c r="G12" s="57">
        <v>81.7</v>
      </c>
      <c r="H12" s="56">
        <v>41.1</v>
      </c>
      <c r="I12" s="57">
        <v>179</v>
      </c>
      <c r="J12" s="57">
        <v>71.099999999999994</v>
      </c>
      <c r="K12" s="57">
        <v>109</v>
      </c>
      <c r="L12" s="56">
        <v>11.2</v>
      </c>
      <c r="M12" s="56">
        <v>60.4</v>
      </c>
      <c r="N12" s="56">
        <v>44</v>
      </c>
      <c r="O12" s="56">
        <v>39.799999999999997</v>
      </c>
      <c r="Q12" s="78" t="s">
        <v>68</v>
      </c>
      <c r="R12" s="79"/>
      <c r="S12" s="79"/>
      <c r="T12" s="80"/>
    </row>
    <row r="13" spans="1:20" ht="30" customHeight="1">
      <c r="A13" s="41" t="s">
        <v>46</v>
      </c>
      <c r="B13" s="60">
        <f>ABS(B12-B7)</f>
        <v>36.85</v>
      </c>
      <c r="C13" s="60">
        <f t="shared" ref="C13:O13" si="0">ABS(C12-C7)</f>
        <v>69</v>
      </c>
      <c r="D13" s="60">
        <f t="shared" si="0"/>
        <v>55.835999999999999</v>
      </c>
      <c r="E13" s="60">
        <f t="shared" si="0"/>
        <v>111.11</v>
      </c>
      <c r="F13" s="60">
        <f t="shared" si="0"/>
        <v>121.7</v>
      </c>
      <c r="G13" s="60">
        <f t="shared" si="0"/>
        <v>169.3</v>
      </c>
      <c r="H13" s="60">
        <f t="shared" si="0"/>
        <v>207.9</v>
      </c>
      <c r="I13" s="60">
        <f t="shared" si="0"/>
        <v>138</v>
      </c>
      <c r="J13" s="60">
        <f t="shared" si="0"/>
        <v>512.9</v>
      </c>
      <c r="K13" s="60">
        <f t="shared" si="0"/>
        <v>228</v>
      </c>
      <c r="L13" s="60">
        <f t="shared" si="0"/>
        <v>147.80000000000001</v>
      </c>
      <c r="M13" s="60">
        <f t="shared" si="0"/>
        <v>106.6</v>
      </c>
      <c r="N13" s="60">
        <f t="shared" si="0"/>
        <v>402</v>
      </c>
      <c r="O13" s="60">
        <f t="shared" si="0"/>
        <v>190.2</v>
      </c>
      <c r="Q13" t="s">
        <v>43</v>
      </c>
      <c r="R13" t="s">
        <v>44</v>
      </c>
    </row>
    <row r="14" spans="1:20">
      <c r="Q14">
        <v>5</v>
      </c>
      <c r="R14">
        <v>0</v>
      </c>
    </row>
  </sheetData>
  <mergeCells count="4">
    <mergeCell ref="B3:O3"/>
    <mergeCell ref="B9:O9"/>
    <mergeCell ref="Q5:T5"/>
    <mergeCell ref="Q12:T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6FAD-5BC8-446B-860F-047479B24EE9}">
  <dimension ref="A1:T14"/>
  <sheetViews>
    <sheetView workbookViewId="0">
      <selection activeCell="O12" sqref="O12"/>
    </sheetView>
  </sheetViews>
  <sheetFormatPr defaultRowHeight="15"/>
  <cols>
    <col min="1" max="1" width="25.28515625" customWidth="1"/>
    <col min="2" max="15" width="10.7109375" customWidth="1"/>
    <col min="16" max="16" width="8.85546875" customWidth="1"/>
  </cols>
  <sheetData>
    <row r="1" spans="1:20" ht="15.75" thickBot="1"/>
    <row r="2" spans="1:20" ht="27.95" customHeight="1" thickBot="1">
      <c r="A2" s="10" t="s">
        <v>19</v>
      </c>
    </row>
    <row r="3" spans="1:20" ht="27.95" customHeight="1" thickBot="1">
      <c r="A3" s="11" t="s">
        <v>69</v>
      </c>
      <c r="B3" s="70" t="s">
        <v>21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2"/>
    </row>
    <row r="4" spans="1:20" ht="30" customHeight="1">
      <c r="A4" s="6" t="s">
        <v>22</v>
      </c>
      <c r="B4" s="14">
        <v>43630</v>
      </c>
      <c r="C4" s="14">
        <v>43636</v>
      </c>
      <c r="D4" s="14">
        <v>43638</v>
      </c>
      <c r="E4" s="14">
        <v>43644</v>
      </c>
      <c r="F4" s="14">
        <v>43651</v>
      </c>
      <c r="G4" s="14">
        <v>43658</v>
      </c>
      <c r="H4" s="14">
        <v>43665</v>
      </c>
      <c r="I4" s="14">
        <v>43672</v>
      </c>
      <c r="J4" s="14">
        <v>43679</v>
      </c>
      <c r="K4" s="14">
        <v>43686</v>
      </c>
      <c r="L4" s="14">
        <v>43693</v>
      </c>
      <c r="M4" s="14">
        <v>43700</v>
      </c>
      <c r="N4" s="14">
        <v>43706</v>
      </c>
      <c r="O4" s="14">
        <v>43714</v>
      </c>
    </row>
    <row r="5" spans="1:20" ht="30" customHeight="1">
      <c r="A5" s="13" t="s">
        <v>23</v>
      </c>
      <c r="B5" s="33" t="s">
        <v>24</v>
      </c>
      <c r="C5" s="34" t="s">
        <v>54</v>
      </c>
      <c r="D5" s="34" t="s">
        <v>26</v>
      </c>
      <c r="E5" s="33" t="s">
        <v>55</v>
      </c>
      <c r="F5" s="33" t="s">
        <v>56</v>
      </c>
      <c r="G5" s="33" t="s">
        <v>57</v>
      </c>
      <c r="H5" s="33" t="s">
        <v>58</v>
      </c>
      <c r="I5" s="33" t="s">
        <v>59</v>
      </c>
      <c r="J5" s="33" t="s">
        <v>60</v>
      </c>
      <c r="K5" s="33" t="s">
        <v>61</v>
      </c>
      <c r="L5" s="33" t="s">
        <v>62</v>
      </c>
      <c r="M5" s="54" t="s">
        <v>63</v>
      </c>
      <c r="N5" s="33" t="s">
        <v>64</v>
      </c>
      <c r="O5" s="33" t="s">
        <v>65</v>
      </c>
      <c r="Q5" s="73" t="s">
        <v>68</v>
      </c>
      <c r="R5" s="74"/>
      <c r="S5" s="74"/>
      <c r="T5" s="75"/>
    </row>
    <row r="6" spans="1:20" ht="30" customHeight="1">
      <c r="A6" s="32" t="s">
        <v>39</v>
      </c>
      <c r="B6" s="2">
        <v>56</v>
      </c>
      <c r="C6" s="2">
        <v>60</v>
      </c>
      <c r="D6" s="2">
        <v>86</v>
      </c>
      <c r="E6" s="2">
        <v>75</v>
      </c>
      <c r="F6" s="2">
        <v>67</v>
      </c>
      <c r="G6" s="2">
        <v>66</v>
      </c>
      <c r="H6" s="2">
        <v>82</v>
      </c>
      <c r="I6" s="2">
        <v>67</v>
      </c>
      <c r="J6" s="2">
        <v>62</v>
      </c>
      <c r="K6" s="2">
        <v>76</v>
      </c>
      <c r="L6" s="2">
        <v>93</v>
      </c>
      <c r="M6" s="36">
        <v>83</v>
      </c>
      <c r="N6" s="2">
        <v>78</v>
      </c>
      <c r="O6" s="2">
        <v>80</v>
      </c>
    </row>
    <row r="7" spans="1:20" ht="30" customHeight="1">
      <c r="A7" s="6" t="s">
        <v>40</v>
      </c>
      <c r="B7" s="2">
        <v>19</v>
      </c>
      <c r="C7" s="2">
        <v>262</v>
      </c>
      <c r="D7" s="2">
        <v>220</v>
      </c>
      <c r="E7" s="2">
        <v>63</v>
      </c>
      <c r="F7" s="2">
        <v>6</v>
      </c>
      <c r="G7" s="2">
        <v>112</v>
      </c>
      <c r="H7" s="2">
        <v>87</v>
      </c>
      <c r="I7" s="2">
        <v>14</v>
      </c>
      <c r="J7" s="2">
        <v>101</v>
      </c>
      <c r="K7" s="2">
        <v>-98</v>
      </c>
      <c r="L7" s="2">
        <v>-72</v>
      </c>
      <c r="M7" s="42">
        <v>17</v>
      </c>
      <c r="N7" s="2">
        <v>22</v>
      </c>
      <c r="O7" s="2">
        <v>-66</v>
      </c>
    </row>
    <row r="8" spans="1:20" ht="15.75" thickBo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20" ht="27.95" customHeight="1" thickBot="1">
      <c r="A9" s="3"/>
      <c r="B9" s="70" t="s">
        <v>41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2"/>
    </row>
    <row r="10" spans="1:20" ht="30" customHeight="1">
      <c r="A10" s="6" t="s">
        <v>22</v>
      </c>
      <c r="B10" s="14">
        <v>43630</v>
      </c>
      <c r="C10" s="14">
        <v>43636</v>
      </c>
      <c r="D10" s="14">
        <v>43638</v>
      </c>
      <c r="E10" s="14">
        <v>43644</v>
      </c>
      <c r="F10" s="14">
        <v>43651</v>
      </c>
      <c r="G10" s="14">
        <v>43658</v>
      </c>
      <c r="H10" s="14">
        <v>43665</v>
      </c>
      <c r="I10" s="14">
        <v>43672</v>
      </c>
      <c r="J10" s="14">
        <v>43679</v>
      </c>
      <c r="K10" s="14">
        <v>43686</v>
      </c>
      <c r="L10" s="14">
        <v>43693</v>
      </c>
      <c r="M10" s="14">
        <v>43700</v>
      </c>
      <c r="N10" s="14">
        <v>43706</v>
      </c>
      <c r="O10" s="14">
        <v>43714</v>
      </c>
    </row>
    <row r="11" spans="1:20" ht="30" customHeight="1">
      <c r="A11" s="13" t="s">
        <v>23</v>
      </c>
      <c r="B11" s="2" t="s">
        <v>24</v>
      </c>
      <c r="C11" s="5" t="s">
        <v>54</v>
      </c>
      <c r="D11" s="5" t="s">
        <v>26</v>
      </c>
      <c r="E11" s="2" t="s">
        <v>55</v>
      </c>
      <c r="F11" s="2" t="s">
        <v>56</v>
      </c>
      <c r="G11" s="2" t="s">
        <v>57</v>
      </c>
      <c r="H11" s="2" t="s">
        <v>58</v>
      </c>
      <c r="I11" s="2" t="s">
        <v>59</v>
      </c>
      <c r="J11" s="2" t="s">
        <v>60</v>
      </c>
      <c r="K11" s="2" t="s">
        <v>61</v>
      </c>
      <c r="L11" s="2" t="s">
        <v>62</v>
      </c>
      <c r="M11" s="53" t="s">
        <v>63</v>
      </c>
      <c r="N11" s="2" t="s">
        <v>64</v>
      </c>
      <c r="O11" s="2" t="s">
        <v>65</v>
      </c>
      <c r="R11" s="1"/>
    </row>
    <row r="12" spans="1:20" ht="30" customHeight="1">
      <c r="A12" s="6" t="s">
        <v>50</v>
      </c>
      <c r="B12" s="58">
        <v>-1.23</v>
      </c>
      <c r="C12" s="56">
        <v>-4.38</v>
      </c>
      <c r="D12" s="56">
        <v>-5.94</v>
      </c>
      <c r="E12" s="57">
        <v>-7.25</v>
      </c>
      <c r="F12" s="57">
        <v>-2.67</v>
      </c>
      <c r="G12" s="57">
        <v>-0.377</v>
      </c>
      <c r="H12" s="57">
        <v>2.91</v>
      </c>
      <c r="I12" s="57">
        <v>6.45</v>
      </c>
      <c r="J12" s="57">
        <v>9.42</v>
      </c>
      <c r="K12" s="57">
        <v>13.1</v>
      </c>
      <c r="L12" s="57">
        <v>17.3</v>
      </c>
      <c r="M12" s="57">
        <v>15.3</v>
      </c>
      <c r="N12" s="57">
        <v>17.100000000000001</v>
      </c>
      <c r="O12" s="57">
        <v>22.1</v>
      </c>
      <c r="Q12" s="81" t="s">
        <v>66</v>
      </c>
      <c r="R12" s="68"/>
      <c r="S12" s="68"/>
      <c r="T12" s="69"/>
    </row>
    <row r="13" spans="1:20" ht="30" customHeight="1">
      <c r="A13" s="6" t="s">
        <v>46</v>
      </c>
      <c r="B13" s="60">
        <f>ABS(B12-B7)</f>
        <v>20.23</v>
      </c>
      <c r="C13" s="60">
        <f t="shared" ref="C13:O13" si="0">ABS(C12-C7)</f>
        <v>266.38</v>
      </c>
      <c r="D13" s="60">
        <f t="shared" si="0"/>
        <v>225.94</v>
      </c>
      <c r="E13" s="60">
        <f t="shared" si="0"/>
        <v>70.25</v>
      </c>
      <c r="F13" s="60">
        <f t="shared" si="0"/>
        <v>8.67</v>
      </c>
      <c r="G13" s="60">
        <f t="shared" si="0"/>
        <v>112.377</v>
      </c>
      <c r="H13" s="60">
        <f t="shared" si="0"/>
        <v>84.09</v>
      </c>
      <c r="I13" s="60">
        <f t="shared" si="0"/>
        <v>7.55</v>
      </c>
      <c r="J13" s="60">
        <f t="shared" si="0"/>
        <v>91.58</v>
      </c>
      <c r="K13" s="60">
        <f t="shared" si="0"/>
        <v>111.1</v>
      </c>
      <c r="L13" s="60">
        <f t="shared" si="0"/>
        <v>89.3</v>
      </c>
      <c r="M13" s="60">
        <f t="shared" si="0"/>
        <v>1.6999999999999993</v>
      </c>
      <c r="N13" s="60">
        <f t="shared" si="0"/>
        <v>4.8999999999999986</v>
      </c>
      <c r="O13" s="60">
        <f t="shared" si="0"/>
        <v>88.1</v>
      </c>
      <c r="Q13" t="s">
        <v>43</v>
      </c>
      <c r="R13" t="s">
        <v>44</v>
      </c>
    </row>
    <row r="14" spans="1:20">
      <c r="Q14">
        <v>2</v>
      </c>
      <c r="R14">
        <v>0</v>
      </c>
    </row>
  </sheetData>
  <mergeCells count="4">
    <mergeCell ref="B3:O3"/>
    <mergeCell ref="B9:O9"/>
    <mergeCell ref="Q5:T5"/>
    <mergeCell ref="Q12:T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D8D1-39D9-4530-A288-66AB9C6F6D71}">
  <dimension ref="A1:T14"/>
  <sheetViews>
    <sheetView workbookViewId="0">
      <selection activeCell="S14" sqref="S14"/>
    </sheetView>
  </sheetViews>
  <sheetFormatPr defaultRowHeight="15"/>
  <cols>
    <col min="1" max="1" width="18.7109375" customWidth="1"/>
    <col min="2" max="15" width="10.7109375" customWidth="1"/>
  </cols>
  <sheetData>
    <row r="1" spans="1:20" ht="15.75" thickBot="1"/>
    <row r="2" spans="1:20" ht="27.95" customHeight="1" thickBot="1">
      <c r="A2" s="10" t="s">
        <v>19</v>
      </c>
    </row>
    <row r="3" spans="1:20" ht="27.95" customHeight="1" thickBot="1">
      <c r="A3" s="11" t="s">
        <v>70</v>
      </c>
      <c r="B3" s="70" t="s">
        <v>21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2"/>
    </row>
    <row r="4" spans="1:20" ht="30" customHeight="1">
      <c r="A4" s="6" t="s">
        <v>22</v>
      </c>
      <c r="B4" s="14">
        <v>43630</v>
      </c>
      <c r="C4" s="14">
        <v>43636</v>
      </c>
      <c r="D4" s="14">
        <v>43638</v>
      </c>
      <c r="E4" s="14">
        <v>43644</v>
      </c>
      <c r="F4" s="14">
        <v>43651</v>
      </c>
      <c r="G4" s="14">
        <v>43658</v>
      </c>
      <c r="H4" s="14">
        <v>43665</v>
      </c>
      <c r="I4" s="14">
        <v>43672</v>
      </c>
      <c r="J4" s="14">
        <v>43679</v>
      </c>
      <c r="K4" s="14">
        <v>43686</v>
      </c>
      <c r="L4" s="14">
        <v>43693</v>
      </c>
      <c r="M4" s="14">
        <v>43700</v>
      </c>
      <c r="N4" s="14">
        <v>43706</v>
      </c>
      <c r="O4" s="14">
        <v>43714</v>
      </c>
    </row>
    <row r="5" spans="1:20" ht="30" customHeight="1">
      <c r="A5" s="13" t="s">
        <v>23</v>
      </c>
      <c r="B5" s="34" t="s">
        <v>24</v>
      </c>
      <c r="C5" s="34" t="s">
        <v>54</v>
      </c>
      <c r="D5" s="34" t="s">
        <v>26</v>
      </c>
      <c r="E5" s="34" t="s">
        <v>55</v>
      </c>
      <c r="F5" s="33" t="s">
        <v>56</v>
      </c>
      <c r="G5" s="33" t="s">
        <v>57</v>
      </c>
      <c r="H5" s="33" t="s">
        <v>58</v>
      </c>
      <c r="I5" s="33" t="s">
        <v>59</v>
      </c>
      <c r="J5" s="33" t="s">
        <v>60</v>
      </c>
      <c r="K5" s="33" t="s">
        <v>61</v>
      </c>
      <c r="L5" s="33" t="s">
        <v>62</v>
      </c>
      <c r="M5" s="54" t="s">
        <v>63</v>
      </c>
      <c r="N5" s="33" t="s">
        <v>64</v>
      </c>
      <c r="O5" s="33" t="s">
        <v>65</v>
      </c>
      <c r="Q5" s="73" t="s">
        <v>66</v>
      </c>
      <c r="R5" s="74"/>
      <c r="S5" s="74"/>
      <c r="T5" s="75"/>
    </row>
    <row r="6" spans="1:20" ht="30" customHeight="1">
      <c r="A6" s="32" t="s">
        <v>39</v>
      </c>
      <c r="B6" s="2">
        <v>56</v>
      </c>
      <c r="C6" s="2">
        <v>75</v>
      </c>
      <c r="D6" s="2">
        <v>56</v>
      </c>
      <c r="E6" s="2">
        <v>64</v>
      </c>
      <c r="F6" s="2">
        <v>90</v>
      </c>
      <c r="G6" s="2">
        <v>78</v>
      </c>
      <c r="H6" s="2">
        <v>79</v>
      </c>
      <c r="I6" s="2">
        <v>65</v>
      </c>
      <c r="J6" s="2">
        <v>64</v>
      </c>
      <c r="K6" s="2">
        <v>78</v>
      </c>
      <c r="L6" s="2">
        <v>64</v>
      </c>
      <c r="M6" s="36">
        <v>60</v>
      </c>
      <c r="N6" s="2">
        <v>72</v>
      </c>
      <c r="O6" s="2">
        <v>65</v>
      </c>
    </row>
    <row r="7" spans="1:20" ht="30" customHeight="1">
      <c r="A7" s="41" t="s">
        <v>40</v>
      </c>
      <c r="B7" s="2">
        <v>-77</v>
      </c>
      <c r="C7" s="2">
        <v>-92</v>
      </c>
      <c r="D7" s="2">
        <v>-95</v>
      </c>
      <c r="E7" s="2">
        <v>-95</v>
      </c>
      <c r="F7" s="2">
        <v>-91</v>
      </c>
      <c r="G7" s="2">
        <v>-85</v>
      </c>
      <c r="H7" s="2">
        <v>-84</v>
      </c>
      <c r="I7" s="2">
        <v>-10</v>
      </c>
      <c r="J7" s="2">
        <v>-35</v>
      </c>
      <c r="K7" s="2">
        <v>-17</v>
      </c>
      <c r="L7" s="2">
        <v>25</v>
      </c>
      <c r="M7" s="42">
        <v>-2</v>
      </c>
      <c r="N7" s="2">
        <v>99</v>
      </c>
      <c r="O7" s="2">
        <v>-26</v>
      </c>
    </row>
    <row r="8" spans="1:20" ht="15.75" thickBo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20" ht="27.95" customHeight="1" thickBot="1">
      <c r="A9" s="3"/>
      <c r="B9" s="70" t="s">
        <v>41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2"/>
    </row>
    <row r="10" spans="1:20" ht="30" customHeight="1">
      <c r="A10" s="6" t="s">
        <v>22</v>
      </c>
      <c r="B10" s="14">
        <v>43630</v>
      </c>
      <c r="C10" s="14">
        <v>43636</v>
      </c>
      <c r="D10" s="14">
        <v>43638</v>
      </c>
      <c r="E10" s="14">
        <v>43644</v>
      </c>
      <c r="F10" s="14">
        <v>43651</v>
      </c>
      <c r="G10" s="14">
        <v>43658</v>
      </c>
      <c r="H10" s="14">
        <v>43665</v>
      </c>
      <c r="I10" s="14">
        <v>43672</v>
      </c>
      <c r="J10" s="14">
        <v>43679</v>
      </c>
      <c r="K10" s="14">
        <v>43686</v>
      </c>
      <c r="L10" s="14">
        <v>43693</v>
      </c>
      <c r="M10" s="14">
        <v>43700</v>
      </c>
      <c r="N10" s="14">
        <v>43706</v>
      </c>
      <c r="O10" s="14">
        <v>43714</v>
      </c>
    </row>
    <row r="11" spans="1:20" ht="30" customHeight="1">
      <c r="A11" s="13" t="s">
        <v>23</v>
      </c>
      <c r="B11" s="5" t="s">
        <v>24</v>
      </c>
      <c r="C11" s="5" t="s">
        <v>54</v>
      </c>
      <c r="D11" s="5" t="s">
        <v>26</v>
      </c>
      <c r="E11" s="5" t="s">
        <v>55</v>
      </c>
      <c r="F11" s="2" t="s">
        <v>56</v>
      </c>
      <c r="G11" s="2" t="s">
        <v>57</v>
      </c>
      <c r="H11" s="2" t="s">
        <v>58</v>
      </c>
      <c r="I11" s="2" t="s">
        <v>59</v>
      </c>
      <c r="J11" s="2" t="s">
        <v>60</v>
      </c>
      <c r="K11" s="2" t="s">
        <v>61</v>
      </c>
      <c r="L11" s="2" t="s">
        <v>62</v>
      </c>
      <c r="M11" s="53" t="s">
        <v>63</v>
      </c>
      <c r="N11" s="2" t="s">
        <v>64</v>
      </c>
      <c r="O11" s="2" t="s">
        <v>65</v>
      </c>
      <c r="R11" s="1"/>
    </row>
    <row r="12" spans="1:20" ht="30" customHeight="1">
      <c r="A12" s="6" t="s">
        <v>50</v>
      </c>
      <c r="B12" s="56">
        <v>-41.8</v>
      </c>
      <c r="C12" s="56">
        <v>-57</v>
      </c>
      <c r="D12" s="57">
        <v>-58.8</v>
      </c>
      <c r="E12" s="56">
        <v>-55.1</v>
      </c>
      <c r="F12" s="57">
        <v>-47.4</v>
      </c>
      <c r="G12" s="57">
        <v>-22.4</v>
      </c>
      <c r="H12" s="57">
        <v>-2.38</v>
      </c>
      <c r="I12" s="57">
        <v>7.12</v>
      </c>
      <c r="J12" s="57">
        <v>9.94</v>
      </c>
      <c r="K12" s="57">
        <v>6.98</v>
      </c>
      <c r="L12" s="57">
        <v>-2.34</v>
      </c>
      <c r="M12" s="57">
        <v>12</v>
      </c>
      <c r="N12" s="57">
        <v>11.8</v>
      </c>
      <c r="O12" s="57">
        <v>1.99</v>
      </c>
      <c r="Q12" s="78" t="s">
        <v>66</v>
      </c>
      <c r="R12" s="79"/>
      <c r="S12" s="79"/>
      <c r="T12" s="80"/>
    </row>
    <row r="13" spans="1:20" ht="30" customHeight="1">
      <c r="A13" s="6" t="s">
        <v>46</v>
      </c>
      <c r="B13" s="60">
        <f>ABS(B12-B7)</f>
        <v>35.200000000000003</v>
      </c>
      <c r="C13" s="60">
        <f t="shared" ref="C13:O13" si="0">ABS(C12-C7)</f>
        <v>35</v>
      </c>
      <c r="D13" s="60">
        <f t="shared" si="0"/>
        <v>36.200000000000003</v>
      </c>
      <c r="E13" s="60">
        <f t="shared" si="0"/>
        <v>39.9</v>
      </c>
      <c r="F13" s="60">
        <f t="shared" si="0"/>
        <v>43.6</v>
      </c>
      <c r="G13" s="60">
        <f t="shared" si="0"/>
        <v>62.6</v>
      </c>
      <c r="H13" s="60">
        <f t="shared" si="0"/>
        <v>81.62</v>
      </c>
      <c r="I13" s="60">
        <f t="shared" si="0"/>
        <v>17.12</v>
      </c>
      <c r="J13" s="60">
        <f t="shared" si="0"/>
        <v>44.94</v>
      </c>
      <c r="K13" s="60">
        <f t="shared" si="0"/>
        <v>23.98</v>
      </c>
      <c r="L13" s="60">
        <f t="shared" si="0"/>
        <v>27.34</v>
      </c>
      <c r="M13" s="60">
        <f t="shared" si="0"/>
        <v>14</v>
      </c>
      <c r="N13" s="60">
        <f t="shared" si="0"/>
        <v>87.2</v>
      </c>
      <c r="O13" s="60">
        <f t="shared" si="0"/>
        <v>27.99</v>
      </c>
      <c r="Q13" t="s">
        <v>43</v>
      </c>
      <c r="R13" t="s">
        <v>44</v>
      </c>
    </row>
    <row r="14" spans="1:20">
      <c r="Q14">
        <v>3</v>
      </c>
      <c r="R14">
        <v>0</v>
      </c>
    </row>
  </sheetData>
  <mergeCells count="4">
    <mergeCell ref="B3:O3"/>
    <mergeCell ref="B9:O9"/>
    <mergeCell ref="Q5:T5"/>
    <mergeCell ref="Q12:T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903D-BA7C-45D4-BB6F-371332673BAE}">
  <dimension ref="A1:G10"/>
  <sheetViews>
    <sheetView zoomScale="145" zoomScaleNormal="145" workbookViewId="0">
      <selection activeCell="F11" sqref="F11"/>
    </sheetView>
  </sheetViews>
  <sheetFormatPr defaultRowHeight="15"/>
  <cols>
    <col min="1" max="1" width="29.85546875" customWidth="1"/>
    <col min="2" max="2" width="11.140625" customWidth="1"/>
    <col min="3" max="3" width="11" customWidth="1"/>
    <col min="4" max="4" width="10.5703125" bestFit="1" customWidth="1"/>
    <col min="6" max="6" width="15.85546875" customWidth="1"/>
  </cols>
  <sheetData>
    <row r="1" spans="1:7" ht="24.75" customHeight="1">
      <c r="A1" s="43" t="s">
        <v>71</v>
      </c>
    </row>
    <row r="2" spans="1:7" s="22" customFormat="1" ht="38.25" customHeight="1">
      <c r="B2" s="44" t="s">
        <v>72</v>
      </c>
      <c r="C2" s="44" t="s">
        <v>73</v>
      </c>
      <c r="D2" s="44" t="s">
        <v>74</v>
      </c>
      <c r="F2" s="46" t="s">
        <v>75</v>
      </c>
    </row>
    <row r="3" spans="1:7" ht="20.100000000000001" customHeight="1">
      <c r="A3" s="6" t="s">
        <v>76</v>
      </c>
      <c r="B3" s="6">
        <f>Phytoplankton!P12</f>
        <v>1</v>
      </c>
      <c r="C3" s="6">
        <f>Phytoplankton!Q12</f>
        <v>1</v>
      </c>
      <c r="D3" s="59">
        <f>AVERAGE(Phytoplankton!B13:O13)</f>
        <v>63.639285714285698</v>
      </c>
      <c r="F3" s="22" t="s">
        <v>77</v>
      </c>
      <c r="G3" t="s">
        <v>78</v>
      </c>
    </row>
    <row r="4" spans="1:7" ht="20.100000000000001" customHeight="1">
      <c r="A4" s="6" t="s">
        <v>79</v>
      </c>
      <c r="B4" s="6">
        <f>Phytoplankton!P26</f>
        <v>3</v>
      </c>
      <c r="C4" s="6">
        <f>Phytoplankton!Q26</f>
        <v>5</v>
      </c>
      <c r="D4" s="59">
        <f>AVERAGE(Phytoplankton!B27:O27)</f>
        <v>121.85071428571428</v>
      </c>
      <c r="F4" t="s">
        <v>80</v>
      </c>
      <c r="G4" t="s">
        <v>81</v>
      </c>
    </row>
    <row r="5" spans="1:7" ht="20.100000000000001" customHeight="1">
      <c r="A5" s="6" t="s">
        <v>82</v>
      </c>
      <c r="B5" s="6">
        <f>'Copepoda predatory'!Q16</f>
        <v>1</v>
      </c>
      <c r="C5" s="6">
        <f>'Copepoda predatory'!R16</f>
        <v>3</v>
      </c>
      <c r="D5" s="59">
        <f>AVERAGE('Copepoda predatory'!B15:O15)</f>
        <v>27.007142857142856</v>
      </c>
    </row>
    <row r="6" spans="1:7" ht="20.100000000000001" customHeight="1">
      <c r="A6" s="6" t="s">
        <v>83</v>
      </c>
      <c r="B6" s="6">
        <f>'Rotifera herbivorous 2'!Q14</f>
        <v>5</v>
      </c>
      <c r="C6" s="6">
        <f>'Rotifera herbivorous 2'!R14</f>
        <v>0</v>
      </c>
      <c r="D6" s="59">
        <f>AVERAGE('Rotifera herbivorous 2'!B13:O13)</f>
        <v>178.37114285714284</v>
      </c>
      <c r="F6" t="s">
        <v>84</v>
      </c>
      <c r="G6" t="s">
        <v>85</v>
      </c>
    </row>
    <row r="7" spans="1:7" ht="20.100000000000001" customHeight="1">
      <c r="A7" s="6" t="s">
        <v>86</v>
      </c>
      <c r="B7" s="6">
        <f>'Cladocera small'!Q14</f>
        <v>2</v>
      </c>
      <c r="C7" s="6">
        <f>'Cladocera small'!R14</f>
        <v>0</v>
      </c>
      <c r="D7" s="59">
        <f>AVERAGE('Cladocera small'!B13:O13)</f>
        <v>84.4405</v>
      </c>
    </row>
    <row r="8" spans="1:7" ht="20.100000000000001" customHeight="1">
      <c r="A8" s="6" t="s">
        <v>87</v>
      </c>
      <c r="B8" s="6">
        <f>Daphnidae!Q14</f>
        <v>3</v>
      </c>
      <c r="C8" s="6">
        <f>Daphnidae!R14</f>
        <v>0</v>
      </c>
      <c r="D8" s="59">
        <f>AVERAGE(Daphnidae!B13:O13)</f>
        <v>41.192142857142862</v>
      </c>
    </row>
    <row r="9" spans="1:7" ht="20.100000000000001" customHeight="1">
      <c r="A9" s="6"/>
      <c r="B9" s="6"/>
      <c r="C9" s="6"/>
      <c r="D9" s="6"/>
    </row>
    <row r="10" spans="1:7" ht="20.100000000000001" customHeight="1">
      <c r="A10" s="6"/>
      <c r="B10" s="6"/>
      <c r="C10" s="6"/>
      <c r="D10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40d87b-c72c-4c40-aa8f-f17293a06cf8" xsi:nil="true"/>
    <lcf76f155ced4ddcb4097134ff3c332f xmlns="ac4ce1b8-1b9c-4c67-9997-6a09534f034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15" ma:contentTypeDescription="Create a new document." ma:contentTypeScope="" ma:versionID="40f972364507ac95f4489fefba6a19c2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01dac2384098b29500e6ba4c01a508ac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45b586b-fecb-4896-8ea8-413c682a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89cdf4-7483-4f30-9f07-1b47ca50471f}" ma:internalName="TaxCatchAll" ma:showField="CatchAllData" ma:web="8a40d87b-c72c-4c40-aa8f-f17293a06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241AF1-40BC-419C-AE43-DEA8AAD5BA60}"/>
</file>

<file path=customXml/itemProps2.xml><?xml version="1.0" encoding="utf-8"?>
<ds:datastoreItem xmlns:ds="http://schemas.openxmlformats.org/officeDocument/2006/customXml" ds:itemID="{E73677DD-6443-4207-8140-22372DDF800B}"/>
</file>

<file path=customXml/itemProps3.xml><?xml version="1.0" encoding="utf-8"?>
<ds:datastoreItem xmlns:ds="http://schemas.openxmlformats.org/officeDocument/2006/customXml" ds:itemID="{CAAA8A7B-6BEF-49B6-B5E1-086FFDE77E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Accolla</dc:creator>
  <cp:keywords/>
  <dc:description/>
  <cp:lastModifiedBy>Chiara Accolla</cp:lastModifiedBy>
  <cp:revision/>
  <dcterms:created xsi:type="dcterms:W3CDTF">2022-02-22T18:19:44Z</dcterms:created>
  <dcterms:modified xsi:type="dcterms:W3CDTF">2022-10-12T16:52:21Z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  <property fmtid="{D5CDD505-2E9C-101B-9397-08002B2CF9AE}" pid="3" name="MediaServiceImageTags">
    <vt:lpwstr/>
  </property>
</Properties>
</file>