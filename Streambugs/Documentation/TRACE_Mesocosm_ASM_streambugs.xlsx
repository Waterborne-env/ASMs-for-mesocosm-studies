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ebpgroup.sharepoint.com/sites/CH_P_220256/Documents/40_BEARBEITUNG/3_0_0_Documentation/08_FINAL_Github/Documentation/1_Calibration_to_control/"/>
    </mc:Choice>
  </mc:AlternateContent>
  <xr:revisionPtr revIDLastSave="66" documentId="8_{D6031506-3609-493C-A9DE-12DEDACA5C2E}" xr6:coauthVersionLast="47" xr6:coauthVersionMax="47" xr10:uidLastSave="{771A739A-5DC3-43F9-A11C-6730D89D1292}"/>
  <bookViews>
    <workbookView xWindow="2955" yWindow="75" windowWidth="35535" windowHeight="20475" tabRatio="658" xr2:uid="{AEAF0941-EADA-4905-9232-EA735DBF6FB8}"/>
  </bookViews>
  <sheets>
    <sheet name="Meta information" sheetId="2" r:id="rId1"/>
    <sheet name="Input parameters" sheetId="1" r:id="rId2"/>
    <sheet name="Input files" sheetId="7" r:id="rId3"/>
    <sheet name="Intermediary parameters" sheetId="5" r:id="rId4"/>
    <sheet name="Unused references" sheetId="3" r:id="rId5"/>
    <sheet name="Tabelle1" sheetId="9" state="hidden" r:id="rId6"/>
  </sheets>
  <definedNames>
    <definedName name="_xlnm._FilterDatabase" localSheetId="1" hidden="1">'Input parameters'!$A$1:$U$343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1" i="1" l="1"/>
  <c r="L21" i="1"/>
  <c r="K27" i="1"/>
  <c r="L27" i="1"/>
  <c r="K10" i="1"/>
  <c r="H16" i="1"/>
  <c r="H17" i="1"/>
  <c r="H18" i="1"/>
  <c r="H19" i="1"/>
  <c r="H20" i="1"/>
  <c r="H21" i="1"/>
  <c r="H22" i="1"/>
  <c r="H23" i="1"/>
  <c r="H24" i="1"/>
  <c r="H25" i="1"/>
  <c r="H26" i="1"/>
  <c r="H27" i="1"/>
  <c r="H28" i="1"/>
  <c r="H29" i="1"/>
  <c r="H30" i="1"/>
  <c r="H15" i="1"/>
  <c r="L10" i="1"/>
  <c r="K11" i="1"/>
  <c r="L11" i="1"/>
  <c r="K12" i="1"/>
  <c r="L12" i="1"/>
  <c r="K15" i="1"/>
  <c r="L15" i="1"/>
  <c r="K16" i="1"/>
  <c r="L16" i="1"/>
  <c r="K17" i="1"/>
  <c r="L17" i="1"/>
  <c r="K18" i="1"/>
  <c r="L18" i="1"/>
  <c r="K19" i="1"/>
  <c r="L19" i="1"/>
  <c r="K20" i="1"/>
  <c r="L20" i="1"/>
  <c r="K22" i="1"/>
  <c r="L22" i="1"/>
  <c r="K23" i="1"/>
  <c r="L23" i="1"/>
  <c r="K24" i="1"/>
  <c r="L24" i="1"/>
  <c r="K25" i="1"/>
  <c r="L25" i="1"/>
  <c r="K26" i="1"/>
  <c r="L26"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22" i="1"/>
  <c r="L122" i="1"/>
  <c r="K123" i="1"/>
  <c r="L123" i="1"/>
  <c r="K124" i="1"/>
  <c r="L124" i="1"/>
  <c r="K126" i="1"/>
  <c r="L126" i="1"/>
  <c r="K127" i="1"/>
  <c r="L127" i="1"/>
  <c r="K128" i="1"/>
  <c r="L128" i="1"/>
  <c r="K129" i="1"/>
  <c r="L129" i="1"/>
  <c r="K130" i="1"/>
  <c r="L130"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47" i="1"/>
  <c r="L247" i="1"/>
  <c r="K248" i="1"/>
  <c r="L248" i="1"/>
  <c r="K249" i="1"/>
  <c r="L249" i="1"/>
  <c r="K250" i="1"/>
  <c r="L250" i="1"/>
  <c r="K251" i="1"/>
  <c r="L251" i="1"/>
  <c r="K252" i="1"/>
  <c r="L252" i="1"/>
  <c r="K253" i="1"/>
  <c r="L253" i="1"/>
  <c r="K254" i="1"/>
  <c r="L254" i="1"/>
  <c r="K255" i="1"/>
  <c r="L255" i="1"/>
  <c r="K256" i="1"/>
  <c r="L256" i="1"/>
  <c r="K257" i="1"/>
  <c r="L257" i="1"/>
  <c r="K258" i="1"/>
  <c r="L258" i="1"/>
  <c r="K259" i="1"/>
  <c r="L259" i="1"/>
  <c r="K260" i="1"/>
  <c r="L260" i="1"/>
  <c r="K261" i="1"/>
  <c r="L261" i="1"/>
  <c r="K262" i="1"/>
  <c r="L262" i="1"/>
  <c r="K263" i="1"/>
  <c r="L263" i="1"/>
  <c r="K264" i="1"/>
  <c r="L264" i="1"/>
  <c r="K265" i="1"/>
  <c r="L265" i="1"/>
  <c r="K266" i="1"/>
  <c r="L266" i="1"/>
  <c r="K267" i="1"/>
  <c r="L267" i="1"/>
  <c r="K268" i="1"/>
  <c r="L268" i="1"/>
  <c r="K269" i="1"/>
  <c r="L269" i="1"/>
  <c r="K270" i="1"/>
  <c r="L270" i="1"/>
  <c r="K271" i="1"/>
  <c r="L271" i="1"/>
  <c r="K272" i="1"/>
  <c r="L272" i="1"/>
  <c r="K273" i="1"/>
  <c r="L273" i="1"/>
  <c r="K274" i="1"/>
  <c r="L274" i="1"/>
  <c r="K275" i="1"/>
  <c r="L275" i="1"/>
  <c r="K276" i="1"/>
  <c r="L276" i="1"/>
  <c r="K277" i="1"/>
  <c r="L277" i="1"/>
  <c r="K278" i="1"/>
  <c r="L278" i="1"/>
  <c r="K279" i="1"/>
  <c r="L279" i="1"/>
  <c r="K280" i="1"/>
  <c r="L280" i="1"/>
  <c r="K281" i="1"/>
  <c r="L281" i="1"/>
  <c r="K282" i="1"/>
  <c r="L282" i="1"/>
  <c r="K283" i="1"/>
  <c r="L283" i="1"/>
  <c r="K284" i="1"/>
  <c r="L284" i="1"/>
  <c r="K285" i="1"/>
  <c r="L285" i="1"/>
  <c r="K286" i="1"/>
  <c r="L286" i="1"/>
  <c r="K287" i="1"/>
  <c r="L287" i="1"/>
  <c r="K288" i="1"/>
  <c r="L288" i="1"/>
  <c r="K289" i="1"/>
  <c r="L289" i="1"/>
  <c r="K290" i="1"/>
  <c r="L290" i="1"/>
  <c r="K291" i="1"/>
  <c r="L291" i="1"/>
  <c r="K292" i="1"/>
  <c r="L292" i="1"/>
  <c r="K293" i="1"/>
  <c r="L293" i="1"/>
  <c r="K294" i="1"/>
  <c r="L294" i="1"/>
  <c r="K295" i="1"/>
  <c r="L295" i="1"/>
  <c r="K296" i="1"/>
  <c r="L296" i="1"/>
  <c r="K297" i="1"/>
  <c r="L297" i="1"/>
  <c r="K298" i="1"/>
  <c r="L298" i="1"/>
  <c r="K299" i="1"/>
  <c r="L299" i="1"/>
  <c r="K300" i="1"/>
  <c r="L300" i="1"/>
  <c r="K301" i="1"/>
  <c r="L301" i="1"/>
  <c r="K302" i="1"/>
  <c r="L302" i="1"/>
  <c r="K303" i="1"/>
  <c r="L303" i="1"/>
  <c r="K304" i="1"/>
  <c r="L304" i="1"/>
  <c r="K305" i="1"/>
  <c r="L305" i="1"/>
  <c r="K306" i="1"/>
  <c r="L306" i="1"/>
  <c r="K307" i="1"/>
  <c r="L307" i="1"/>
  <c r="K308" i="1"/>
  <c r="L308" i="1"/>
  <c r="K309" i="1"/>
  <c r="L309" i="1"/>
  <c r="K310" i="1"/>
  <c r="L310" i="1"/>
  <c r="K311" i="1"/>
  <c r="L311" i="1"/>
  <c r="K312" i="1"/>
  <c r="L312" i="1"/>
  <c r="K313" i="1"/>
  <c r="L313" i="1"/>
  <c r="K314" i="1"/>
  <c r="L314" i="1"/>
  <c r="K315" i="1"/>
  <c r="L315" i="1"/>
  <c r="K316" i="1"/>
  <c r="L316" i="1"/>
  <c r="K317" i="1"/>
  <c r="L317" i="1"/>
  <c r="K330" i="1"/>
  <c r="L330" i="1"/>
  <c r="K331" i="1"/>
  <c r="L331" i="1"/>
  <c r="K332" i="1"/>
  <c r="L332" i="1"/>
  <c r="K333" i="1"/>
  <c r="L333" i="1"/>
  <c r="K334" i="1"/>
  <c r="L334" i="1"/>
  <c r="K335" i="1"/>
  <c r="L335" i="1"/>
  <c r="G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tc={5699BA5E-5DF6-49D2-8753-82E300BFB96E}</author>
  </authors>
  <commentList>
    <comment ref="G15" authorId="0" shapeId="0" xr:uid="{5699BA5E-5DF6-49D2-8753-82E300BFB9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https://ebpgroup.sharepoint.com/sites/CH_P_220256/Documents/30_GRUNDLAGEN/10_Waterborne_project_folder/Conversions/Species_groups_references_February%202021%20References%20included.xlsx?web=1</t>
      </text>
    </comment>
  </commentList>
</comments>
</file>

<file path=xl/sharedStrings.xml><?xml version="1.0" encoding="utf-8"?>
<sst xmlns="http://schemas.openxmlformats.org/spreadsheetml/2006/main" count="6153" uniqueCount="779">
  <si>
    <t>Parameter name</t>
  </si>
  <si>
    <t>Name in code</t>
  </si>
  <si>
    <t>Unit</t>
  </si>
  <si>
    <t>Estimated value</t>
  </si>
  <si>
    <t>Description of methods used for parameter estimation (or reference to separate document)</t>
  </si>
  <si>
    <t>External files used for parameter estimation (e.g., scripts, tables, etc.)</t>
  </si>
  <si>
    <t>Name of the parameter used in the model description</t>
  </si>
  <si>
    <t>Name of parameter in the model code</t>
  </si>
  <si>
    <t>Parameter unit</t>
  </si>
  <si>
    <t>Biological name/meaning</t>
  </si>
  <si>
    <t>Parameter value used as baseline</t>
  </si>
  <si>
    <t>Estimation method (direct use of data, derived from literature source, calibration)</t>
  </si>
  <si>
    <t>Uncertainty (min, max of 95% interval or range of reported values)</t>
  </si>
  <si>
    <t xml:space="preserve">Biologically relevant range of parameter values </t>
  </si>
  <si>
    <t>References (including page #, table #, etc.)</t>
  </si>
  <si>
    <t xml:space="preserve">Species used in measurement </t>
  </si>
  <si>
    <t>Species for which the data used for parameter estimation was reported in the references</t>
  </si>
  <si>
    <t>Experimental setting of measurement</t>
  </si>
  <si>
    <t>External files used for parameter estimation (e.g., scripts, tables, etc.) or description of methodology</t>
  </si>
  <si>
    <t>Used in the calculation/ estimation of model parameter(s)</t>
  </si>
  <si>
    <t>Documentation of model inputs for model:</t>
  </si>
  <si>
    <t>Tables included:</t>
  </si>
  <si>
    <t>Input parameters</t>
  </si>
  <si>
    <t>List of model input parameters and detailed documentation of parameter estimation (see description of columns below)</t>
  </si>
  <si>
    <t>Intermediary parameters</t>
  </si>
  <si>
    <t xml:space="preserve">Input files </t>
  </si>
  <si>
    <t>Description of methods and intermediary parameters used for parameter estimation (or reference to separate document)</t>
  </si>
  <si>
    <t>Estimation method (direct use of data, derived from literature source, model calibration)</t>
  </si>
  <si>
    <t>Description of uncertainty of data in the input file</t>
  </si>
  <si>
    <t>Type of data in input file (e.g., daily temperature)</t>
  </si>
  <si>
    <t>File name in which data is contained</t>
  </si>
  <si>
    <t>Unit(s) of data</t>
  </si>
  <si>
    <t>Name/meaning in real system</t>
  </si>
  <si>
    <t>Format of data (e.g., number of data points included)</t>
  </si>
  <si>
    <t>Corresponding name or meaning of the parameter in the real system(e.g., wet weight)</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</si>
  <si>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</si>
  <si>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Description of system from which data originates</t>
  </si>
  <si>
    <t>Estimation method (direct use of data, derived from original source, etc.)</t>
  </si>
  <si>
    <t>Description of methods and intermediary parameters used for compilation of input data (or reference to separate document)</t>
  </si>
  <si>
    <t>External files used for data estimation/ compilation (e.g., scripts, tables, etc.) or description of methodology</t>
  </si>
  <si>
    <t>Name of intermediary parameter</t>
  </si>
  <si>
    <t xml:space="preserve">Columns in 'Input parameters' </t>
  </si>
  <si>
    <t>Columns in 'Intermediary parameters'</t>
  </si>
  <si>
    <t>Name of the intermediary parameter used in the model description</t>
  </si>
  <si>
    <t>Name of the model input parameter(s) or input data that use the intermediary parameter for their estimation or calculation</t>
  </si>
  <si>
    <t>Corresponding name or meaning of the parameter in the real system (e.g., wet weight)</t>
  </si>
  <si>
    <t>Columns in 'Input files'</t>
  </si>
  <si>
    <t>List each type of data read from file by the model separately even if multiple data types are included in a single input file</t>
  </si>
  <si>
    <t>Name of the input file in which the data is contained</t>
  </si>
  <si>
    <t>Units of the data set</t>
  </si>
  <si>
    <t>Format of data needed in the input file, including, e.g., temporal resolution, number of data entries, etc.</t>
  </si>
  <si>
    <t>Name or meaning of the data in the corresponding real system</t>
  </si>
  <si>
    <t xml:space="preserve">Uncertainty in the input data </t>
  </si>
  <si>
    <t>References used for compilation of input data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</si>
  <si>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Location, time of measurements taken; differences between system from which data were taken and the specific mesocosms used for the current study</t>
  </si>
  <si>
    <t>Method used for data estimation</t>
  </si>
  <si>
    <t xml:space="preserve">Name of input or intermediary parameter or input data </t>
  </si>
  <si>
    <t xml:space="preserve">Reference to source presenting relevant measurements </t>
  </si>
  <si>
    <t>Data presented in the source: species, experimental setting and design</t>
  </si>
  <si>
    <t>Reason the source was not used for parameter or input estimation</t>
  </si>
  <si>
    <t>Unused references</t>
  </si>
  <si>
    <t>According to the EFSA good modeling practice (2014), all data available to parameterize a model should be used. If a relevant data source is not used, a justification is needed. This table lists the unused reference along with a justification.</t>
  </si>
  <si>
    <t>List of parameters used to calculate or estimate model input parameters (e.g., conversion factors, etc.; see description of columns below)</t>
  </si>
  <si>
    <t>List of input files used by the model (e.g., daily weather data); if model parameters are defined in input files, the individual parameters also need to be documented in the input parameter table as well</t>
  </si>
  <si>
    <t>Input method</t>
  </si>
  <si>
    <t>Description of how parameter is fed into the model, e.g., interface, input file (include file name)</t>
  </si>
  <si>
    <t>References used for parameter estimation including details such as page, table and/or figure number, version number or access date for online data bases; if other relevant references reporting data for the estimation of the parameter are avaialbe, but were not used, note "see unused references" and list those on sheet "Unused references" along with a justification why the references were not used.</t>
  </si>
  <si>
    <t>Columns in 'Unused references'</t>
  </si>
  <si>
    <t>Please use the name stated in the corresponding column in 'Input parameters: Parameter name', 'Input files: Type of data in input file' or Intermediary parameters: Name of intermediary parameter'</t>
  </si>
  <si>
    <t>Reference to publication including page number, table or figure number</t>
  </si>
  <si>
    <t>Summary of conditions under which data were collected in the study (study species, experimental design, etc.)</t>
  </si>
  <si>
    <t>Justification why the source was not used for the parameter (or input) estimation, e.g., lack of data quality, too small sample size, study conditions too different from mesocosm studies, etc.</t>
  </si>
  <si>
    <t>Justification of relevance</t>
  </si>
  <si>
    <t>Justification for the use of the data source if species or experimental setting differ from mesocosm study: why is the data source relevant for model parameterization nevertheless? In addition to a brief summary here, you can provide a reference to the TRACE documentation (including section and page number).</t>
  </si>
  <si>
    <t>Summary of experimental setting and design reported in the references, including laboratory conditions or location and time of field setting, sample sizes etc. Detailed description of the studies or data sets used for parameterization, including an assessment of data quality, to be included in the TRACE documentation (provide corresponding section and page number).</t>
  </si>
  <si>
    <t>General approach used for parameter estimation</t>
  </si>
  <si>
    <t>Description of methods used to derive or estimate the parameter value and uncertainty from empirical data, intermediary parameters (see separate sheet) applied; provide detailed method description as applicable in the TRACE documentation, and include reference to section and page number</t>
  </si>
  <si>
    <t>External files used for the parameter estimation and short description of files or description of methodology; include reference to TRACE documentation (including section and page number) if applicable</t>
  </si>
  <si>
    <t>Description of methods used to derive or estimate the input values and uncertainty from empirical data, intermediary parameters (see separate sheet) applied; provide detailed method description as applicable in the TRACE documentation, and include reference to section and page number</t>
  </si>
  <si>
    <t>Project: Ecosystem modeling of mesocosm studies</t>
  </si>
  <si>
    <t>Organic matter</t>
  </si>
  <si>
    <t>Energy content of organic matter</t>
  </si>
  <si>
    <t>Initial density of fine organic matter</t>
  </si>
  <si>
    <t>Mineralization constant of fine organic matter</t>
  </si>
  <si>
    <t>J/gDM</t>
  </si>
  <si>
    <t>-</t>
  </si>
  <si>
    <t>SD</t>
  </si>
  <si>
    <t>acer saccharinum (silver maple) and populus deltoides (cottonwood) leaves</t>
  </si>
  <si>
    <t xml:space="preserve">leaves wer incubated in streams, either on surface or buried. </t>
  </si>
  <si>
    <t>Value used in Streambugs, assumed to be similar in ponds</t>
  </si>
  <si>
    <t>starting value for prior</t>
  </si>
  <si>
    <t>M</t>
  </si>
  <si>
    <t>EC</t>
  </si>
  <si>
    <t>E</t>
  </si>
  <si>
    <t>b</t>
  </si>
  <si>
    <t>Mean individual body mass</t>
  </si>
  <si>
    <t>Energy content</t>
  </si>
  <si>
    <t>Activation energy</t>
  </si>
  <si>
    <t>Normalization constant for metabolic rates</t>
  </si>
  <si>
    <t>Allometric scaling exponent</t>
  </si>
  <si>
    <t>Multiplicative factor regarding respiration</t>
  </si>
  <si>
    <t>Taxon-specific modification factor regarding basal metabolism</t>
  </si>
  <si>
    <t>Multiplicative factor regarding growth of primary producers</t>
  </si>
  <si>
    <t>Taxon-specific modification factor of the growth rate</t>
  </si>
  <si>
    <t>Multiplicative factor regarding mortality</t>
  </si>
  <si>
    <t>Half-saturation density of biomass regarding self-inhibition</t>
  </si>
  <si>
    <t>Halfsaturation concentration of nitrate plus ammonia</t>
  </si>
  <si>
    <t>Halfsaturation concentration of phosphate</t>
  </si>
  <si>
    <t>Initial algae density</t>
  </si>
  <si>
    <t>gAFDM</t>
  </si>
  <si>
    <t>eV</t>
  </si>
  <si>
    <t>J/yr</t>
  </si>
  <si>
    <t>mgN/L</t>
  </si>
  <si>
    <t>mgP/L</t>
  </si>
  <si>
    <t>Distribution</t>
  </si>
  <si>
    <t>Multiplicative factor regarding growth of consumers</t>
  </si>
  <si>
    <t>Multiplicative factor regarding natural mortality</t>
  </si>
  <si>
    <t>Fraction of ingested food converted to FPOM during predation by excretion and sloppy feeding</t>
  </si>
  <si>
    <t>Fraction of ingested food converted to FPOM during scraping by excretion and sloppy feeding</t>
  </si>
  <si>
    <t>Runck2007: chironomid</t>
  </si>
  <si>
    <t>Runck2007: taken from another study, used for conversion in the study</t>
  </si>
  <si>
    <t>Mean individual biomass</t>
  </si>
  <si>
    <t>Taxon-specific modification factor regarding growth</t>
  </si>
  <si>
    <t>Halfsaturation density of biomass regarding self-inhibition</t>
  </si>
  <si>
    <t>Halfsaturation constant for sum of food sources </t>
  </si>
  <si>
    <t>gDM/ind</t>
  </si>
  <si>
    <t>gDM</t>
  </si>
  <si>
    <t>m</t>
  </si>
  <si>
    <t>study standardized all data to 20°C</t>
  </si>
  <si>
    <t>Algae_b</t>
  </si>
  <si>
    <t>Algae_i0</t>
  </si>
  <si>
    <t>Invertebrates_Ea</t>
  </si>
  <si>
    <t>Invertebrates_b</t>
  </si>
  <si>
    <t>Invertebrates_i0</t>
  </si>
  <si>
    <t>FPOM_kminer</t>
  </si>
  <si>
    <t>Invertebrates_fresp</t>
  </si>
  <si>
    <t>Invertebrates_fdeath</t>
  </si>
  <si>
    <t>Invertebrates_fcons</t>
  </si>
  <si>
    <t>Pred_fe</t>
  </si>
  <si>
    <t>Scra_fe</t>
  </si>
  <si>
    <t>Algae_aC</t>
  </si>
  <si>
    <t>Algae_aO</t>
  </si>
  <si>
    <t>Algae_aH</t>
  </si>
  <si>
    <t>Algae_aN</t>
  </si>
  <si>
    <t>Algae_aP</t>
  </si>
  <si>
    <t>gC/gAlgae</t>
  </si>
  <si>
    <t>gO/gAlgae</t>
  </si>
  <si>
    <t>gH/gAlgae</t>
  </si>
  <si>
    <t>gN/gAlgae</t>
  </si>
  <si>
    <t>gP/gAlgae</t>
  </si>
  <si>
    <t>Invertebrates_EC</t>
  </si>
  <si>
    <t>Invertebrates_aC</t>
  </si>
  <si>
    <t>Invertebrates_aO</t>
  </si>
  <si>
    <t>Invertebrates_aH</t>
  </si>
  <si>
    <t>Invertebrates_aN</t>
  </si>
  <si>
    <t>Invertebrates_aP</t>
  </si>
  <si>
    <t>gC/gInvertebrates</t>
  </si>
  <si>
    <t>gO/gInvertebrates</t>
  </si>
  <si>
    <t>gH/gInvertebrates</t>
  </si>
  <si>
    <t>gN/gInvertebrates</t>
  </si>
  <si>
    <t>gP/gInvertebrates</t>
  </si>
  <si>
    <t>gAFDM (g ash free dry biomass)</t>
  </si>
  <si>
    <t>J/gAFDM </t>
  </si>
  <si>
    <t>Algae_EC</t>
  </si>
  <si>
    <t>FPOM_aC</t>
  </si>
  <si>
    <t>FPOM_aO</t>
  </si>
  <si>
    <t>FPOM_aH</t>
  </si>
  <si>
    <t>FPOM_aN</t>
  </si>
  <si>
    <t>FPOM_aP</t>
  </si>
  <si>
    <t>gC/gPOM</t>
  </si>
  <si>
    <t>gO/gPOM</t>
  </si>
  <si>
    <t>gH/gPOM</t>
  </si>
  <si>
    <t>gN/gPOM</t>
  </si>
  <si>
    <t>gP/gPOM</t>
  </si>
  <si>
    <t>Environmental parameter</t>
  </si>
  <si>
    <t>Global parameters</t>
  </si>
  <si>
    <t>kBoltzmann</t>
  </si>
  <si>
    <t>River width</t>
  </si>
  <si>
    <t>L</t>
  </si>
  <si>
    <t>River reach length</t>
  </si>
  <si>
    <t>eV/K</t>
  </si>
  <si>
    <t>Boltzman constant</t>
  </si>
  <si>
    <t>input of the taxon in the given habitat of a reach</t>
  </si>
  <si>
    <t>W/m2</t>
  </si>
  <si>
    <t>Area fraction of habitat (need not be normalized)</t>
  </si>
  <si>
    <t>currentms</t>
  </si>
  <si>
    <t>m/s</t>
  </si>
  <si>
    <t>mean current velocity in m/s</t>
  </si>
  <si>
    <t>measured value</t>
  </si>
  <si>
    <t>environmental_conditions_fix.txt</t>
  </si>
  <si>
    <t>Hydrogen content of FPOM</t>
  </si>
  <si>
    <t>Nitrogen content of FPOM</t>
  </si>
  <si>
    <t>Phosphorous content of FPOM</t>
  </si>
  <si>
    <t>Carbon content of FPOM</t>
  </si>
  <si>
    <t>Oxygen content of FPOM</t>
  </si>
  <si>
    <t>1/a</t>
  </si>
  <si>
    <t>Carbon content of Algae</t>
  </si>
  <si>
    <t>Oxygen content of Algae</t>
  </si>
  <si>
    <t>Hydrogen content of Algae</t>
  </si>
  <si>
    <t>Nitrogen content of Algae</t>
  </si>
  <si>
    <t>Phosphorous content of Algae</t>
  </si>
  <si>
    <t>Carbon content of Invertebrates</t>
  </si>
  <si>
    <t>Oxygen content of Invertebrates</t>
  </si>
  <si>
    <t>Hydrogen content of Invertebrates</t>
  </si>
  <si>
    <t>Nitrogen content of Invertebrates</t>
  </si>
  <si>
    <t>Phosphorous content of Invertebrates</t>
  </si>
  <si>
    <t>periphyton</t>
  </si>
  <si>
    <t xml:space="preserve">we model periphyton, values agree well with other </t>
  </si>
  <si>
    <t>in streams, periphyton contained 1.0 - 1.45% Chlorophylla (AFDM)</t>
  </si>
  <si>
    <t>Runck 2007, Fig. 4</t>
  </si>
  <si>
    <t>Strauss 2021: Compilation of correlations of chlorophyll a data and phytoplankton biomasses</t>
  </si>
  <si>
    <t xml:space="preserve">Chlorophyceae, Cyanobacteria, Diatoms and chrysophyceae, Cryptophyceae, Doinophyceae, </t>
  </si>
  <si>
    <t>REYNOLDS, Colin S. The ecology of freshwater phytoplankton. Cambridge university press, 1984.</t>
  </si>
  <si>
    <t>NA</t>
  </si>
  <si>
    <t>Daphnidae</t>
  </si>
  <si>
    <t>Simocephalus</t>
  </si>
  <si>
    <t>Blue Greens</t>
  </si>
  <si>
    <t>Greens</t>
  </si>
  <si>
    <t>Diatoms</t>
  </si>
  <si>
    <t>Cryptophytes</t>
  </si>
  <si>
    <t>Kattwinkel 2016, Joergensen 1991, Snoeijs 2002</t>
  </si>
  <si>
    <t>f.asellus</t>
  </si>
  <si>
    <t>f.chiro</t>
  </si>
  <si>
    <t>f.snails</t>
  </si>
  <si>
    <t>f.oligo</t>
  </si>
  <si>
    <t>f.chaoborus</t>
  </si>
  <si>
    <t>f.chla</t>
  </si>
  <si>
    <t>abundance in mesocosm</t>
  </si>
  <si>
    <t>1/m2</t>
  </si>
  <si>
    <t>0.1 - 1.3</t>
  </si>
  <si>
    <t>Conversion factors to extrapolate number of asellus, gammarus in sample to abundance in mesocosm</t>
  </si>
  <si>
    <t>Conversion factors to extrapolate gastropoda in sample to abundance in mesocosm</t>
  </si>
  <si>
    <t>Conversion factors to extrapolate hirudinea, oligochaeta in sample to abundance in mesocosm</t>
  </si>
  <si>
    <t>Conversion factors to extrapolate chironomidae, tanypodinae in sample to abundance in mesocosm</t>
  </si>
  <si>
    <t>Conversion factors to extrapolate chaoborus, cloeon, nepomorpha, odonata in sample to abundance in mesocosm</t>
  </si>
  <si>
    <t>Conversion factors to extrapolate number of invertebrates in sample to abundance in mesocosm</t>
  </si>
  <si>
    <t>no name (is calculated)</t>
  </si>
  <si>
    <t>12.2-16.1</t>
  </si>
  <si>
    <t>0.2-2.3</t>
  </si>
  <si>
    <t>1L</t>
  </si>
  <si>
    <t>Conversion to extrapolate from periphyton density on slide to density in mesocosm</t>
  </si>
  <si>
    <t>extrapolations assumes algae grows on ground and walls of the mesocosm. We ignore periphyton growing on macrophytes</t>
  </si>
  <si>
    <t>chlorophyll a content per mg of dry weight</t>
  </si>
  <si>
    <t>ug Chl a / mg DW</t>
  </si>
  <si>
    <t xml:space="preserve">periphyton and phytoplankton biomass density </t>
  </si>
  <si>
    <t>see references belows</t>
  </si>
  <si>
    <t>Other extrapolation factors</t>
  </si>
  <si>
    <t>none</t>
  </si>
  <si>
    <t>PhBlueGreens_M</t>
  </si>
  <si>
    <t>PhGreens_M</t>
  </si>
  <si>
    <t>PhDiatoms_M</t>
  </si>
  <si>
    <t>PhCryptophytes_M</t>
  </si>
  <si>
    <t>PeBlueGreens_M</t>
  </si>
  <si>
    <t>PeGreens_M</t>
  </si>
  <si>
    <t>PeDiatoms_M</t>
  </si>
  <si>
    <t>Prior mean</t>
  </si>
  <si>
    <t>Prior SD</t>
  </si>
  <si>
    <t>PeBlueGreens_Co14a_hab1_Dini</t>
  </si>
  <si>
    <t>PeBlueGreens_Co16a_hab1_Dini</t>
  </si>
  <si>
    <t>PeBlueGreens_Co18c_hab1_Dini</t>
  </si>
  <si>
    <t>PeBlueGreens_Co19b_hab1_Dini</t>
  </si>
  <si>
    <t>PeDiatoms_Co14a_hab1_Dini</t>
  </si>
  <si>
    <t>PeDiatoms_Co16a_hab1_Dini</t>
  </si>
  <si>
    <t>PeDiatoms_Co18c_hab1_Dini</t>
  </si>
  <si>
    <t>PeDiatoms_Co19b_hab1_Dini</t>
  </si>
  <si>
    <t>PeGreens_Co14a_hab1_Dini</t>
  </si>
  <si>
    <t>PeGreens_Co16a_hab1_Dini</t>
  </si>
  <si>
    <t>PeGreens_Co18c_hab1_Dini</t>
  </si>
  <si>
    <t>PeGreens_Co19b_hab1_Dini</t>
  </si>
  <si>
    <t>PhBlueGreens_Co14a_hab1_Dini</t>
  </si>
  <si>
    <t>PhBlueGreens_Co16a_hab1_Dini</t>
  </si>
  <si>
    <t>PhBlueGreens_Co18c_hab1_Dini</t>
  </si>
  <si>
    <t>PhBlueGreens_Co19b_hab1_Dini</t>
  </si>
  <si>
    <t>PhCryptophytes_Co14a_hab1_Dini</t>
  </si>
  <si>
    <t>PhCryptophytes_Co16a_hab1_Dini</t>
  </si>
  <si>
    <t>PhCryptophytes_Co18c_hab1_Dini</t>
  </si>
  <si>
    <t>PhCryptophytes_Co19b_hab1_Dini</t>
  </si>
  <si>
    <t>PhDiatoms_Co14a_hab1_Dini</t>
  </si>
  <si>
    <t>PhDiatoms_Co16a_hab1_Dini</t>
  </si>
  <si>
    <t>PhDiatoms_Co18c_hab1_Dini</t>
  </si>
  <si>
    <t>PhDiatoms_Co19b_hab1_Dini</t>
  </si>
  <si>
    <t>PhGreens_Co14a_hab1_Dini</t>
  </si>
  <si>
    <t>PhGreens_Co16a_hab1_Dini</t>
  </si>
  <si>
    <t>PhGreens_Co18c_hab1_Dini</t>
  </si>
  <si>
    <t>PhGreens_Co19b_hab1_Dini</t>
  </si>
  <si>
    <t>Calculated from first measurment and converted to gDM/m2 using the conversion factors</t>
  </si>
  <si>
    <t>PhBlueGreens_KI</t>
  </si>
  <si>
    <t>PhGreens_KI</t>
  </si>
  <si>
    <t>PhDiatoms_KI</t>
  </si>
  <si>
    <t>PhCryptophytes_KI</t>
  </si>
  <si>
    <t>PeBlueGreens_KI</t>
  </si>
  <si>
    <t>PeGreens_KI</t>
  </si>
  <si>
    <t>PeDiatoms_KI</t>
  </si>
  <si>
    <t>KI</t>
  </si>
  <si>
    <t>Half saturation light intensity of algae growth</t>
  </si>
  <si>
    <t>PhBlueGreens_Ea</t>
  </si>
  <si>
    <t>PhGreens_Ea</t>
  </si>
  <si>
    <t>PhDiatoms_Ea</t>
  </si>
  <si>
    <t>PhCryptophytes_Ea</t>
  </si>
  <si>
    <t>PeBlueGreens_Ea</t>
  </si>
  <si>
    <t>PeGreens_Ea</t>
  </si>
  <si>
    <t>PeDiatoms_Ea</t>
  </si>
  <si>
    <t>lognormal</t>
  </si>
  <si>
    <t>PhBlueGreens_fbasaltax</t>
  </si>
  <si>
    <t>PhGreens_fbasaltax</t>
  </si>
  <si>
    <t>PhDiatoms_fbasaltax</t>
  </si>
  <si>
    <t>PhCryptophytes_fbasaltax</t>
  </si>
  <si>
    <t>PeBlueGreens_fbasaltax</t>
  </si>
  <si>
    <t>PeGreens_fbasaltax</t>
  </si>
  <si>
    <t>PeDiatoms_fbasaltax</t>
  </si>
  <si>
    <t>PhBlueGreens_hdens</t>
  </si>
  <si>
    <t>PhGreens_hdens</t>
  </si>
  <si>
    <t>PhDiatoms_hdens</t>
  </si>
  <si>
    <t>PhCryptophytes_hdens</t>
  </si>
  <si>
    <t>PeBlueGreens_hdens</t>
  </si>
  <si>
    <t>PeGreens_hdens</t>
  </si>
  <si>
    <t>PeDiatoms_hdens</t>
  </si>
  <si>
    <t>Universal  parameters for phytoplankton and periphyton</t>
  </si>
  <si>
    <t>Universal parameters for macroinvertebrates and  zooplankton</t>
  </si>
  <si>
    <t>CladoceraPhytophilous_M</t>
  </si>
  <si>
    <t>CladoceraSmall_M</t>
  </si>
  <si>
    <t>CopepodaHerbivorous_M</t>
  </si>
  <si>
    <t>CopepodaPredatory_M</t>
  </si>
  <si>
    <t>Daphnidae_M</t>
  </si>
  <si>
    <t>Simocephalus_M</t>
  </si>
  <si>
    <t>RotiferaHerbivorous1_M</t>
  </si>
  <si>
    <t>RotiferaHerbivorous2_M</t>
  </si>
  <si>
    <t>Asellus_M</t>
  </si>
  <si>
    <t>Chaoborus_M</t>
  </si>
  <si>
    <t>Chironomidae_M</t>
  </si>
  <si>
    <t>Cloeon_M</t>
  </si>
  <si>
    <t>Gammarus_M</t>
  </si>
  <si>
    <t>Gastropoda_M</t>
  </si>
  <si>
    <t>Hirudinea_M</t>
  </si>
  <si>
    <t>Nepomorpha_M</t>
  </si>
  <si>
    <t>Odonata_M</t>
  </si>
  <si>
    <t>Oligochaeta_M</t>
  </si>
  <si>
    <t>Tanypodinae_M</t>
  </si>
  <si>
    <t>parameter_input.dat</t>
  </si>
  <si>
    <t>CladoceraPhytophilous_fbasaltax</t>
  </si>
  <si>
    <t>CladoceraSmall_fbasaltax</t>
  </si>
  <si>
    <t>CopepodaHerbivorous_fbasaltax</t>
  </si>
  <si>
    <t>CopepodaPredatory_fbasaltax</t>
  </si>
  <si>
    <t>Daphnidae_fbasaltax</t>
  </si>
  <si>
    <t>Simocephalus_fbasaltax</t>
  </si>
  <si>
    <t>RotiferaHerbivorous1_fbasaltax</t>
  </si>
  <si>
    <t>RotiferaHerbivorous2_fbasaltax</t>
  </si>
  <si>
    <t>Asellus_fbasaltax</t>
  </si>
  <si>
    <t>Chaoborus_fbasaltax</t>
  </si>
  <si>
    <t>Chironomidae_fbasaltax</t>
  </si>
  <si>
    <t>Cloeon_fbasaltax</t>
  </si>
  <si>
    <t>Gammarus_fbasaltax</t>
  </si>
  <si>
    <t>Gastropoda_fbasaltax</t>
  </si>
  <si>
    <t>Hirudinea_fbasaltax</t>
  </si>
  <si>
    <t>Nepomorpha_fbasaltax</t>
  </si>
  <si>
    <t>Odonata_fbasaltax</t>
  </si>
  <si>
    <t>Oligochaeta_fbasaltax</t>
  </si>
  <si>
    <t>Tanypodinae_fbasaltax</t>
  </si>
  <si>
    <t>CladoceraPhytophilous_fgrotax</t>
  </si>
  <si>
    <t>CladoceraSmall_fgrotax</t>
  </si>
  <si>
    <t>CopepodaHerbivorous_fgrotax</t>
  </si>
  <si>
    <t>CopepodaPredatory_fgrotax</t>
  </si>
  <si>
    <t>Daphnidae_fgrotax</t>
  </si>
  <si>
    <t>Simocephalus_fgrotax</t>
  </si>
  <si>
    <t>RotiferaHerbivorous1_fgrotax</t>
  </si>
  <si>
    <t>RotiferaHerbivorous2_fgrotax</t>
  </si>
  <si>
    <t>Asellus_fgrotax</t>
  </si>
  <si>
    <t>Chaoborus_fgrotax</t>
  </si>
  <si>
    <t>Chironomidae_fgrotax</t>
  </si>
  <si>
    <t>Cloeon_fgrotax</t>
  </si>
  <si>
    <t>Gammarus_fgrotax</t>
  </si>
  <si>
    <t>Gastropoda_fgrotax</t>
  </si>
  <si>
    <t>Hirudinea_fgrotax</t>
  </si>
  <si>
    <t>Nepomorpha_fgrotax</t>
  </si>
  <si>
    <t>Odonata_fgrotax</t>
  </si>
  <si>
    <t>Oligochaeta_fgrotax</t>
  </si>
  <si>
    <t>Tanypodinae_fgrotax</t>
  </si>
  <si>
    <t>CladoceraPhytophilous_hdens</t>
  </si>
  <si>
    <t>CladoceraSmall_hdens</t>
  </si>
  <si>
    <t>CopepodaHerbivorous_hdens</t>
  </si>
  <si>
    <t>CopepodaPredatory_hdens</t>
  </si>
  <si>
    <t>Daphnidae_hdens</t>
  </si>
  <si>
    <t>Simocephalus_hdens</t>
  </si>
  <si>
    <t>RotiferaHerbivorous1_hdens</t>
  </si>
  <si>
    <t>RotiferaHerbivorous2_hdens</t>
  </si>
  <si>
    <t>Asellus_hdens</t>
  </si>
  <si>
    <t>Chaoborus_hdens</t>
  </si>
  <si>
    <t>Chironomidae_hdens</t>
  </si>
  <si>
    <t>Cloeon_hdens</t>
  </si>
  <si>
    <t>Gammarus_hdens</t>
  </si>
  <si>
    <t>Gastropoda_hdens</t>
  </si>
  <si>
    <t>Hirudinea_hdens</t>
  </si>
  <si>
    <t>Nepomorpha_hdens</t>
  </si>
  <si>
    <t>Odonata_hdens</t>
  </si>
  <si>
    <t>Oligochaeta_hdens</t>
  </si>
  <si>
    <t>Tanypodinae_hdens</t>
  </si>
  <si>
    <t>CladoceraPhytophilous_Kfood</t>
  </si>
  <si>
    <t>CladoceraSmall_Kfood</t>
  </si>
  <si>
    <t>CopepodaHerbivorous_Kfood</t>
  </si>
  <si>
    <t>CopepodaPredatory_Kfood</t>
  </si>
  <si>
    <t>Daphnidae_Kfood</t>
  </si>
  <si>
    <t>Simocephalus_Kfood</t>
  </si>
  <si>
    <t>RotiferaHerbivorous1_Kfood</t>
  </si>
  <si>
    <t>RotiferaHerbivorous2_Kfood</t>
  </si>
  <si>
    <t>Asellus_Kfood</t>
  </si>
  <si>
    <t>Chaoborus_Kfood</t>
  </si>
  <si>
    <t>Chironomidae_Kfood</t>
  </si>
  <si>
    <t>Cloeon_Kfood</t>
  </si>
  <si>
    <t>Gammarus_Kfood</t>
  </si>
  <si>
    <t>Gastropoda_Kfood</t>
  </si>
  <si>
    <t>Hirudinea_Kfood</t>
  </si>
  <si>
    <t>Nepomorpha_Kfood</t>
  </si>
  <si>
    <t>Odonata_Kfood</t>
  </si>
  <si>
    <t>Oligochaeta_Kfood</t>
  </si>
  <si>
    <t>Tanypodinae_Kfood</t>
  </si>
  <si>
    <t>Asellus_Co14a_hab1_Dini</t>
  </si>
  <si>
    <t>Asellus_Co16a_hab1_Dini</t>
  </si>
  <si>
    <t>Asellus_Co18c_hab1_Dini</t>
  </si>
  <si>
    <t>Asellus_Co19b_hab1_Dini</t>
  </si>
  <si>
    <t>Chaoborus_Co14a_hab1_Dini</t>
  </si>
  <si>
    <t>Chaoborus_Co16a_hab1_Dini</t>
  </si>
  <si>
    <t>Chaoborus_Co18c_hab1_Dini</t>
  </si>
  <si>
    <t>Chaoborus_Co19b_hab1_Dini</t>
  </si>
  <si>
    <t>Chironomidae_Co14a_hab1_Dini</t>
  </si>
  <si>
    <t>Chironomidae_Co16a_hab1_Dini</t>
  </si>
  <si>
    <t>Chironomidae_Co18c_hab1_Dini</t>
  </si>
  <si>
    <t>Chironomidae_Co19b_hab1_Dini</t>
  </si>
  <si>
    <t>CladoceraPhytophilous_Co14a_hab1_Dini</t>
  </si>
  <si>
    <t>CladoceraPhytophilous_Co16a_hab1_Dini</t>
  </si>
  <si>
    <t>CladoceraPhytophilous_Co18c_hab1_Dini</t>
  </si>
  <si>
    <t>CladoceraPhytophilous_Co19b_hab1_Dini</t>
  </si>
  <si>
    <t>CladoceraSmall_Co14a_hab1_Dini</t>
  </si>
  <si>
    <t>CladoceraSmall_Co16a_hab1_Dini</t>
  </si>
  <si>
    <t>CladoceraSmall_Co18c_hab1_Dini</t>
  </si>
  <si>
    <t>CladoceraSmall_Co19b_hab1_Dini</t>
  </si>
  <si>
    <t>Cloeon_Co14a_hab1_Dini</t>
  </si>
  <si>
    <t>Cloeon_Co16a_hab1_Dini</t>
  </si>
  <si>
    <t>Cloeon_Co18c_hab1_Dini</t>
  </si>
  <si>
    <t>Cloeon_Co19b_hab1_Dini</t>
  </si>
  <si>
    <t>CopepodaHerbivorous_Co14a_hab1_Dini</t>
  </si>
  <si>
    <t>CopepodaHerbivorous_Co16a_hab1_Dini</t>
  </si>
  <si>
    <t>CopepodaHerbivorous_Co18c_hab1_Dini</t>
  </si>
  <si>
    <t>CopepodaHerbivorous_Co19b_hab1_Dini</t>
  </si>
  <si>
    <t>CopepodaPredatory_Co14a_hab1_Dini</t>
  </si>
  <si>
    <t>CopepodaPredatory_Co16a_hab1_Dini</t>
  </si>
  <si>
    <t>CopepodaPredatory_Co18c_hab1_Dini</t>
  </si>
  <si>
    <t>CopepodaPredatory_Co19b_hab1_Dini</t>
  </si>
  <si>
    <t>Daphnidae_Co14a_hab1_Dini</t>
  </si>
  <si>
    <t>Daphnidae_Co16a_hab1_Dini</t>
  </si>
  <si>
    <t>Daphnidae_Co18c_hab1_Dini</t>
  </si>
  <si>
    <t>Daphnidae_Co19b_hab1_Dini</t>
  </si>
  <si>
    <t>Gammarus_Co14a_hab1_Dini</t>
  </si>
  <si>
    <t>Gammarus_Co16a_hab1_Dini</t>
  </si>
  <si>
    <t>Gammarus_Co18c_hab1_Dini</t>
  </si>
  <si>
    <t>Gammarus_Co19b_hab1_Dini</t>
  </si>
  <si>
    <t>Gastropoda_Co14a_hab1_Dini</t>
  </si>
  <si>
    <t>Gastropoda_Co16a_hab1_Dini</t>
  </si>
  <si>
    <t>Gastropoda_Co18c_hab1_Dini</t>
  </si>
  <si>
    <t>Gastropoda_Co19b_hab1_Dini</t>
  </si>
  <si>
    <t>Hirudinea_Co14a_hab1_Dini</t>
  </si>
  <si>
    <t>Hirudinea_Co16a_hab1_Dini</t>
  </si>
  <si>
    <t>Hirudinea_Co18c_hab1_Dini</t>
  </si>
  <si>
    <t>Hirudinea_Co19b_hab1_Dini</t>
  </si>
  <si>
    <t>Nepomorpha_Co14a_hab1_Dini</t>
  </si>
  <si>
    <t>Nepomorpha_Co16a_hab1_Dini</t>
  </si>
  <si>
    <t>Nepomorpha_Co18c_hab1_Dini</t>
  </si>
  <si>
    <t>Nepomorpha_Co19b_hab1_Dini</t>
  </si>
  <si>
    <t>Odonata_Co14a_hab1_Dini</t>
  </si>
  <si>
    <t>Odonata_Co16a_hab1_Dini</t>
  </si>
  <si>
    <t>Odonata_Co18c_hab1_Dini</t>
  </si>
  <si>
    <t>Odonata_Co19b_hab1_Dini</t>
  </si>
  <si>
    <t>Oligochaeta_Co14a_hab1_Dini</t>
  </si>
  <si>
    <t>Oligochaeta_Co16a_hab1_Dini</t>
  </si>
  <si>
    <t>Oligochaeta_Co18c_hab1_Dini</t>
  </si>
  <si>
    <t>Oligochaeta_Co19b_hab1_Dini</t>
  </si>
  <si>
    <t>RotiferaHerbivorous1_Co14a_hab1_Dini</t>
  </si>
  <si>
    <t>RotiferaHerbivorous1_Co16a_hab1_Dini</t>
  </si>
  <si>
    <t>RotiferaHerbivorous1_Co18c_hab1_Dini</t>
  </si>
  <si>
    <t>RotiferaHerbivorous1_Co19b_hab1_Dini</t>
  </si>
  <si>
    <t>RotiferaHerbivorous2_Co14a_hab1_Dini</t>
  </si>
  <si>
    <t>RotiferaHerbivorous2_Co16a_hab1_Dini</t>
  </si>
  <si>
    <t>RotiferaHerbivorous2_Co18c_hab1_Dini</t>
  </si>
  <si>
    <t>RotiferaHerbivorous2_Co19b_hab1_Dini</t>
  </si>
  <si>
    <t>Simocephalus_Co14a_hab1_Dini</t>
  </si>
  <si>
    <t>Simocephalus_Co16a_hab1_Dini</t>
  </si>
  <si>
    <t>Simocephalus_Co18c_hab1_Dini</t>
  </si>
  <si>
    <t>Simocephalus_Co19b_hab1_Dini</t>
  </si>
  <si>
    <t>Tanypodinae_Co14a_hab1_Dini</t>
  </si>
  <si>
    <t>Tanypodinae_Co16a_hab1_Dini</t>
  </si>
  <si>
    <t>Tanypodinae_Co18c_hab1_Dini</t>
  </si>
  <si>
    <t>Tanypodinae_Co19b_hab1_Dini</t>
  </si>
  <si>
    <t>Initial organism density</t>
  </si>
  <si>
    <t>CladoceraPhytophilous_input</t>
  </si>
  <si>
    <t>CladoceraSmall_input</t>
  </si>
  <si>
    <t>CopepodaHerbivorous_input</t>
  </si>
  <si>
    <t>CopepodaPredatory_input</t>
  </si>
  <si>
    <t>Daphnidae_input</t>
  </si>
  <si>
    <t>Simocephalus_input</t>
  </si>
  <si>
    <t>RotiferaHerbivorous1_input</t>
  </si>
  <si>
    <t>RotiferaHerbivorous2_input</t>
  </si>
  <si>
    <t>Asellus_input</t>
  </si>
  <si>
    <t>Chaoborus_input</t>
  </si>
  <si>
    <t>Chironomidae_input</t>
  </si>
  <si>
    <t>Cloeon_input</t>
  </si>
  <si>
    <t>Gammarus_input</t>
  </si>
  <si>
    <t>Gastropoda_input</t>
  </si>
  <si>
    <t>Hirudinea_input</t>
  </si>
  <si>
    <t>Nepomorpha_input</t>
  </si>
  <si>
    <t>Odonata_input</t>
  </si>
  <si>
    <t>Oligochaeta_input</t>
  </si>
  <si>
    <t>Tanypodinae_input</t>
  </si>
  <si>
    <t>environmental_conditions_variable</t>
  </si>
  <si>
    <t>nitrogen concentration</t>
  </si>
  <si>
    <t>phosphor concentration</t>
  </si>
  <si>
    <t>temperature</t>
  </si>
  <si>
    <t>shade</t>
  </si>
  <si>
    <t>ionziation</t>
  </si>
  <si>
    <t>%</t>
  </si>
  <si>
    <t>°C</t>
  </si>
  <si>
    <t>4 timepoints</t>
  </si>
  <si>
    <t>5 timepoints</t>
  </si>
  <si>
    <t>ca. 14 timepoints</t>
  </si>
  <si>
    <t>daily mean</t>
  </si>
  <si>
    <t>no uncertainty addressed</t>
  </si>
  <si>
    <t>Provided by mesocosm GmbH</t>
  </si>
  <si>
    <t>Factors used to convert environmental conditions</t>
  </si>
  <si>
    <t>°C -&gt; K</t>
  </si>
  <si>
    <t>Ammonium -&gt; N</t>
  </si>
  <si>
    <t>Nitrate -&gt; N</t>
  </si>
  <si>
    <t>Phosphate -&gt; P</t>
  </si>
  <si>
    <t>Ea</t>
  </si>
  <si>
    <t>FPOM_Co14a_hab1_Dini</t>
  </si>
  <si>
    <t>FPOM_Co16a_hab1_Dini</t>
  </si>
  <si>
    <t>FPOM_Co18c_hab1_Dini</t>
  </si>
  <si>
    <t>FPOM_Co19b_hab1_Dini</t>
  </si>
  <si>
    <t>n.a.</t>
  </si>
  <si>
    <t xml:space="preserve">Nalewaijko 1966 Table 1: Pragmatic value chosen in range 4.5-4615 ugAFDW/10^6cells. </t>
  </si>
  <si>
    <t xml:space="preserve">Chlamydomonas angulosa, Chlorella pyrenoidosa, Dictyosphaerium, Micractinium pusillum, Pediastrum duplex, Scenedesmus dimorphus, Scenedesmus quadricauda, Staurastrum sp., Stichococcus bacillaris, Ulothrix sp. </t>
  </si>
  <si>
    <t>S</t>
  </si>
  <si>
    <t>Data for freshwater algae. Since differences within groups were larger than between groups, the same value was chosen for all groups used in this study</t>
  </si>
  <si>
    <t xml:space="preserve">Data for freshwater algae. </t>
  </si>
  <si>
    <t xml:space="preserve">A pragmatic value was chosen from the range 4.5-4615 ugAFDW/10^6cells. Since differences within groups were larger than between groups, the same value was chosen for all groups used in this study. </t>
  </si>
  <si>
    <t>Mesocosm GmbH</t>
  </si>
  <si>
    <t>Taxon-specific parameters for phytoplankton</t>
  </si>
  <si>
    <t xml:space="preserve">Blue Greens </t>
  </si>
  <si>
    <t>Measurements as described by Mesocosm GmbH</t>
  </si>
  <si>
    <t>This was the experimental data to be modelled</t>
  </si>
  <si>
    <t>Calculated from first measurment and converted to gDM/m2 using the conversion factors listed in "intermediary parameters" and the individual biomass M</t>
  </si>
  <si>
    <t>starting value for prior based on mechanistic considerations</t>
  </si>
  <si>
    <t>no</t>
  </si>
  <si>
    <t>yes</t>
  </si>
  <si>
    <t>Normal truncated</t>
  </si>
  <si>
    <t>Taxon-specific parameters for periphyton</t>
  </si>
  <si>
    <t>PhBlueGreens_fprod</t>
  </si>
  <si>
    <t>PhGreens_fprod</t>
  </si>
  <si>
    <t>PhDiatoms_fprod</t>
  </si>
  <si>
    <t>PhCryptophytes_fprod</t>
  </si>
  <si>
    <t>PhBlueGreens_fdeath</t>
  </si>
  <si>
    <t>PhGreens_fdeath</t>
  </si>
  <si>
    <t>PhDiatoms_fdeath</t>
  </si>
  <si>
    <t>PhCryptophytes_fdeath</t>
  </si>
  <si>
    <t>PhBlueGreens_KN</t>
  </si>
  <si>
    <t>PhGreens_KN</t>
  </si>
  <si>
    <t>PhDiatoms_KN</t>
  </si>
  <si>
    <t>PhCryptophytes_KN</t>
  </si>
  <si>
    <t>PhBlueGreens_KP</t>
  </si>
  <si>
    <t>PhGreens_KP</t>
  </si>
  <si>
    <t>PhDiatoms_KP</t>
  </si>
  <si>
    <t>PhCryptophytes_KP</t>
  </si>
  <si>
    <t>PhBlueGreens_fresp</t>
  </si>
  <si>
    <t>PhCryptophytes_fresp</t>
  </si>
  <si>
    <t>PhDiatoms_fresp</t>
  </si>
  <si>
    <t>PhGreens_fresp</t>
  </si>
  <si>
    <t>multiplicative factor regarding respiration</t>
  </si>
  <si>
    <t xml:space="preserve">Diatoms </t>
  </si>
  <si>
    <t>PeBlueGreens_fprod</t>
  </si>
  <si>
    <t>PeGreens_fprod</t>
  </si>
  <si>
    <t>PeDiatoms_fprod</t>
  </si>
  <si>
    <t>PeBlueGreens_KN</t>
  </si>
  <si>
    <t>PeGreens_KN</t>
  </si>
  <si>
    <t>PeDiatoms_KN</t>
  </si>
  <si>
    <t>PeBlueGreens_KP</t>
  </si>
  <si>
    <t>PeGreens_KP</t>
  </si>
  <si>
    <t>PeDiatoms_KP</t>
  </si>
  <si>
    <r>
      <t>D</t>
    </r>
    <r>
      <rPr>
        <vertAlign val="subscript"/>
        <sz val="11"/>
        <rFont val="Calibri"/>
        <family val="2"/>
        <scheme val="minor"/>
      </rPr>
      <t>ini</t>
    </r>
  </si>
  <si>
    <r>
      <t>gDM/m</t>
    </r>
    <r>
      <rPr>
        <vertAlign val="superscript"/>
        <sz val="11"/>
        <rFont val="Calibri"/>
        <family val="2"/>
        <scheme val="minor"/>
      </rPr>
      <t>2</t>
    </r>
  </si>
  <si>
    <r>
      <t>f</t>
    </r>
    <r>
      <rPr>
        <vertAlign val="subscript"/>
        <sz val="11"/>
        <color theme="1"/>
        <rFont val="Calibri"/>
        <family val="2"/>
        <scheme val="minor"/>
      </rPr>
      <t>basaltax</t>
    </r>
  </si>
  <si>
    <r>
      <t>f</t>
    </r>
    <r>
      <rPr>
        <vertAlign val="subscript"/>
        <sz val="11"/>
        <color theme="1"/>
        <rFont val="Calibri"/>
        <family val="2"/>
        <scheme val="minor"/>
      </rPr>
      <t>death</t>
    </r>
  </si>
  <si>
    <r>
      <t>f</t>
    </r>
    <r>
      <rPr>
        <vertAlign val="subscript"/>
        <sz val="11"/>
        <color theme="1"/>
        <rFont val="Calibri"/>
        <family val="2"/>
        <scheme val="minor"/>
      </rPr>
      <t>grotax</t>
    </r>
  </si>
  <si>
    <r>
      <t>gDM/m</t>
    </r>
    <r>
      <rPr>
        <vertAlign val="superscript"/>
        <sz val="11"/>
        <color theme="1"/>
        <rFont val="Calibri"/>
        <family val="2"/>
        <scheme val="minor"/>
      </rPr>
      <t>2</t>
    </r>
  </si>
  <si>
    <r>
      <t>f</t>
    </r>
    <r>
      <rPr>
        <vertAlign val="subscript"/>
        <sz val="11"/>
        <color theme="1"/>
        <rFont val="Calibri"/>
        <family val="2"/>
        <scheme val="minor"/>
      </rPr>
      <t>prod</t>
    </r>
  </si>
  <si>
    <r>
      <t>W/m</t>
    </r>
    <r>
      <rPr>
        <vertAlign val="superscript"/>
        <sz val="11"/>
        <rFont val="Calibri"/>
        <family val="2"/>
        <scheme val="minor"/>
      </rPr>
      <t>2</t>
    </r>
  </si>
  <si>
    <r>
      <t>K</t>
    </r>
    <r>
      <rPr>
        <vertAlign val="subscript"/>
        <sz val="11"/>
        <color theme="1"/>
        <rFont val="Calibri"/>
        <family val="2"/>
        <scheme val="minor"/>
      </rPr>
      <t>N</t>
    </r>
  </si>
  <si>
    <r>
      <t>K</t>
    </r>
    <r>
      <rPr>
        <vertAlign val="subscript"/>
        <sz val="11"/>
        <color theme="1"/>
        <rFont val="Calibri"/>
        <family val="2"/>
        <scheme val="minor"/>
      </rPr>
      <t>P</t>
    </r>
  </si>
  <si>
    <t>PeBlueGreens_fresp</t>
  </si>
  <si>
    <t>PeDiatoms_fresp</t>
  </si>
  <si>
    <t>PeGreens_fresp</t>
  </si>
  <si>
    <t>Input</t>
  </si>
  <si>
    <t>Taxon-specific parameters for zooplankton</t>
  </si>
  <si>
    <t>Taxon-specific parameters for macroinvertebrates</t>
  </si>
  <si>
    <r>
      <t>EC</t>
    </r>
    <r>
      <rPr>
        <vertAlign val="subscript"/>
        <sz val="11"/>
        <color theme="1"/>
        <rFont val="Calibri"/>
        <family val="2"/>
        <scheme val="minor"/>
      </rPr>
      <t>POM</t>
    </r>
  </si>
  <si>
    <r>
      <t>D</t>
    </r>
    <r>
      <rPr>
        <vertAlign val="subscript"/>
        <sz val="11"/>
        <color theme="1"/>
        <rFont val="Calibri"/>
        <family val="2"/>
        <scheme val="minor"/>
      </rPr>
      <t>ini</t>
    </r>
  </si>
  <si>
    <r>
      <t>k</t>
    </r>
    <r>
      <rPr>
        <vertAlign val="subscript"/>
        <sz val="11"/>
        <color theme="1"/>
        <rFont val="Calibri"/>
        <family val="2"/>
        <scheme val="minor"/>
      </rPr>
      <t>miner</t>
    </r>
    <r>
      <rPr>
        <sz val="11"/>
        <color theme="1"/>
        <rFont val="Calibri"/>
        <family val="2"/>
        <scheme val="minor"/>
      </rPr>
      <t xml:space="preserve"> FPOM</t>
    </r>
  </si>
  <si>
    <r>
      <t>α</t>
    </r>
    <r>
      <rPr>
        <vertAlign val="subscript"/>
        <sz val="11"/>
        <rFont val="Calibri"/>
        <family val="2"/>
        <scheme val="minor"/>
      </rPr>
      <t>C,FPOM</t>
    </r>
  </si>
  <si>
    <r>
      <t>α</t>
    </r>
    <r>
      <rPr>
        <vertAlign val="subscript"/>
        <sz val="11"/>
        <rFont val="Calibri"/>
        <family val="2"/>
        <scheme val="minor"/>
      </rPr>
      <t>O,FPOM</t>
    </r>
  </si>
  <si>
    <r>
      <t>α</t>
    </r>
    <r>
      <rPr>
        <vertAlign val="subscript"/>
        <sz val="11"/>
        <rFont val="Calibri"/>
        <family val="2"/>
        <scheme val="minor"/>
      </rPr>
      <t>H,FPOM</t>
    </r>
  </si>
  <si>
    <r>
      <t>α</t>
    </r>
    <r>
      <rPr>
        <vertAlign val="subscript"/>
        <sz val="11"/>
        <rFont val="Calibri"/>
        <family val="2"/>
        <scheme val="minor"/>
      </rPr>
      <t>N,FPOM</t>
    </r>
  </si>
  <si>
    <r>
      <t>α</t>
    </r>
    <r>
      <rPr>
        <vertAlign val="subscript"/>
        <sz val="11"/>
        <rFont val="Calibri"/>
        <family val="2"/>
        <scheme val="minor"/>
      </rPr>
      <t>P,FPOM</t>
    </r>
  </si>
  <si>
    <r>
      <t>α</t>
    </r>
    <r>
      <rPr>
        <vertAlign val="subscript"/>
        <sz val="11"/>
        <rFont val="Calibri"/>
        <family val="2"/>
        <scheme val="minor"/>
      </rPr>
      <t>C,Algae</t>
    </r>
  </si>
  <si>
    <r>
      <t>α</t>
    </r>
    <r>
      <rPr>
        <vertAlign val="subscript"/>
        <sz val="11"/>
        <rFont val="Calibri"/>
        <family val="2"/>
        <scheme val="minor"/>
      </rPr>
      <t>O,Algae</t>
    </r>
  </si>
  <si>
    <r>
      <t>α</t>
    </r>
    <r>
      <rPr>
        <vertAlign val="subscript"/>
        <sz val="11"/>
        <rFont val="Calibri"/>
        <family val="2"/>
        <scheme val="minor"/>
      </rPr>
      <t>H,Algae</t>
    </r>
  </si>
  <si>
    <r>
      <t>α</t>
    </r>
    <r>
      <rPr>
        <vertAlign val="subscript"/>
        <sz val="11"/>
        <rFont val="Calibri"/>
        <family val="2"/>
        <scheme val="minor"/>
      </rPr>
      <t>N,Algae</t>
    </r>
  </si>
  <si>
    <r>
      <t>α</t>
    </r>
    <r>
      <rPr>
        <vertAlign val="subscript"/>
        <sz val="11"/>
        <rFont val="Calibri"/>
        <family val="2"/>
        <scheme val="minor"/>
      </rPr>
      <t>P,Algae</t>
    </r>
  </si>
  <si>
    <r>
      <t>i</t>
    </r>
    <r>
      <rPr>
        <vertAlign val="subscript"/>
        <sz val="11"/>
        <color theme="1"/>
        <rFont val="Calibri"/>
        <family val="2"/>
        <scheme val="minor"/>
      </rPr>
      <t>0</t>
    </r>
  </si>
  <si>
    <r>
      <t>f</t>
    </r>
    <r>
      <rPr>
        <vertAlign val="subscript"/>
        <sz val="11"/>
        <color theme="1"/>
        <rFont val="Calibri"/>
        <family val="2"/>
        <scheme val="minor"/>
      </rPr>
      <t>resp</t>
    </r>
  </si>
  <si>
    <r>
      <t>f</t>
    </r>
    <r>
      <rPr>
        <vertAlign val="subscript"/>
        <sz val="11"/>
        <color theme="1"/>
        <rFont val="Calibri"/>
        <family val="2"/>
        <scheme val="minor"/>
      </rPr>
      <t>cons</t>
    </r>
  </si>
  <si>
    <r>
      <t>f</t>
    </r>
    <r>
      <rPr>
        <vertAlign val="subscript"/>
        <sz val="11"/>
        <color theme="1"/>
        <rFont val="Calibri"/>
        <family val="2"/>
        <scheme val="minor"/>
      </rPr>
      <t>e pred</t>
    </r>
    <r>
      <rPr>
        <sz val="11"/>
        <color theme="1"/>
        <rFont val="Calibri"/>
        <family val="2"/>
        <scheme val="minor"/>
      </rPr>
      <t> </t>
    </r>
  </si>
  <si>
    <r>
      <t>f</t>
    </r>
    <r>
      <rPr>
        <vertAlign val="subscript"/>
        <sz val="11"/>
        <color theme="1"/>
        <rFont val="Calibri"/>
        <family val="2"/>
        <scheme val="minor"/>
      </rPr>
      <t>e scra</t>
    </r>
  </si>
  <si>
    <r>
      <t>f</t>
    </r>
    <r>
      <rPr>
        <vertAlign val="subscript"/>
        <sz val="11"/>
        <color theme="1"/>
        <rFont val="Calibri"/>
        <family val="2"/>
        <scheme val="minor"/>
      </rPr>
      <t>resp</t>
    </r>
    <r>
      <rPr>
        <sz val="11"/>
        <color theme="1"/>
        <rFont val="Calibri"/>
        <family val="2"/>
        <scheme val="minor"/>
      </rPr>
      <t xml:space="preserve"> </t>
    </r>
  </si>
  <si>
    <r>
      <t>α</t>
    </r>
    <r>
      <rPr>
        <vertAlign val="subscript"/>
        <sz val="11"/>
        <rFont val="Calibri"/>
        <family val="2"/>
        <scheme val="minor"/>
      </rPr>
      <t>C,Invertebrates</t>
    </r>
  </si>
  <si>
    <r>
      <t>α</t>
    </r>
    <r>
      <rPr>
        <vertAlign val="subscript"/>
        <sz val="11"/>
        <rFont val="Calibri"/>
        <family val="2"/>
        <scheme val="minor"/>
      </rPr>
      <t>H,Invertebrates</t>
    </r>
  </si>
  <si>
    <r>
      <t>α</t>
    </r>
    <r>
      <rPr>
        <vertAlign val="subscript"/>
        <sz val="11"/>
        <rFont val="Calibri"/>
        <family val="2"/>
        <scheme val="minor"/>
      </rPr>
      <t>N,Invertebrates</t>
    </r>
  </si>
  <si>
    <r>
      <t>α</t>
    </r>
    <r>
      <rPr>
        <vertAlign val="subscript"/>
        <sz val="11"/>
        <rFont val="Calibri"/>
        <family val="2"/>
        <scheme val="minor"/>
      </rPr>
      <t>O,Invertebrates</t>
    </r>
  </si>
  <si>
    <r>
      <t>α</t>
    </r>
    <r>
      <rPr>
        <vertAlign val="subscript"/>
        <sz val="11"/>
        <rFont val="Calibri"/>
        <family val="2"/>
        <scheme val="minor"/>
      </rPr>
      <t>P,Invertebrates</t>
    </r>
  </si>
  <si>
    <r>
      <t>f</t>
    </r>
    <r>
      <rPr>
        <vertAlign val="subscript"/>
        <sz val="11"/>
        <color theme="1"/>
        <rFont val="Calibri"/>
        <family val="2"/>
        <scheme val="minor"/>
      </rPr>
      <t>basal tax</t>
    </r>
  </si>
  <si>
    <r>
      <t>f</t>
    </r>
    <r>
      <rPr>
        <vertAlign val="subscript"/>
        <sz val="11"/>
        <color theme="1"/>
        <rFont val="Calibri"/>
        <family val="2"/>
        <scheme val="minor"/>
      </rPr>
      <t>gro tax</t>
    </r>
  </si>
  <si>
    <r>
      <t>h</t>
    </r>
    <r>
      <rPr>
        <vertAlign val="subscript"/>
        <sz val="11"/>
        <color theme="1"/>
        <rFont val="Calibri"/>
        <family val="2"/>
        <scheme val="minor"/>
      </rPr>
      <t>dens</t>
    </r>
  </si>
  <si>
    <r>
      <t>K</t>
    </r>
    <r>
      <rPr>
        <vertAlign val="subscript"/>
        <sz val="11"/>
        <color theme="1"/>
        <rFont val="Calibri"/>
        <family val="2"/>
        <scheme val="minor"/>
      </rPr>
      <t>food</t>
    </r>
  </si>
  <si>
    <r>
      <t>gDM/(yr ∙ m</t>
    </r>
    <r>
      <rPr>
        <vertAlign val="superscript"/>
        <sz val="11"/>
        <rFont val="Calibri"/>
        <family val="2"/>
        <scheme val="minor"/>
      </rPr>
      <t>3</t>
    </r>
    <r>
      <rPr>
        <sz val="11"/>
        <rFont val="Calibri"/>
        <family val="2"/>
        <scheme val="minor"/>
      </rPr>
      <t>)</t>
    </r>
  </si>
  <si>
    <r>
      <t>f</t>
    </r>
    <r>
      <rPr>
        <vertAlign val="subscript"/>
        <sz val="11"/>
        <rFont val="Calibri"/>
        <family val="2"/>
        <scheme val="minor"/>
      </rPr>
      <t>A</t>
    </r>
  </si>
  <si>
    <t>Calibrated?</t>
  </si>
  <si>
    <t>implemented (no input required)</t>
  </si>
  <si>
    <r>
      <t>M</t>
    </r>
    <r>
      <rPr>
        <vertAlign val="subscript"/>
        <sz val="11"/>
        <color theme="1"/>
        <rFont val="Calibri"/>
        <family val="2"/>
        <scheme val="minor"/>
      </rPr>
      <t>0</t>
    </r>
  </si>
  <si>
    <t>normalization constant</t>
  </si>
  <si>
    <t>PeBlueGreens_fdeath</t>
  </si>
  <si>
    <t>PeDiatoms_fdeath</t>
  </si>
  <si>
    <t>PeGreens_fdeath</t>
  </si>
  <si>
    <t>PeBlueGreens_fgrotax</t>
  </si>
  <si>
    <t>PeDiatoms_fgrotax</t>
  </si>
  <si>
    <t>PeGreens_fgrotax</t>
  </si>
  <si>
    <t>PhBlueGreens_fgrotax</t>
  </si>
  <si>
    <t>PhCryptophytes_fgrotax</t>
  </si>
  <si>
    <t>PhDiatoms_fgrotax</t>
  </si>
  <si>
    <t>PhGreens_fgrotax</t>
  </si>
  <si>
    <t>expert judgement</t>
  </si>
  <si>
    <t>CladoceraPhytophilous</t>
  </si>
  <si>
    <t>CladoceraSmall</t>
  </si>
  <si>
    <t>CopepodaHerbivorous</t>
  </si>
  <si>
    <t>CopepodaPredatory</t>
  </si>
  <si>
    <t>RotiferaHerbivorous1</t>
  </si>
  <si>
    <t>RotiferaHerbivorous2</t>
  </si>
  <si>
    <t>derived from literature</t>
  </si>
  <si>
    <t>derived from experimental data and then calibrated</t>
  </si>
  <si>
    <t xml:space="preserve">Chunk 1.4, function convert.exp.to.biomass, </t>
  </si>
  <si>
    <t xml:space="preserve">Asellus </t>
  </si>
  <si>
    <t xml:space="preserve">Chaoborus </t>
  </si>
  <si>
    <t xml:space="preserve">Chironomidae </t>
  </si>
  <si>
    <t xml:space="preserve">Cloeon </t>
  </si>
  <si>
    <t xml:space="preserve">Gammarus </t>
  </si>
  <si>
    <t xml:space="preserve">Gastropoda </t>
  </si>
  <si>
    <t xml:space="preserve">Hirudinea </t>
  </si>
  <si>
    <t xml:space="preserve">Nepomorpha </t>
  </si>
  <si>
    <t xml:space="preserve">Odonata </t>
  </si>
  <si>
    <t xml:space="preserve">Oligochaeta </t>
  </si>
  <si>
    <t xml:space="preserve">Simocephalus </t>
  </si>
  <si>
    <t xml:space="preserve">Tanypodinae </t>
  </si>
  <si>
    <t xml:space="preserve">CladoceraPhytophilous </t>
  </si>
  <si>
    <t xml:space="preserve">CladoceraSmall </t>
  </si>
  <si>
    <t xml:space="preserve">CopepodaHerbivorous </t>
  </si>
  <si>
    <t xml:space="preserve">CopepodaPredatory </t>
  </si>
  <si>
    <t xml:space="preserve">Daphnidae </t>
  </si>
  <si>
    <t xml:space="preserve">RotiferaHerbivorous1 </t>
  </si>
  <si>
    <t xml:space="preserve">RotiferaHerbivorous2 </t>
  </si>
  <si>
    <t>see Mesocosm GmbH</t>
  </si>
  <si>
    <t>Measured specifically for this study</t>
  </si>
  <si>
    <t>email Farah Abi-Akar as of 14.12.2021 and earlier emails by JürgenSchmidt</t>
  </si>
  <si>
    <t>Given by study design (no input of organisms in mesocosm studies)</t>
  </si>
  <si>
    <t>value derived from literature source as prior and then calibrated</t>
  </si>
  <si>
    <t>Cummins: Suggested value for algea based on literature review (mean of 396 samples). // Runck: Periphyton in contaminated, nutrient-enriched stream stream</t>
  </si>
  <si>
    <t>overarching principles</t>
  </si>
  <si>
    <t xml:space="preserve">Cummins: various algae. // Runck: Periphyton </t>
  </si>
  <si>
    <t>Runck: in contaminated, nutrient-enriched stream stream</t>
  </si>
  <si>
    <t>MyriophyllumSpicatum_KI</t>
  </si>
  <si>
    <t>CharaGlobularis_KI</t>
  </si>
  <si>
    <t>FPOM_EC</t>
  </si>
  <si>
    <t>CladoceraPhytophilous_Input</t>
  </si>
  <si>
    <t>CladoceraSmall_Input</t>
  </si>
  <si>
    <t>CopepodaHerbivorous_Input</t>
  </si>
  <si>
    <t>CopepodaPredatory_Input</t>
  </si>
  <si>
    <t>Daphnidae_Input</t>
  </si>
  <si>
    <t>Simocephalus_Input</t>
  </si>
  <si>
    <t>RotiferaHerbivorous1_Input</t>
  </si>
  <si>
    <t>RotiferaHerbivorous2_Input</t>
  </si>
  <si>
    <t>Asellus_Input</t>
  </si>
  <si>
    <t>Chaoborus_Input</t>
  </si>
  <si>
    <t>Chironomidae_Input</t>
  </si>
  <si>
    <t>Cloeon_Input</t>
  </si>
  <si>
    <t>Gammarus_Input</t>
  </si>
  <si>
    <t>Gastropoda_Input</t>
  </si>
  <si>
    <t>Hirudinea_Input</t>
  </si>
  <si>
    <t>Nepomorpha_Input</t>
  </si>
  <si>
    <t>Odonata_Input</t>
  </si>
  <si>
    <t>Oligochaeta_Input</t>
  </si>
  <si>
    <t>Tanypodinae_Input</t>
  </si>
  <si>
    <t>CharaGlobularis_M</t>
  </si>
  <si>
    <t>MyriophyllumSpicatum_M</t>
  </si>
  <si>
    <t>CharaGlobularis_fgrotax</t>
  </si>
  <si>
    <t>CharaGlobularis_fbasaltax</t>
  </si>
  <si>
    <t>CharaGlobularis_hdens</t>
  </si>
  <si>
    <t>CharaGlobularis_Ea</t>
  </si>
  <si>
    <t>CharaGlobularis_fresp</t>
  </si>
  <si>
    <t>CharaGlobularis_fdeath</t>
  </si>
  <si>
    <t>CharaGlobularis_fprod</t>
  </si>
  <si>
    <t>CharaGlobularis_KP</t>
  </si>
  <si>
    <t>CharaGlobularis_KN</t>
  </si>
  <si>
    <t>MyriophyllumSpicatum_fgrotax</t>
  </si>
  <si>
    <t>MyriophyllumSpicatum_fbasaltax</t>
  </si>
  <si>
    <t>MyriophyllumSpicatum_hdens</t>
  </si>
  <si>
    <t>MyriophyllumSpicatum_Ea</t>
  </si>
  <si>
    <t>MyriophyllumSpicatum_fresp</t>
  </si>
  <si>
    <t>MyriophyllumSpicatum_fdeath</t>
  </si>
  <si>
    <t>MyriophyllumSpicatum_fprod</t>
  </si>
  <si>
    <t>MyriophyllumSpicatum_KP</t>
  </si>
  <si>
    <t>MyriophyllumSpicatum_KN</t>
  </si>
  <si>
    <t>mean</t>
  </si>
  <si>
    <t>sd</t>
  </si>
  <si>
    <t>Calibrated mean</t>
  </si>
  <si>
    <t>Calibrated sd</t>
  </si>
  <si>
    <t xml:space="preserve">Redfield, CA 1958: The biological control of chemical factors in the environment. American scientist. September 1958. </t>
  </si>
  <si>
    <t xml:space="preserve">Tang E.P.Y. &amp; Peters R.H. (1995). The allometry of algal respiration. Journal of Plankton Research, 17, 303-315. </t>
  </si>
  <si>
    <t>Tang E.P.Y. &amp; Peters R.H. (1995). The allometry of algal respiration. Journal of Plankton Research, 17, 303-315. p.307</t>
  </si>
  <si>
    <t xml:space="preserve">Tang E.P.Y. (1995). The allometry of algal growth rates. Journal of Plankton Reserach, 17, 1325-1335. </t>
  </si>
  <si>
    <t>Ehnes R.B., Rall B.C. &amp; Brose U. (2011). Phylogenetic grouping, curvature and metabolic scaling in terrestrial invertebrates. Ecology Letters, 14, 993-1000. Ehnes2011.  Table 2</t>
  </si>
  <si>
    <t>Peters R.H. (1983). The ecological implications of body size, Cambridge University Press, Cambridge. 
Joergensen1991, 
Runck2007 p.743</t>
  </si>
  <si>
    <t>Herbst G.N. (1980). Effects of burial on food value and consumption of leaf detritus by aquatic invertebrates in a lowland forest stream. Oikos, 35, 441-424. Fig 3</t>
  </si>
  <si>
    <t>Cummins KW (1971). Calorific equivalents for studies in ecological energetics. Internationale Vereinigung für theoretische und angewandte Limnologie. Mitteilung No. 18. Table. on p.10 "Algae". // Jørgensen, S.E., Nielsen, S.N., Jørgensen, L.A., 1991. Handbook of Ecological Parameters and Ecotoxicology. Elsevier, Amsterdam. // Runck C (2007). Macroinvertebrate production and food web energetics in an industrially contaminated stream. Ecological Applications, 17, 740-753. Fig 4</t>
  </si>
  <si>
    <t>Bowie G.L., Mills W.B., Porcella D.B., Campbell C.L., Pagenkopf J.R., Rupp G.L., Johnson K.M., Chan P.W.H., Gherini S.A. &amp; Chamberlin C.E. (1985). Rates, Constants, and Kinetics Formulations in Surface Water Quality Modeling. U.S. EPA, Athens, GA, USA. // Jørgensen, S.E., Nielsen, S.N., Jørgensen, L.A., 1991. Handbook of Ecological Parameters and Ecotoxicology. Elsevier, Amsterdam.</t>
  </si>
  <si>
    <t xml:space="preserve">As the prior, we assume the same value that has been used before for periphyton. Values is adapted during calibration. </t>
  </si>
  <si>
    <t xml:space="preserve">KI-Value taken from study. Since streambugs does not take into account decreaseing light availability with increasing water depth, the KI was corrected: According to Mesocosm GmbH, at -80-90 cm on average 13% of the light is still available. Therefore, the KI of 33 W/m2 was adjusted to 263 W/m2. Same prior value for all species, but during calibration species can obtain different values. </t>
  </si>
  <si>
    <t xml:space="preserve">KI-Value taken from study. Since streambugs does not take into account decreaseing light availability with increasing water depth, the KI was corrected: According to Mesocosm GmbH, at average depth (-40cm), on average 13% of the light is still available. Therefore, the KI of 71 W/m2 was adjusted to 173 W/m2. Same prior value for all species, but during calibration species can obtain different values. </t>
  </si>
  <si>
    <t>chironomidae</t>
  </si>
  <si>
    <t>asellus aquaticus</t>
  </si>
  <si>
    <t>Schmolke A. et al. (2021). Ecosystem modeling of mesocosm studies. Macroinvertebrates: estimating abundance per area from individuals per sample. Version of 4.March 2021</t>
  </si>
  <si>
    <t>snails</t>
  </si>
  <si>
    <t>oligochaeta</t>
  </si>
  <si>
    <t>chaoborus</t>
  </si>
  <si>
    <t>developed by the consortium for this study</t>
  </si>
  <si>
    <t>direct use of data</t>
  </si>
  <si>
    <t>M/S</t>
  </si>
  <si>
    <t xml:space="preserve">expert judgement + correction for decreasing light availability with increasing depth. </t>
  </si>
  <si>
    <t xml:space="preserve">Rough cross-check with values and references listed by Aquatox support the chosen values. </t>
  </si>
  <si>
    <t xml:space="preserve">same value for prior as has been used for periphyton. </t>
  </si>
  <si>
    <t>organic carbon</t>
  </si>
  <si>
    <t>Mesocosm studies</t>
  </si>
  <si>
    <t>calculated: 10-15cm (12.5cm) x area of Reach (m2) x dry matter (57%) x TOC (1.5%dw)</t>
  </si>
  <si>
    <t xml:space="preserve">calculated: 10-15cm (12.5cm) x area of Reach (m2) x dry matter (44%) x TOC (3.4%dw)	</t>
  </si>
  <si>
    <t>calculated: 10-15cm (12.5cm) x area of Reach (m2) x dry matter (50%) x TOC (3.7%dw)</t>
  </si>
  <si>
    <t>calculated: 10-15cm (12.5cm) x area of Reach (m2) x dry matter (60%) x TOC (1.4%dw)</t>
  </si>
  <si>
    <t>fA</t>
  </si>
  <si>
    <t>4 values (1 value per Reach)</t>
  </si>
  <si>
    <t>intended for this project</t>
  </si>
  <si>
    <t>Mesocosm studies: measured coverage by macrophytes</t>
  </si>
  <si>
    <t xml:space="preserve">Proxy to cover shading effects caused by macrophytes. </t>
  </si>
  <si>
    <t>Measured in the study</t>
  </si>
  <si>
    <t>Station 35 km from FNU, rural</t>
  </si>
  <si>
    <t>daily mean calculated</t>
  </si>
  <si>
    <t>Measured values for ammonia and ni</t>
  </si>
  <si>
    <t>derived from original source</t>
  </si>
  <si>
    <t>Values were taken, mean across enclosures calculated</t>
  </si>
  <si>
    <t xml:space="preserve">Values from phosphate were taken, P-content calculated averaged across enclosures. </t>
  </si>
  <si>
    <t xml:space="preserve">Values from nitrate and ammonium were taken, N-content calculated, added and averaged across enclosures. </t>
  </si>
  <si>
    <t>R-file Prepare_exp_data.R</t>
  </si>
  <si>
    <t>mechanistic consideration</t>
  </si>
  <si>
    <t xml:space="preserve">study collected data from literature and built the regression model. Collected data: 178 data entries representing 37 different species and six divisions and then </t>
  </si>
  <si>
    <t>direct use of data as prior and then calibrated</t>
  </si>
  <si>
    <t>value derived from literature</t>
  </si>
  <si>
    <t>Prior maximum value</t>
  </si>
  <si>
    <t>Prior minimum value</t>
  </si>
  <si>
    <t>Source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</si>
</sst>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E+00"/>
    <numFmt numFmtId="165" formatCode="0.0E+00"/>
  </numFmts>
  <fonts count="13"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i/>
      <sz val="11"/>
      <color theme="1"/>
      <name val="Calibri"/>
      <family val="2"/>
      <scheme val="minor"/>
    </font>
    <font>
      <sz val="11"/>
      <color theme="0" tint="-0.499984740745262"/>
      <name val="Calibri"/>
      <family val="2"/>
      <scheme val="minor"/>
    </font>
    <font>
      <sz val="11"/>
      <color theme="0" tint="-0.249977111117893"/>
      <name val="Calibri"/>
      <family val="2"/>
      <scheme val="minor"/>
    </font>
    <font>
      <sz val="8"/>
      <name val="Calibri"/>
      <family val="2"/>
      <scheme val="minor"/>
    </font>
    <font>
      <vertAlign val="subscript"/>
      <sz val="11"/>
      <name val="Calibri"/>
      <family val="2"/>
      <scheme val="minor"/>
    </font>
    <font>
      <vertAlign val="superscript"/>
      <sz val="11"/>
      <name val="Calibri"/>
      <family val="2"/>
      <scheme val="minor"/>
    </font>
    <font>
      <vertAlign val="subscript"/>
      <sz val="11"/>
      <color theme="1"/>
      <name val="Calibri"/>
      <family val="2"/>
      <scheme val="minor"/>
    </font>
    <font>
      <vertAlign val="superscript"/>
      <sz val="11"/>
      <color theme="1"/>
      <name val="Calibri"/>
      <family val="2"/>
      <scheme val="minor"/>
    </font>
    <font>
      <i/>
      <sz val="1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65">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0" fillId="2" borderId="0" xfId="0" applyFill="1"/>
    <xf numFmtId="0" fontId="1" fillId="0" borderId="0" xfId="0" applyFont="1"/>
    <xf numFmtId="0" fontId="0" fillId="3" borderId="0" xfId="0" applyFill="1" applyAlignment="1">
      <alignment vertical="top"/>
    </xf>
    <xf numFmtId="0" fontId="1" fillId="4" borderId="0" xfId="0" applyFont="1" applyFill="1" applyAlignment="1">
      <alignment wrapText="1"/>
    </xf>
    <xf numFmtId="0" fontId="0" fillId="4" borderId="0" xfId="0" applyFill="1"/>
    <xf numFmtId="0" fontId="1" fillId="4" borderId="0" xfId="0" applyFont="1" applyFill="1"/>
    <xf numFmtId="0" fontId="5" fillId="4" borderId="2" xfId="0" applyFont="1" applyFill="1" applyBorder="1"/>
    <xf numFmtId="0" fontId="5" fillId="4" borderId="0" xfId="0" applyFont="1" applyFill="1"/>
    <xf numFmtId="0" fontId="0" fillId="4" borderId="0" xfId="0" applyFill="1" applyAlignment="1">
      <alignment wrapText="1"/>
    </xf>
    <xf numFmtId="0" fontId="6" fillId="4" borderId="0" xfId="0" applyFont="1" applyFill="1"/>
    <xf numFmtId="0" fontId="2" fillId="4" borderId="0" xfId="0" applyFont="1" applyFill="1" applyAlignment="1">
      <alignment horizontal="left" vertical="top" wrapText="1"/>
    </xf>
    <xf numFmtId="164" fontId="3" fillId="4" borderId="0" xfId="0" applyNumberFormat="1" applyFont="1" applyFill="1" applyAlignment="1">
      <alignment horizontal="left" vertical="top" shrinkToFit="1"/>
    </xf>
    <xf numFmtId="0" fontId="0" fillId="4" borderId="0" xfId="0" applyFill="1" applyAlignment="1">
      <alignment vertical="top"/>
    </xf>
    <xf numFmtId="0" fontId="0" fillId="4" borderId="0" xfId="0" applyFill="1" applyAlignment="1">
      <alignment vertical="top" wrapText="1"/>
    </xf>
    <xf numFmtId="0" fontId="2" fillId="4" borderId="0" xfId="0" applyFont="1" applyFill="1"/>
    <xf numFmtId="0" fontId="2" fillId="4" borderId="0" xfId="0" applyFont="1" applyFill="1" applyAlignment="1">
      <alignment vertical="top"/>
    </xf>
    <xf numFmtId="0" fontId="2" fillId="4" borderId="0" xfId="0" quotePrefix="1" applyFont="1" applyFill="1" applyAlignment="1">
      <alignment vertical="top"/>
    </xf>
    <xf numFmtId="0" fontId="2" fillId="4" borderId="2" xfId="0" applyFont="1" applyFill="1" applyBorder="1" applyAlignment="1">
      <alignment vertical="top"/>
    </xf>
    <xf numFmtId="0" fontId="2" fillId="4" borderId="2" xfId="0" quotePrefix="1" applyFont="1" applyFill="1" applyBorder="1" applyAlignment="1">
      <alignment vertical="top"/>
    </xf>
    <xf numFmtId="0" fontId="2" fillId="4" borderId="2" xfId="0" applyFont="1" applyFill="1" applyBorder="1"/>
    <xf numFmtId="0" fontId="2" fillId="4" borderId="0" xfId="0" applyFont="1" applyFill="1" applyAlignment="1">
      <alignment vertical="top" wrapText="1"/>
    </xf>
    <xf numFmtId="11" fontId="0" fillId="4" borderId="0" xfId="0" applyNumberFormat="1" applyFill="1"/>
    <xf numFmtId="0" fontId="2" fillId="4" borderId="2" xfId="0" applyFont="1" applyFill="1" applyBorder="1" applyAlignment="1">
      <alignment vertical="top" wrapText="1"/>
    </xf>
    <xf numFmtId="0" fontId="0" fillId="4" borderId="2" xfId="0" applyFill="1" applyBorder="1"/>
    <xf numFmtId="11" fontId="0" fillId="4" borderId="2" xfId="0" applyNumberFormat="1" applyFill="1" applyBorder="1"/>
    <xf numFmtId="0" fontId="0" fillId="4" borderId="2" xfId="0" applyFill="1" applyBorder="1" applyAlignment="1">
      <alignment vertical="top"/>
    </xf>
    <xf numFmtId="0" fontId="0" fillId="4" borderId="2" xfId="0" applyFill="1" applyBorder="1" applyAlignment="1">
      <alignment vertical="top" wrapText="1"/>
    </xf>
    <xf numFmtId="11" fontId="2" fillId="4" borderId="0" xfId="0" applyNumberFormat="1" applyFont="1" applyFill="1" applyAlignment="1">
      <alignment vertical="top"/>
    </xf>
    <xf numFmtId="11" fontId="2" fillId="4" borderId="2" xfId="0" applyNumberFormat="1" applyFont="1" applyFill="1" applyBorder="1" applyAlignment="1">
      <alignment vertical="top"/>
    </xf>
    <xf numFmtId="0" fontId="2" fillId="4" borderId="0" xfId="0" applyFont="1" applyFill="1" applyAlignment="1">
      <alignment horizontal="left" vertical="top"/>
    </xf>
    <xf numFmtId="0" fontId="2" fillId="4" borderId="2" xfId="0" applyFont="1" applyFill="1" applyBorder="1" applyAlignment="1">
      <alignment horizontal="left" vertical="top"/>
    </xf>
    <xf numFmtId="0" fontId="0" fillId="4" borderId="0" xfId="0" quotePrefix="1" applyFill="1" applyAlignment="1">
      <alignment vertical="top"/>
    </xf>
    <xf numFmtId="0" fontId="0" fillId="3" borderId="0" xfId="0" applyFill="1"/>
    <xf numFmtId="2" fontId="0" fillId="4" borderId="0" xfId="0" applyNumberFormat="1" applyFill="1" applyAlignment="1">
      <alignment vertical="top"/>
    </xf>
    <xf numFmtId="0" fontId="12" fillId="4" borderId="0" xfId="0" applyFont="1" applyFill="1" applyAlignment="1">
      <alignment horizontal="left" vertical="top" wrapText="1"/>
    </xf>
    <xf numFmtId="0" fontId="4" fillId="4" borderId="0" xfId="0" applyFont="1" applyFill="1" applyAlignment="1">
      <alignment vertical="top"/>
    </xf>
    <xf numFmtId="0" fontId="12" fillId="4" borderId="0" xfId="0" applyFont="1" applyFill="1" applyAlignment="1">
      <alignment horizontal="left" vertical="top"/>
    </xf>
    <xf numFmtId="0" fontId="0" fillId="4" borderId="2" xfId="0" quotePrefix="1" applyFill="1" applyBorder="1" applyAlignment="1">
      <alignment vertical="top"/>
    </xf>
    <xf numFmtId="0" fontId="0" fillId="4" borderId="0" xfId="0" quotePrefix="1" applyFill="1"/>
    <xf numFmtId="0" fontId="0" fillId="4" borderId="2" xfId="0" quotePrefix="1" applyFill="1" applyBorder="1"/>
    <xf numFmtId="11" fontId="0" fillId="4" borderId="0" xfId="0" quotePrefix="1" applyNumberFormat="1" applyFill="1"/>
    <xf numFmtId="11" fontId="0" fillId="4" borderId="2" xfId="0" quotePrefix="1" applyNumberFormat="1" applyFill="1" applyBorder="1"/>
    <xf numFmtId="0" fontId="0" fillId="4" borderId="0" xfId="0" quotePrefix="1" applyFill="1" applyAlignment="1">
      <alignment vertical="top" wrapText="1"/>
    </xf>
    <xf numFmtId="0" fontId="0" fillId="4" borderId="2" xfId="0" quotePrefix="1" applyFill="1" applyBorder="1" applyAlignment="1">
      <alignment vertical="top" wrapText="1"/>
    </xf>
    <xf numFmtId="11" fontId="0" fillId="0" borderId="0" xfId="0" applyNumberFormat="1"/>
    <xf numFmtId="164" fontId="3" fillId="4" borderId="0" xfId="0" quotePrefix="1" applyNumberFormat="1" applyFont="1" applyFill="1" applyAlignment="1">
      <alignment horizontal="left" vertical="top" shrinkToFit="1"/>
    </xf>
    <xf numFmtId="164" fontId="3" fillId="4" borderId="2" xfId="0" quotePrefix="1" applyNumberFormat="1" applyFont="1" applyFill="1" applyBorder="1" applyAlignment="1">
      <alignment horizontal="left" vertical="top" shrinkToFit="1"/>
    </xf>
    <xf numFmtId="165" fontId="0" fillId="4" borderId="0" xfId="0" applyNumberFormat="1" applyFill="1"/>
    <xf numFmtId="165" fontId="0" fillId="4" borderId="0" xfId="0" applyNumberFormat="1" applyFill="1" applyAlignment="1">
      <alignment vertical="top" wrapText="1"/>
    </xf>
    <xf numFmtId="165" fontId="0" fillId="4" borderId="2" xfId="0" applyNumberFormat="1" applyFill="1" applyBorder="1" applyAlignment="1">
      <alignment vertical="top" wrapText="1"/>
    </xf>
    <xf numFmtId="165" fontId="0" fillId="4" borderId="2" xfId="0" applyNumberFormat="1" applyFill="1" applyBorder="1"/>
    <xf numFmtId="165" fontId="0" fillId="4" borderId="0" xfId="0" applyNumberFormat="1" applyFill="1" applyAlignment="1">
      <alignment vertical="top"/>
    </xf>
    <xf numFmtId="0" fontId="5" fillId="4" borderId="0" xfId="0" quotePrefix="1" applyFont="1" applyFill="1"/>
    <xf numFmtId="0" fontId="2" fillId="4" borderId="0" xfId="0" quotePrefix="1" applyFont="1" applyFill="1" applyAlignment="1">
      <alignment horizontal="left" vertical="center" wrapText="1"/>
    </xf>
    <xf numFmtId="0" fontId="2" fillId="4" borderId="0" xfId="0" quotePrefix="1" applyFont="1" applyFill="1"/>
    <xf numFmtId="2" fontId="0" fillId="4" borderId="2" xfId="0" applyNumberFormat="1" applyFill="1" applyBorder="1" applyAlignment="1">
      <alignment vertical="top"/>
    </xf>
    <xf numFmtId="165" fontId="0" fillId="4" borderId="2" xfId="0" applyNumberFormat="1" applyFill="1" applyBorder="1" applyAlignment="1">
      <alignment vertical="top"/>
    </xf>
    <xf numFmtId="11" fontId="0" fillId="4" borderId="2" xfId="0" applyNumberFormat="1" applyFill="1" applyBorder="1" applyAlignment="1">
      <alignment vertical="top"/>
    </xf>
    <xf numFmtId="0" fontId="2" fillId="4" borderId="2" xfId="0" applyFont="1" applyFill="1" applyBorder="1" applyAlignment="1">
      <alignment horizontal="left" vertical="top" wrapText="1"/>
    </xf>
    <xf numFmtId="0" fontId="2" fillId="4" borderId="2" xfId="0" quotePrefix="1" applyFont="1" applyFill="1" applyBorder="1"/>
    <xf numFmtId="0" fontId="2" fillId="4" borderId="1" xfId="0" applyFont="1" applyFill="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OConnor, Isabel" id="{2A7D5556-2159-4EAC-AD48-7D1250786300}" userId="S::Isabel.OConnor@ebp-group.ch::e7a8d5d8-e8d5-4456-95bf-dbb6c6570820"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1-05-10T18:44:02.70" personId="{2A7D5556-2159-4EAC-AD48-7D1250786300}" id="{5699BA5E-5DF6-49D2-8753-82E300BFB96E}">
    <text>https://ebpgroup.sharepoint.com/sites/CH_P_220256/Documents/30_GRUNDLAGEN/10_Waterborne_project_folder/Conversions/Species_groups_references_February%202021%20References%20included.xlsx?web=1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45D6-AA07-49A8-9A5B-57491FCB6B9F}">
  <dimension ref="A1:B59"/>
  <sheetViews>
    <sheetView tabSelected="1" workbookViewId="0">
      <selection activeCell="B24" sqref="B24"/>
    </sheetView>
  </sheetViews>
  <sheetFormatPr baseColWidth="10" defaultColWidth="9.140625" defaultRowHeight="15" x14ac:dyDescent="0.25"/>
  <cols>
    <col min="1" max="1" width="27.42578125" style="1" customWidth="1"/>
    <col min="2" max="2" width="73.28515625" style="1" customWidth="1"/>
  </cols>
  <sheetData>
    <row r="1" spans="1:2" x14ac:dyDescent="0.25">
      <c r="A1" s="5" t="s">
        <v>79</v>
      </c>
    </row>
    <row r="2" spans="1:2" ht="30" x14ac:dyDescent="0.25">
      <c r="A2" s="2" t="s">
        <v>20</v>
      </c>
      <c r="B2" s="3"/>
    </row>
    <row r="4" spans="1:2" x14ac:dyDescent="0.25">
      <c r="A4" s="2" t="s">
        <v>21</v>
      </c>
    </row>
    <row r="5" spans="1:2" ht="30" x14ac:dyDescent="0.25">
      <c r="A5" s="1" t="s">
        <v>22</v>
      </c>
      <c r="B5" s="1" t="s">
        <v>23</v>
      </c>
    </row>
    <row r="6" spans="1:2" ht="30" x14ac:dyDescent="0.25">
      <c r="A6" s="1" t="s">
        <v>24</v>
      </c>
      <c r="B6" s="1" t="s">
        <v>62</v>
      </c>
    </row>
    <row r="7" spans="1:2" ht="45" x14ac:dyDescent="0.25">
      <c r="A7" s="1" t="s">
        <v>25</v>
      </c>
      <c r="B7" s="1" t="s">
        <v>63</v>
      </c>
    </row>
    <row r="8" spans="1:2" ht="60" x14ac:dyDescent="0.25">
      <c r="A8" s="1" t="s">
        <v>60</v>
      </c>
      <c r="B8" s="1" t="s">
        <v>61</v>
      </c>
    </row>
    <row r="10" spans="1:2" ht="30" x14ac:dyDescent="0.25">
      <c r="A10" s="2" t="s">
        <v>41</v>
      </c>
    </row>
    <row r="11" spans="1:2" x14ac:dyDescent="0.25">
      <c r="A11" s="1" t="s">
        <v>0</v>
      </c>
      <c r="B11" s="1" t="s">
        <v>6</v>
      </c>
    </row>
    <row r="12" spans="1:2" x14ac:dyDescent="0.25">
      <c r="A12" s="1" t="s">
        <v>1</v>
      </c>
      <c r="B12" s="1" t="s">
        <v>7</v>
      </c>
    </row>
    <row r="13" spans="1:2" ht="30" x14ac:dyDescent="0.25">
      <c r="A13" s="1" t="s">
        <v>64</v>
      </c>
      <c r="B13" s="1" t="s">
        <v>65</v>
      </c>
    </row>
    <row r="14" spans="1:2" x14ac:dyDescent="0.25">
      <c r="A14" s="1" t="s">
        <v>2</v>
      </c>
      <c r="B14" s="1" t="s">
        <v>8</v>
      </c>
    </row>
    <row r="15" spans="1:2" ht="30" x14ac:dyDescent="0.25">
      <c r="A15" s="1" t="s">
        <v>9</v>
      </c>
      <c r="B15" s="1" t="s">
        <v>34</v>
      </c>
    </row>
    <row r="16" spans="1:2" x14ac:dyDescent="0.25">
      <c r="A16" s="1" t="s">
        <v>3</v>
      </c>
      <c r="B16" s="1" t="s">
        <v>10</v>
      </c>
    </row>
    <row r="17" spans="1:2" ht="45" x14ac:dyDescent="0.25">
      <c r="A17" s="1" t="s">
        <v>12</v>
      </c>
      <c r="B17" s="1" t="s">
        <v>13</v>
      </c>
    </row>
    <row r="18" spans="1:2" ht="90" x14ac:dyDescent="0.25">
      <c r="A18" s="1" t="s">
        <v>14</v>
      </c>
      <c r="B18" s="1" t="s">
        <v>66</v>
      </c>
    </row>
    <row r="19" spans="1:2" ht="33" customHeight="1" x14ac:dyDescent="0.25">
      <c r="A19" s="1" t="s">
        <v>15</v>
      </c>
      <c r="B19" s="1" t="s">
        <v>16</v>
      </c>
    </row>
    <row r="20" spans="1:2" ht="75" x14ac:dyDescent="0.25">
      <c r="A20" s="1" t="s">
        <v>17</v>
      </c>
      <c r="B20" s="1" t="s">
        <v>74</v>
      </c>
    </row>
    <row r="21" spans="1:2" ht="75" x14ac:dyDescent="0.25">
      <c r="A21" s="1" t="s">
        <v>72</v>
      </c>
      <c r="B21" s="1" t="s">
        <v>73</v>
      </c>
    </row>
    <row r="22" spans="1:2" ht="60" x14ac:dyDescent="0.25">
      <c r="A22" s="1" t="s">
        <v>27</v>
      </c>
      <c r="B22" s="1" t="s">
        <v>75</v>
      </c>
    </row>
    <row r="23" spans="1:2" ht="75" x14ac:dyDescent="0.25">
      <c r="A23" s="1" t="s">
        <v>26</v>
      </c>
      <c r="B23" s="1" t="s">
        <v>76</v>
      </c>
    </row>
    <row r="24" spans="1:2" ht="45" x14ac:dyDescent="0.25">
      <c r="A24" s="1" t="s">
        <v>5</v>
      </c>
      <c r="B24" s="1" t="s">
        <v>77</v>
      </c>
    </row>
    <row r="26" spans="1:2" x14ac:dyDescent="0.25">
      <c r="A26" s="2" t="s">
        <v>46</v>
      </c>
    </row>
    <row r="27" spans="1:2" ht="30" x14ac:dyDescent="0.25">
      <c r="A27" s="1" t="s">
        <v>29</v>
      </c>
      <c r="B27" s="1" t="s">
        <v>47</v>
      </c>
    </row>
    <row r="28" spans="1:2" ht="30" x14ac:dyDescent="0.25">
      <c r="A28" s="1" t="s">
        <v>30</v>
      </c>
      <c r="B28" s="1" t="s">
        <v>48</v>
      </c>
    </row>
    <row r="29" spans="1:2" x14ac:dyDescent="0.25">
      <c r="A29" s="1" t="s">
        <v>31</v>
      </c>
      <c r="B29" s="1" t="s">
        <v>49</v>
      </c>
    </row>
    <row r="30" spans="1:2" ht="30" x14ac:dyDescent="0.25">
      <c r="A30" s="1" t="s">
        <v>33</v>
      </c>
      <c r="B30" s="1" t="s">
        <v>50</v>
      </c>
    </row>
    <row r="31" spans="1:2" ht="30" x14ac:dyDescent="0.25">
      <c r="A31" s="1" t="s">
        <v>32</v>
      </c>
      <c r="B31" s="1" t="s">
        <v>51</v>
      </c>
    </row>
    <row r="32" spans="1:2" ht="30" x14ac:dyDescent="0.25">
      <c r="A32" s="1" t="s">
        <v>28</v>
      </c>
      <c r="B32" s="1" t="s">
        <v>52</v>
      </c>
    </row>
    <row r="33" spans="1:2" ht="90" x14ac:dyDescent="0.25">
      <c r="A33" s="1" t="s">
        <v>14</v>
      </c>
      <c r="B33" s="1" t="s">
        <v>53</v>
      </c>
    </row>
    <row r="34" spans="1:2" ht="30" x14ac:dyDescent="0.25">
      <c r="A34" s="1" t="s">
        <v>36</v>
      </c>
      <c r="B34" s="1" t="s">
        <v>54</v>
      </c>
    </row>
    <row r="35" spans="1:2" ht="45" x14ac:dyDescent="0.25">
      <c r="A35" s="1" t="s">
        <v>37</v>
      </c>
      <c r="B35" s="1" t="s">
        <v>55</v>
      </c>
    </row>
    <row r="36" spans="1:2" ht="75" x14ac:dyDescent="0.25">
      <c r="A36" s="1" t="s">
        <v>72</v>
      </c>
      <c r="B36" s="1" t="s">
        <v>73</v>
      </c>
    </row>
    <row r="37" spans="1:2" ht="75" x14ac:dyDescent="0.25">
      <c r="A37" s="1" t="s">
        <v>38</v>
      </c>
      <c r="B37" s="1" t="s">
        <v>78</v>
      </c>
    </row>
    <row r="38" spans="1:2" ht="60" x14ac:dyDescent="0.25">
      <c r="A38" s="1" t="s">
        <v>39</v>
      </c>
      <c r="B38" s="1" t="s">
        <v>77</v>
      </c>
    </row>
    <row r="40" spans="1:2" ht="30" x14ac:dyDescent="0.25">
      <c r="A40" s="2" t="s">
        <v>42</v>
      </c>
    </row>
    <row r="41" spans="1:2" ht="30" x14ac:dyDescent="0.25">
      <c r="A41" s="1" t="s">
        <v>40</v>
      </c>
      <c r="B41" s="1" t="s">
        <v>43</v>
      </c>
    </row>
    <row r="42" spans="1:2" ht="45" x14ac:dyDescent="0.25">
      <c r="A42" s="1" t="s">
        <v>19</v>
      </c>
      <c r="B42" s="1" t="s">
        <v>44</v>
      </c>
    </row>
    <row r="43" spans="1:2" x14ac:dyDescent="0.25">
      <c r="A43" s="1" t="s">
        <v>2</v>
      </c>
      <c r="B43" s="1" t="s">
        <v>8</v>
      </c>
    </row>
    <row r="44" spans="1:2" ht="30" x14ac:dyDescent="0.25">
      <c r="A44" s="1" t="s">
        <v>9</v>
      </c>
      <c r="B44" s="1" t="s">
        <v>45</v>
      </c>
    </row>
    <row r="45" spans="1:2" x14ac:dyDescent="0.25">
      <c r="A45" s="1" t="s">
        <v>3</v>
      </c>
      <c r="B45" s="1" t="s">
        <v>10</v>
      </c>
    </row>
    <row r="46" spans="1:2" ht="45" x14ac:dyDescent="0.25">
      <c r="A46" s="1" t="s">
        <v>12</v>
      </c>
      <c r="B46" s="1" t="s">
        <v>13</v>
      </c>
    </row>
    <row r="47" spans="1:2" ht="90" x14ac:dyDescent="0.25">
      <c r="A47" s="1" t="s">
        <v>14</v>
      </c>
      <c r="B47" s="1" t="s">
        <v>35</v>
      </c>
    </row>
    <row r="48" spans="1:2" ht="30" x14ac:dyDescent="0.25">
      <c r="A48" s="1" t="s">
        <v>15</v>
      </c>
      <c r="B48" s="1" t="s">
        <v>16</v>
      </c>
    </row>
    <row r="49" spans="1:2" ht="75" x14ac:dyDescent="0.25">
      <c r="A49" s="1" t="s">
        <v>17</v>
      </c>
      <c r="B49" s="1" t="s">
        <v>74</v>
      </c>
    </row>
    <row r="50" spans="1:2" ht="75" x14ac:dyDescent="0.25">
      <c r="A50" s="1" t="s">
        <v>72</v>
      </c>
      <c r="B50" s="1" t="s">
        <v>73</v>
      </c>
    </row>
    <row r="51" spans="1:2" ht="45" x14ac:dyDescent="0.25">
      <c r="A51" s="1" t="s">
        <v>11</v>
      </c>
      <c r="B51" s="1" t="s">
        <v>75</v>
      </c>
    </row>
    <row r="52" spans="1:2" ht="60" x14ac:dyDescent="0.25">
      <c r="A52" s="1" t="s">
        <v>4</v>
      </c>
      <c r="B52" s="1" t="s">
        <v>76</v>
      </c>
    </row>
    <row r="53" spans="1:2" ht="60" x14ac:dyDescent="0.25">
      <c r="A53" s="1" t="s">
        <v>18</v>
      </c>
      <c r="B53" s="1" t="s">
        <v>77</v>
      </c>
    </row>
    <row r="55" spans="1:2" ht="30" x14ac:dyDescent="0.25">
      <c r="A55" s="2" t="s">
        <v>67</v>
      </c>
    </row>
    <row r="56" spans="1:2" ht="45" x14ac:dyDescent="0.25">
      <c r="A56" s="1" t="s">
        <v>56</v>
      </c>
      <c r="B56" s="1" t="s">
        <v>68</v>
      </c>
    </row>
    <row r="57" spans="1:2" ht="45" x14ac:dyDescent="0.25">
      <c r="A57" s="1" t="s">
        <v>57</v>
      </c>
      <c r="B57" s="1" t="s">
        <v>69</v>
      </c>
    </row>
    <row r="58" spans="1:2" ht="45" x14ac:dyDescent="0.25">
      <c r="A58" s="1" t="s">
        <v>58</v>
      </c>
      <c r="B58" s="1" t="s">
        <v>70</v>
      </c>
    </row>
    <row r="59" spans="1:2" ht="45" x14ac:dyDescent="0.25">
      <c r="A59" s="1" t="s">
        <v>59</v>
      </c>
      <c r="B59" s="1" t="s">
        <v>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1382-BFBC-4520-AAAB-4E6FAD4677E8}">
  <dimension ref="A1:U343"/>
  <sheetViews>
    <sheetView zoomScale="80" zoomScaleNormal="80" workbookViewId="0">
      <pane xSplit="1" ySplit="1" topLeftCell="B2" activePane="bottomRight" state="frozen"/>
      <selection pane="topRight" activeCell="B1" sqref="B1"/>
      <selection pane="bottomLeft" activeCell="A2" sqref="A2"/>
      <selection pane="bottomRight" activeCell="I29" sqref="I29"/>
    </sheetView>
  </sheetViews>
  <sheetFormatPr baseColWidth="10" defaultColWidth="9.140625" defaultRowHeight="15" x14ac:dyDescent="0.25"/>
  <cols>
    <col min="1" max="1" width="12.7109375" style="8" customWidth="1"/>
    <col min="2" max="2" width="34.5703125" style="8" customWidth="1"/>
    <col min="3" max="3" width="26" style="8" customWidth="1"/>
    <col min="4" max="4" width="12.5703125" style="8" customWidth="1"/>
    <col min="5" max="5" width="44" style="8" customWidth="1"/>
    <col min="6" max="12" width="13.42578125" style="8" customWidth="1"/>
    <col min="13" max="13" width="35.28515625" style="8" customWidth="1"/>
    <col min="14" max="14" width="24.7109375" style="8" customWidth="1"/>
    <col min="15" max="16" width="27" style="8" customWidth="1"/>
    <col min="17" max="17" width="19.85546875" style="8" customWidth="1"/>
    <col min="18" max="18" width="13.42578125" style="8" customWidth="1"/>
    <col min="19" max="19" width="27.5703125" style="8" customWidth="1"/>
    <col min="20" max="20" width="27.42578125" style="8" customWidth="1"/>
    <col min="21" max="16384" width="9.140625" style="8"/>
  </cols>
  <sheetData>
    <row r="1" spans="1:21" s="7" customFormat="1" ht="94.5" customHeight="1" x14ac:dyDescent="0.25">
      <c r="A1" s="7" t="s">
        <v>0</v>
      </c>
      <c r="B1" s="7" t="s">
        <v>1</v>
      </c>
      <c r="C1" s="7" t="s">
        <v>64</v>
      </c>
      <c r="D1" s="7" t="s">
        <v>2</v>
      </c>
      <c r="E1" s="7" t="s">
        <v>9</v>
      </c>
      <c r="F1" s="7" t="s">
        <v>114</v>
      </c>
      <c r="G1" s="7" t="s">
        <v>255</v>
      </c>
      <c r="H1" s="7" t="s">
        <v>256</v>
      </c>
      <c r="I1" s="7" t="s">
        <v>777</v>
      </c>
      <c r="J1" s="7" t="s">
        <v>776</v>
      </c>
      <c r="K1" s="7" t="s">
        <v>726</v>
      </c>
      <c r="L1" s="7" t="s">
        <v>727</v>
      </c>
      <c r="M1" s="7" t="s">
        <v>14</v>
      </c>
      <c r="N1" s="7" t="s">
        <v>15</v>
      </c>
      <c r="O1" s="7" t="s">
        <v>17</v>
      </c>
      <c r="P1" s="7" t="s">
        <v>72</v>
      </c>
      <c r="Q1" s="7" t="s">
        <v>11</v>
      </c>
      <c r="R1" s="7" t="s">
        <v>630</v>
      </c>
      <c r="S1" s="7" t="s">
        <v>26</v>
      </c>
      <c r="T1" s="7" t="s">
        <v>18</v>
      </c>
      <c r="U1" s="7" t="s">
        <v>778</v>
      </c>
    </row>
    <row r="2" spans="1:21" s="36" customFormat="1" ht="16.5" customHeight="1" x14ac:dyDescent="0.25">
      <c r="A2" s="36" t="s">
        <v>175</v>
      </c>
    </row>
    <row r="3" spans="1:21" ht="16.5" customHeight="1" x14ac:dyDescent="0.25">
      <c r="A3" s="14" t="s">
        <v>176</v>
      </c>
      <c r="B3" s="38" t="s">
        <v>535</v>
      </c>
      <c r="C3" s="40" t="s">
        <v>631</v>
      </c>
      <c r="D3" s="14" t="s">
        <v>180</v>
      </c>
      <c r="E3" s="8" t="s">
        <v>181</v>
      </c>
      <c r="F3" s="8" t="s">
        <v>535</v>
      </c>
      <c r="G3" s="15">
        <v>8.6173400000000004E-5</v>
      </c>
      <c r="I3" s="49" t="s">
        <v>85</v>
      </c>
      <c r="J3" s="49" t="s">
        <v>85</v>
      </c>
      <c r="K3" s="49" t="s">
        <v>85</v>
      </c>
      <c r="L3" s="49" t="s">
        <v>85</v>
      </c>
      <c r="M3" s="49" t="s">
        <v>85</v>
      </c>
      <c r="N3" s="49" t="s">
        <v>85</v>
      </c>
      <c r="O3" s="49" t="s">
        <v>85</v>
      </c>
      <c r="P3" s="49" t="s">
        <v>85</v>
      </c>
      <c r="Q3" s="8" t="s">
        <v>651</v>
      </c>
      <c r="R3" s="8" t="s">
        <v>549</v>
      </c>
      <c r="U3" s="8" t="s">
        <v>178</v>
      </c>
    </row>
    <row r="4" spans="1:21" s="6" customFormat="1" ht="16.5" customHeight="1" x14ac:dyDescent="0.25">
      <c r="A4" s="6" t="s">
        <v>317</v>
      </c>
    </row>
    <row r="5" spans="1:21" s="16" customFormat="1" ht="16.5" customHeight="1" x14ac:dyDescent="0.25">
      <c r="A5" s="24" t="s">
        <v>608</v>
      </c>
      <c r="B5" s="16" t="s">
        <v>140</v>
      </c>
      <c r="C5" s="16" t="s">
        <v>338</v>
      </c>
      <c r="D5" s="16" t="s">
        <v>145</v>
      </c>
      <c r="E5" s="24" t="s">
        <v>196</v>
      </c>
      <c r="F5" s="16" t="s">
        <v>247</v>
      </c>
      <c r="G5" s="37">
        <v>0.36</v>
      </c>
      <c r="H5" s="17"/>
      <c r="I5" s="49" t="s">
        <v>85</v>
      </c>
      <c r="J5" s="49" t="s">
        <v>85</v>
      </c>
      <c r="K5" s="49" t="s">
        <v>85</v>
      </c>
      <c r="L5" s="49" t="s">
        <v>85</v>
      </c>
      <c r="M5" s="19" t="s">
        <v>728</v>
      </c>
      <c r="N5" s="11"/>
      <c r="O5" s="11"/>
      <c r="P5" s="18" t="s">
        <v>679</v>
      </c>
      <c r="Q5" s="8" t="s">
        <v>651</v>
      </c>
      <c r="R5" s="17" t="s">
        <v>549</v>
      </c>
      <c r="S5" s="11"/>
      <c r="T5" s="11"/>
      <c r="U5" s="16" t="s">
        <v>178</v>
      </c>
    </row>
    <row r="6" spans="1:21" s="16" customFormat="1" ht="16.5" customHeight="1" x14ac:dyDescent="0.25">
      <c r="A6" s="24" t="s">
        <v>609</v>
      </c>
      <c r="B6" s="16" t="s">
        <v>141</v>
      </c>
      <c r="C6" s="16" t="s">
        <v>338</v>
      </c>
      <c r="D6" s="16" t="s">
        <v>146</v>
      </c>
      <c r="E6" s="24" t="s">
        <v>197</v>
      </c>
      <c r="F6" s="16" t="s">
        <v>247</v>
      </c>
      <c r="G6" s="37">
        <v>0.5</v>
      </c>
      <c r="H6" s="17"/>
      <c r="I6" s="49" t="s">
        <v>85</v>
      </c>
      <c r="J6" s="49" t="s">
        <v>85</v>
      </c>
      <c r="K6" s="49" t="s">
        <v>85</v>
      </c>
      <c r="L6" s="49" t="s">
        <v>85</v>
      </c>
      <c r="M6" s="19" t="s">
        <v>728</v>
      </c>
      <c r="N6" s="11"/>
      <c r="O6" s="11"/>
      <c r="P6" s="18" t="s">
        <v>679</v>
      </c>
      <c r="Q6" s="8" t="s">
        <v>651</v>
      </c>
      <c r="R6" s="17" t="s">
        <v>549</v>
      </c>
      <c r="S6" s="11"/>
      <c r="T6" s="11"/>
      <c r="U6" s="16" t="s">
        <v>178</v>
      </c>
    </row>
    <row r="7" spans="1:21" s="16" customFormat="1" ht="16.5" customHeight="1" x14ac:dyDescent="0.25">
      <c r="A7" s="24" t="s">
        <v>610</v>
      </c>
      <c r="B7" s="16" t="s">
        <v>142</v>
      </c>
      <c r="C7" s="16" t="s">
        <v>338</v>
      </c>
      <c r="D7" s="16" t="s">
        <v>147</v>
      </c>
      <c r="E7" s="24" t="s">
        <v>198</v>
      </c>
      <c r="F7" s="16" t="s">
        <v>247</v>
      </c>
      <c r="G7" s="37">
        <v>7.0000000000000007E-2</v>
      </c>
      <c r="H7" s="17"/>
      <c r="I7" s="49" t="s">
        <v>85</v>
      </c>
      <c r="J7" s="49" t="s">
        <v>85</v>
      </c>
      <c r="K7" s="49" t="s">
        <v>85</v>
      </c>
      <c r="L7" s="49" t="s">
        <v>85</v>
      </c>
      <c r="M7" s="19" t="s">
        <v>728</v>
      </c>
      <c r="N7" s="11"/>
      <c r="O7" s="11"/>
      <c r="P7" s="18" t="s">
        <v>679</v>
      </c>
      <c r="Q7" s="8" t="s">
        <v>651</v>
      </c>
      <c r="R7" s="17" t="s">
        <v>549</v>
      </c>
      <c r="S7" s="11"/>
      <c r="T7" s="11"/>
      <c r="U7" s="16" t="s">
        <v>178</v>
      </c>
    </row>
    <row r="8" spans="1:21" s="16" customFormat="1" ht="16.5" customHeight="1" x14ac:dyDescent="0.25">
      <c r="A8" s="24" t="s">
        <v>611</v>
      </c>
      <c r="B8" s="16" t="s">
        <v>143</v>
      </c>
      <c r="C8" s="16" t="s">
        <v>338</v>
      </c>
      <c r="D8" s="16" t="s">
        <v>148</v>
      </c>
      <c r="E8" s="24" t="s">
        <v>199</v>
      </c>
      <c r="F8" s="16" t="s">
        <v>247</v>
      </c>
      <c r="G8" s="37">
        <v>0.06</v>
      </c>
      <c r="H8" s="17"/>
      <c r="I8" s="49" t="s">
        <v>85</v>
      </c>
      <c r="J8" s="49" t="s">
        <v>85</v>
      </c>
      <c r="K8" s="49" t="s">
        <v>85</v>
      </c>
      <c r="L8" s="49" t="s">
        <v>85</v>
      </c>
      <c r="M8" s="19" t="s">
        <v>728</v>
      </c>
      <c r="N8" s="11"/>
      <c r="O8" s="11"/>
      <c r="P8" s="18" t="s">
        <v>679</v>
      </c>
      <c r="Q8" s="8" t="s">
        <v>651</v>
      </c>
      <c r="R8" s="17" t="s">
        <v>549</v>
      </c>
      <c r="S8" s="11"/>
      <c r="T8" s="11"/>
      <c r="U8" s="16" t="s">
        <v>178</v>
      </c>
    </row>
    <row r="9" spans="1:21" s="29" customFormat="1" ht="16.5" customHeight="1" x14ac:dyDescent="0.25">
      <c r="A9" s="26" t="s">
        <v>612</v>
      </c>
      <c r="B9" s="29" t="s">
        <v>144</v>
      </c>
      <c r="C9" s="29" t="s">
        <v>338</v>
      </c>
      <c r="D9" s="29" t="s">
        <v>149</v>
      </c>
      <c r="E9" s="26" t="s">
        <v>200</v>
      </c>
      <c r="F9" s="29" t="s">
        <v>247</v>
      </c>
      <c r="G9" s="59">
        <v>0.01</v>
      </c>
      <c r="H9" s="30"/>
      <c r="I9" s="50" t="s">
        <v>85</v>
      </c>
      <c r="J9" s="50" t="s">
        <v>85</v>
      </c>
      <c r="K9" s="50" t="s">
        <v>85</v>
      </c>
      <c r="L9" s="50" t="s">
        <v>85</v>
      </c>
      <c r="M9" s="21" t="s">
        <v>728</v>
      </c>
      <c r="N9" s="10"/>
      <c r="O9" s="10"/>
      <c r="P9" s="23" t="s">
        <v>679</v>
      </c>
      <c r="Q9" s="27" t="s">
        <v>651</v>
      </c>
      <c r="R9" s="30" t="s">
        <v>549</v>
      </c>
      <c r="S9" s="10"/>
      <c r="T9" s="10"/>
      <c r="U9" s="29" t="s">
        <v>178</v>
      </c>
    </row>
    <row r="10" spans="1:21" s="16" customFormat="1" ht="16.5" customHeight="1" x14ac:dyDescent="0.25">
      <c r="A10" s="17" t="s">
        <v>92</v>
      </c>
      <c r="B10" s="16" t="s">
        <v>163</v>
      </c>
      <c r="C10" s="16" t="s">
        <v>338</v>
      </c>
      <c r="D10" s="17" t="s">
        <v>162</v>
      </c>
      <c r="E10" s="16" t="s">
        <v>96</v>
      </c>
      <c r="F10" s="17" t="s">
        <v>302</v>
      </c>
      <c r="G10" s="25">
        <v>20000</v>
      </c>
      <c r="H10" s="25">
        <v>2000</v>
      </c>
      <c r="I10" s="35" t="s">
        <v>85</v>
      </c>
      <c r="J10" s="35" t="s">
        <v>85</v>
      </c>
      <c r="K10" s="51">
        <f>VLOOKUP(B10,Tabelle1!$A$1:$C$351,2,FALSE)</f>
        <v>20146.320069258702</v>
      </c>
      <c r="L10" s="51">
        <f>VLOOKUP(B10,Tabelle1!$A$1:$C$351,3,FALSE)</f>
        <v>1997.22693987151</v>
      </c>
      <c r="M10" s="17" t="s">
        <v>735</v>
      </c>
      <c r="N10" s="17" t="s">
        <v>680</v>
      </c>
      <c r="O10" s="16" t="s">
        <v>681</v>
      </c>
      <c r="P10" s="16" t="s">
        <v>679</v>
      </c>
      <c r="Q10" s="16" t="s">
        <v>677</v>
      </c>
      <c r="R10" s="17" t="s">
        <v>550</v>
      </c>
      <c r="S10" s="17" t="s">
        <v>678</v>
      </c>
      <c r="T10" s="35" t="s">
        <v>85</v>
      </c>
      <c r="U10" s="16" t="s">
        <v>178</v>
      </c>
    </row>
    <row r="11" spans="1:21" s="16" customFormat="1" ht="16.5" customHeight="1" x14ac:dyDescent="0.25">
      <c r="A11" s="17" t="s">
        <v>613</v>
      </c>
      <c r="B11" s="16" t="s">
        <v>130</v>
      </c>
      <c r="C11" s="16" t="s">
        <v>338</v>
      </c>
      <c r="D11" s="17" t="s">
        <v>111</v>
      </c>
      <c r="E11" s="16" t="s">
        <v>98</v>
      </c>
      <c r="F11" s="17" t="s">
        <v>302</v>
      </c>
      <c r="G11" s="25">
        <f>60*60*24*365.25*131.52</f>
        <v>4150455552.0000005</v>
      </c>
      <c r="H11" s="25">
        <v>1530000000</v>
      </c>
      <c r="I11" s="35" t="s">
        <v>85</v>
      </c>
      <c r="J11" s="35" t="s">
        <v>85</v>
      </c>
      <c r="K11" s="51">
        <f>VLOOKUP(B11,Tabelle1!$A$1:$C$351,2,FALSE)</f>
        <v>3754931555.18641</v>
      </c>
      <c r="L11" s="51">
        <f>VLOOKUP(B11,Tabelle1!$A$1:$C$351,3,FALSE)</f>
        <v>1414940043.5355</v>
      </c>
      <c r="M11" s="16" t="s">
        <v>729</v>
      </c>
      <c r="N11" s="16" t="s">
        <v>773</v>
      </c>
      <c r="O11" s="16" t="s">
        <v>128</v>
      </c>
      <c r="P11" s="16" t="s">
        <v>751</v>
      </c>
      <c r="Q11" s="16" t="s">
        <v>677</v>
      </c>
      <c r="R11" s="17" t="s">
        <v>550</v>
      </c>
      <c r="U11" s="16" t="s">
        <v>178</v>
      </c>
    </row>
    <row r="12" spans="1:21" s="16" customFormat="1" ht="16.5" customHeight="1" x14ac:dyDescent="0.25">
      <c r="A12" s="17" t="s">
        <v>94</v>
      </c>
      <c r="B12" s="16" t="s">
        <v>129</v>
      </c>
      <c r="C12" s="16" t="s">
        <v>338</v>
      </c>
      <c r="D12" s="17" t="s">
        <v>85</v>
      </c>
      <c r="E12" s="16" t="s">
        <v>99</v>
      </c>
      <c r="F12" s="17" t="s">
        <v>302</v>
      </c>
      <c r="G12" s="17">
        <v>0.93</v>
      </c>
      <c r="H12" s="17">
        <v>3.3000000000000002E-2</v>
      </c>
      <c r="I12" s="35" t="s">
        <v>85</v>
      </c>
      <c r="J12" s="35" t="s">
        <v>85</v>
      </c>
      <c r="K12" s="52">
        <f>VLOOKUP(B12,Tabelle1!$A$1:$C$351,2,FALSE)</f>
        <v>0.93918975329077004</v>
      </c>
      <c r="L12" s="52">
        <f>VLOOKUP(B12,Tabelle1!$A$1:$C$351,3,FALSE)</f>
        <v>3.4076240408578103E-2</v>
      </c>
      <c r="M12" s="16" t="s">
        <v>730</v>
      </c>
      <c r="N12" s="16" t="s">
        <v>773</v>
      </c>
      <c r="O12" s="16" t="s">
        <v>128</v>
      </c>
      <c r="P12" s="16" t="s">
        <v>751</v>
      </c>
      <c r="Q12" s="16" t="s">
        <v>774</v>
      </c>
      <c r="R12" s="17" t="s">
        <v>550</v>
      </c>
      <c r="U12" s="16" t="s">
        <v>178</v>
      </c>
    </row>
    <row r="13" spans="1:21" s="16" customFormat="1" ht="16.5" customHeight="1" x14ac:dyDescent="0.25">
      <c r="A13" s="17" t="s">
        <v>632</v>
      </c>
      <c r="B13" s="39" t="s">
        <v>535</v>
      </c>
      <c r="C13" s="40" t="s">
        <v>631</v>
      </c>
      <c r="D13" s="17" t="s">
        <v>109</v>
      </c>
      <c r="E13" s="16" t="s">
        <v>633</v>
      </c>
      <c r="F13" s="17" t="s">
        <v>247</v>
      </c>
      <c r="G13" s="17">
        <v>1</v>
      </c>
      <c r="H13" s="17"/>
      <c r="I13" s="49" t="s">
        <v>85</v>
      </c>
      <c r="J13" s="49" t="s">
        <v>85</v>
      </c>
      <c r="K13" s="49" t="s">
        <v>85</v>
      </c>
      <c r="L13" s="49" t="s">
        <v>85</v>
      </c>
      <c r="M13" s="39" t="s">
        <v>535</v>
      </c>
      <c r="N13" s="35" t="s">
        <v>85</v>
      </c>
      <c r="O13" s="35" t="s">
        <v>85</v>
      </c>
      <c r="P13" s="35" t="s">
        <v>85</v>
      </c>
      <c r="Q13" s="35" t="s">
        <v>85</v>
      </c>
      <c r="R13" s="17" t="s">
        <v>549</v>
      </c>
      <c r="U13" s="16" t="s">
        <v>91</v>
      </c>
    </row>
    <row r="14" spans="1:21" s="6" customFormat="1" ht="16.5" customHeight="1" x14ac:dyDescent="0.25">
      <c r="A14" s="6" t="s">
        <v>543</v>
      </c>
    </row>
    <row r="15" spans="1:21" s="19" customFormat="1" ht="16.5" customHeight="1" x14ac:dyDescent="0.25">
      <c r="A15" s="24" t="s">
        <v>584</v>
      </c>
      <c r="B15" s="19" t="s">
        <v>269</v>
      </c>
      <c r="C15" s="19" t="s">
        <v>338</v>
      </c>
      <c r="D15" s="24" t="s">
        <v>585</v>
      </c>
      <c r="E15" s="19" t="s">
        <v>108</v>
      </c>
      <c r="F15" s="17" t="s">
        <v>302</v>
      </c>
      <c r="G15" s="25">
        <v>5.7999999999999996E-3</v>
      </c>
      <c r="H15" s="25">
        <f>G15*0.1</f>
        <v>5.8E-4</v>
      </c>
      <c r="I15" s="44" t="s">
        <v>85</v>
      </c>
      <c r="J15" s="44" t="s">
        <v>85</v>
      </c>
      <c r="K15" s="25">
        <f>VLOOKUP(B15,Tabelle1!$A$1:$C$351,2,FALSE)</f>
        <v>5.7926255967846599E-3</v>
      </c>
      <c r="L15" s="25">
        <f>VLOOKUP(B15,Tabelle1!$A$1:$C$351,3,FALSE)</f>
        <v>5.8310778861461591E-4</v>
      </c>
      <c r="M15" s="19" t="s">
        <v>542</v>
      </c>
      <c r="N15" s="19" t="s">
        <v>544</v>
      </c>
      <c r="O15" s="19" t="s">
        <v>545</v>
      </c>
      <c r="P15" s="19" t="s">
        <v>546</v>
      </c>
      <c r="Q15" s="19" t="s">
        <v>652</v>
      </c>
      <c r="R15" s="24" t="s">
        <v>550</v>
      </c>
      <c r="S15" s="19" t="s">
        <v>547</v>
      </c>
      <c r="T15" s="18" t="s">
        <v>653</v>
      </c>
      <c r="U15" s="19" t="s">
        <v>538</v>
      </c>
    </row>
    <row r="16" spans="1:21" s="19" customFormat="1" ht="16.5" customHeight="1" x14ac:dyDescent="0.25">
      <c r="A16" s="24" t="s">
        <v>584</v>
      </c>
      <c r="B16" s="19" t="s">
        <v>270</v>
      </c>
      <c r="C16" s="19" t="s">
        <v>338</v>
      </c>
      <c r="D16" s="24" t="s">
        <v>585</v>
      </c>
      <c r="E16" s="19" t="s">
        <v>108</v>
      </c>
      <c r="F16" s="17" t="s">
        <v>302</v>
      </c>
      <c r="G16" s="25">
        <v>9.2499999999999999E-2</v>
      </c>
      <c r="H16" s="25">
        <f t="shared" ref="H16:H30" si="0">G16*0.1</f>
        <v>9.2499999999999995E-3</v>
      </c>
      <c r="I16" s="44" t="s">
        <v>85</v>
      </c>
      <c r="J16" s="44" t="s">
        <v>85</v>
      </c>
      <c r="K16" s="25">
        <f>VLOOKUP(B16,Tabelle1!$A$1:$C$351,2,FALSE)</f>
        <v>9.1953575135384588E-2</v>
      </c>
      <c r="L16" s="25">
        <f>VLOOKUP(B16,Tabelle1!$A$1:$C$351,3,FALSE)</f>
        <v>8.7426929393602092E-3</v>
      </c>
      <c r="M16" s="19" t="s">
        <v>542</v>
      </c>
      <c r="N16" s="19" t="s">
        <v>544</v>
      </c>
      <c r="O16" s="19" t="s">
        <v>545</v>
      </c>
      <c r="P16" s="19" t="s">
        <v>546</v>
      </c>
      <c r="Q16" s="19" t="s">
        <v>652</v>
      </c>
      <c r="R16" s="24" t="s">
        <v>550</v>
      </c>
      <c r="S16" s="19" t="s">
        <v>547</v>
      </c>
      <c r="T16" s="18" t="s">
        <v>653</v>
      </c>
      <c r="U16" s="19" t="s">
        <v>538</v>
      </c>
    </row>
    <row r="17" spans="1:21" s="19" customFormat="1" ht="16.5" customHeight="1" x14ac:dyDescent="0.25">
      <c r="A17" s="24" t="s">
        <v>584</v>
      </c>
      <c r="B17" s="19" t="s">
        <v>271</v>
      </c>
      <c r="C17" s="19" t="s">
        <v>338</v>
      </c>
      <c r="D17" s="24" t="s">
        <v>585</v>
      </c>
      <c r="E17" s="19" t="s">
        <v>108</v>
      </c>
      <c r="F17" s="17" t="s">
        <v>302</v>
      </c>
      <c r="G17" s="25">
        <v>6.2600000000000003E-2</v>
      </c>
      <c r="H17" s="25">
        <f t="shared" si="0"/>
        <v>6.2600000000000008E-3</v>
      </c>
      <c r="I17" s="44" t="s">
        <v>85</v>
      </c>
      <c r="J17" s="44" t="s">
        <v>85</v>
      </c>
      <c r="K17" s="25">
        <f>VLOOKUP(B17,Tabelle1!$A$1:$C$351,2,FALSE)</f>
        <v>6.2485874959716504E-2</v>
      </c>
      <c r="L17" s="25">
        <f>VLOOKUP(B17,Tabelle1!$A$1:$C$351,3,FALSE)</f>
        <v>6.3566266279342599E-3</v>
      </c>
      <c r="M17" s="19" t="s">
        <v>542</v>
      </c>
      <c r="N17" s="19" t="s">
        <v>544</v>
      </c>
      <c r="O17" s="19" t="s">
        <v>545</v>
      </c>
      <c r="P17" s="19" t="s">
        <v>546</v>
      </c>
      <c r="Q17" s="19" t="s">
        <v>652</v>
      </c>
      <c r="R17" s="24" t="s">
        <v>550</v>
      </c>
      <c r="S17" s="19" t="s">
        <v>547</v>
      </c>
      <c r="T17" s="18" t="s">
        <v>653</v>
      </c>
      <c r="U17" s="19" t="s">
        <v>538</v>
      </c>
    </row>
    <row r="18" spans="1:21" s="19" customFormat="1" ht="16.5" customHeight="1" x14ac:dyDescent="0.25">
      <c r="A18" s="24" t="s">
        <v>584</v>
      </c>
      <c r="B18" s="19" t="s">
        <v>272</v>
      </c>
      <c r="C18" s="19" t="s">
        <v>338</v>
      </c>
      <c r="D18" s="24" t="s">
        <v>585</v>
      </c>
      <c r="E18" s="19" t="s">
        <v>108</v>
      </c>
      <c r="F18" s="17" t="s">
        <v>302</v>
      </c>
      <c r="G18" s="25">
        <v>2.0899999999999998E-2</v>
      </c>
      <c r="H18" s="25">
        <f t="shared" si="0"/>
        <v>2.0899999999999998E-3</v>
      </c>
      <c r="I18" s="44" t="s">
        <v>85</v>
      </c>
      <c r="J18" s="44" t="s">
        <v>85</v>
      </c>
      <c r="K18" s="25">
        <f>VLOOKUP(B18,Tabelle1!$A$1:$C$351,2,FALSE)</f>
        <v>2.0980194272733402E-2</v>
      </c>
      <c r="L18" s="25">
        <f>VLOOKUP(B18,Tabelle1!$A$1:$C$351,3,FALSE)</f>
        <v>2.0834482866244901E-3</v>
      </c>
      <c r="M18" s="19" t="s">
        <v>542</v>
      </c>
      <c r="N18" s="19" t="s">
        <v>544</v>
      </c>
      <c r="O18" s="19" t="s">
        <v>545</v>
      </c>
      <c r="P18" s="19" t="s">
        <v>546</v>
      </c>
      <c r="Q18" s="19" t="s">
        <v>652</v>
      </c>
      <c r="R18" s="24" t="s">
        <v>550</v>
      </c>
      <c r="S18" s="19" t="s">
        <v>547</v>
      </c>
      <c r="T18" s="18" t="s">
        <v>653</v>
      </c>
      <c r="U18" s="19" t="s">
        <v>538</v>
      </c>
    </row>
    <row r="19" spans="1:21" s="19" customFormat="1" ht="16.5" customHeight="1" x14ac:dyDescent="0.25">
      <c r="A19" s="24" t="s">
        <v>584</v>
      </c>
      <c r="B19" s="19" t="s">
        <v>273</v>
      </c>
      <c r="C19" s="19" t="s">
        <v>338</v>
      </c>
      <c r="D19" s="24" t="s">
        <v>585</v>
      </c>
      <c r="E19" s="19" t="s">
        <v>108</v>
      </c>
      <c r="F19" s="17" t="s">
        <v>302</v>
      </c>
      <c r="G19" s="25">
        <v>7.1300000000000002E-2</v>
      </c>
      <c r="H19" s="25">
        <f t="shared" si="0"/>
        <v>7.1300000000000009E-3</v>
      </c>
      <c r="I19" s="44" t="s">
        <v>85</v>
      </c>
      <c r="J19" s="44" t="s">
        <v>85</v>
      </c>
      <c r="K19" s="25">
        <f>VLOOKUP(B19,Tabelle1!$A$1:$C$351,2,FALSE)</f>
        <v>7.1066918609331606E-2</v>
      </c>
      <c r="L19" s="25">
        <f>VLOOKUP(B19,Tabelle1!$A$1:$C$351,3,FALSE)</f>
        <v>6.8777105051631192E-3</v>
      </c>
      <c r="M19" s="19" t="s">
        <v>542</v>
      </c>
      <c r="N19" s="19" t="s">
        <v>219</v>
      </c>
      <c r="O19" s="19" t="s">
        <v>545</v>
      </c>
      <c r="P19" s="19" t="s">
        <v>546</v>
      </c>
      <c r="Q19" s="19" t="s">
        <v>652</v>
      </c>
      <c r="R19" s="24" t="s">
        <v>550</v>
      </c>
      <c r="S19" s="19" t="s">
        <v>547</v>
      </c>
      <c r="T19" s="18" t="s">
        <v>653</v>
      </c>
      <c r="U19" s="19" t="s">
        <v>538</v>
      </c>
    </row>
    <row r="20" spans="1:21" s="19" customFormat="1" ht="16.5" customHeight="1" x14ac:dyDescent="0.25">
      <c r="A20" s="24" t="s">
        <v>584</v>
      </c>
      <c r="B20" s="19" t="s">
        <v>274</v>
      </c>
      <c r="C20" s="19" t="s">
        <v>338</v>
      </c>
      <c r="D20" s="24" t="s">
        <v>585</v>
      </c>
      <c r="E20" s="19" t="s">
        <v>108</v>
      </c>
      <c r="F20" s="17" t="s">
        <v>302</v>
      </c>
      <c r="G20" s="25">
        <v>0.239734</v>
      </c>
      <c r="H20" s="25">
        <f t="shared" si="0"/>
        <v>2.3973400000000002E-2</v>
      </c>
      <c r="I20" s="44" t="s">
        <v>85</v>
      </c>
      <c r="J20" s="44" t="s">
        <v>85</v>
      </c>
      <c r="K20" s="25">
        <f>VLOOKUP(B20,Tabelle1!$A$1:$C$351,2,FALSE)</f>
        <v>0.24078280696107598</v>
      </c>
      <c r="L20" s="25">
        <f>VLOOKUP(B20,Tabelle1!$A$1:$C$351,3,FALSE)</f>
        <v>2.3960560814330699E-2</v>
      </c>
      <c r="M20" s="19" t="s">
        <v>542</v>
      </c>
      <c r="N20" s="19" t="s">
        <v>219</v>
      </c>
      <c r="O20" s="19" t="s">
        <v>545</v>
      </c>
      <c r="P20" s="19" t="s">
        <v>546</v>
      </c>
      <c r="Q20" s="19" t="s">
        <v>652</v>
      </c>
      <c r="R20" s="24" t="s">
        <v>550</v>
      </c>
      <c r="S20" s="19" t="s">
        <v>547</v>
      </c>
      <c r="T20" s="18" t="s">
        <v>653</v>
      </c>
      <c r="U20" s="19" t="s">
        <v>538</v>
      </c>
    </row>
    <row r="21" spans="1:21" s="19" customFormat="1" ht="16.5" customHeight="1" x14ac:dyDescent="0.25">
      <c r="A21" s="24" t="s">
        <v>584</v>
      </c>
      <c r="B21" s="8" t="s">
        <v>275</v>
      </c>
      <c r="C21" s="19" t="s">
        <v>338</v>
      </c>
      <c r="D21" s="24" t="s">
        <v>585</v>
      </c>
      <c r="E21" s="19" t="s">
        <v>108</v>
      </c>
      <c r="F21" s="17" t="s">
        <v>302</v>
      </c>
      <c r="G21" s="25">
        <v>0.14000000000000001</v>
      </c>
      <c r="H21" s="25">
        <f t="shared" si="0"/>
        <v>1.4000000000000002E-2</v>
      </c>
      <c r="I21" s="44" t="s">
        <v>85</v>
      </c>
      <c r="J21" s="44" t="s">
        <v>85</v>
      </c>
      <c r="K21" s="25">
        <f>VLOOKUP(B21,Tabelle1!$A$1:$C$351,2,FALSE)</f>
        <v>0.140271620720577</v>
      </c>
      <c r="L21" s="25">
        <f>VLOOKUP(B21,Tabelle1!$A$1:$C$351,3,FALSE)</f>
        <v>1.4351561952351299E-2</v>
      </c>
      <c r="M21" s="19" t="s">
        <v>542</v>
      </c>
      <c r="N21" s="19" t="s">
        <v>219</v>
      </c>
      <c r="O21" s="19" t="s">
        <v>545</v>
      </c>
      <c r="P21" s="19" t="s">
        <v>546</v>
      </c>
      <c r="Q21" s="19" t="s">
        <v>652</v>
      </c>
      <c r="R21" s="24" t="s">
        <v>550</v>
      </c>
      <c r="S21" s="19" t="s">
        <v>547</v>
      </c>
      <c r="T21" s="18" t="s">
        <v>653</v>
      </c>
      <c r="U21" s="19" t="s">
        <v>538</v>
      </c>
    </row>
    <row r="22" spans="1:21" s="19" customFormat="1" ht="16.5" customHeight="1" x14ac:dyDescent="0.25">
      <c r="A22" s="24" t="s">
        <v>584</v>
      </c>
      <c r="B22" s="8" t="s">
        <v>276</v>
      </c>
      <c r="C22" s="19" t="s">
        <v>338</v>
      </c>
      <c r="D22" s="24" t="s">
        <v>585</v>
      </c>
      <c r="E22" s="19" t="s">
        <v>108</v>
      </c>
      <c r="F22" s="17" t="s">
        <v>302</v>
      </c>
      <c r="G22" s="25">
        <v>5.8099999999999999E-2</v>
      </c>
      <c r="H22" s="25">
        <f t="shared" si="0"/>
        <v>5.8100000000000001E-3</v>
      </c>
      <c r="I22" s="44" t="s">
        <v>85</v>
      </c>
      <c r="J22" s="44" t="s">
        <v>85</v>
      </c>
      <c r="K22" s="25">
        <f>VLOOKUP(B22,Tabelle1!$A$1:$C$351,2,FALSE)</f>
        <v>5.8895687751474801E-2</v>
      </c>
      <c r="L22" s="25">
        <f>VLOOKUP(B22,Tabelle1!$A$1:$C$351,3,FALSE)</f>
        <v>5.6638771247787996E-3</v>
      </c>
      <c r="M22" s="19" t="s">
        <v>542</v>
      </c>
      <c r="N22" s="19" t="s">
        <v>219</v>
      </c>
      <c r="O22" s="19" t="s">
        <v>545</v>
      </c>
      <c r="P22" s="19" t="s">
        <v>546</v>
      </c>
      <c r="Q22" s="19" t="s">
        <v>652</v>
      </c>
      <c r="R22" s="24" t="s">
        <v>550</v>
      </c>
      <c r="S22" s="19" t="s">
        <v>547</v>
      </c>
      <c r="T22" s="18" t="s">
        <v>653</v>
      </c>
      <c r="U22" s="19" t="s">
        <v>538</v>
      </c>
    </row>
    <row r="23" spans="1:21" s="19" customFormat="1" ht="16.5" customHeight="1" x14ac:dyDescent="0.25">
      <c r="A23" s="24" t="s">
        <v>584</v>
      </c>
      <c r="B23" s="19" t="s">
        <v>277</v>
      </c>
      <c r="C23" s="19" t="s">
        <v>338</v>
      </c>
      <c r="D23" s="24" t="s">
        <v>585</v>
      </c>
      <c r="E23" s="19" t="s">
        <v>108</v>
      </c>
      <c r="F23" s="17" t="s">
        <v>302</v>
      </c>
      <c r="G23" s="25">
        <v>0.106</v>
      </c>
      <c r="H23" s="25">
        <f t="shared" si="0"/>
        <v>1.06E-2</v>
      </c>
      <c r="I23" s="44" t="s">
        <v>85</v>
      </c>
      <c r="J23" s="44" t="s">
        <v>85</v>
      </c>
      <c r="K23" s="25">
        <f>VLOOKUP(B23,Tabelle1!$A$1:$C$351,2,FALSE)</f>
        <v>0.10730239666386701</v>
      </c>
      <c r="L23" s="25">
        <f>VLOOKUP(B23,Tabelle1!$A$1:$C$351,3,FALSE)</f>
        <v>9.9758311090976104E-3</v>
      </c>
      <c r="M23" s="19" t="s">
        <v>542</v>
      </c>
      <c r="N23" s="19" t="s">
        <v>218</v>
      </c>
      <c r="O23" s="19" t="s">
        <v>545</v>
      </c>
      <c r="P23" s="19" t="s">
        <v>546</v>
      </c>
      <c r="Q23" s="19" t="s">
        <v>652</v>
      </c>
      <c r="R23" s="24" t="s">
        <v>550</v>
      </c>
      <c r="S23" s="19" t="s">
        <v>547</v>
      </c>
      <c r="T23" s="18" t="s">
        <v>653</v>
      </c>
      <c r="U23" s="19" t="s">
        <v>538</v>
      </c>
    </row>
    <row r="24" spans="1:21" s="19" customFormat="1" ht="16.5" customHeight="1" x14ac:dyDescent="0.25">
      <c r="A24" s="24" t="s">
        <v>584</v>
      </c>
      <c r="B24" s="19" t="s">
        <v>278</v>
      </c>
      <c r="C24" s="19" t="s">
        <v>338</v>
      </c>
      <c r="D24" s="24" t="s">
        <v>585</v>
      </c>
      <c r="E24" s="19" t="s">
        <v>108</v>
      </c>
      <c r="F24" s="17" t="s">
        <v>302</v>
      </c>
      <c r="G24" s="25">
        <v>0.20205300000000001</v>
      </c>
      <c r="H24" s="25">
        <f t="shared" si="0"/>
        <v>2.0205300000000002E-2</v>
      </c>
      <c r="I24" s="44" t="s">
        <v>85</v>
      </c>
      <c r="J24" s="44" t="s">
        <v>85</v>
      </c>
      <c r="K24" s="25">
        <f>VLOOKUP(B24,Tabelle1!$A$1:$C$351,2,FALSE)</f>
        <v>0.201272826012726</v>
      </c>
      <c r="L24" s="25">
        <f>VLOOKUP(B24,Tabelle1!$A$1:$C$351,3,FALSE)</f>
        <v>1.9504214752038999E-2</v>
      </c>
      <c r="M24" s="19" t="s">
        <v>542</v>
      </c>
      <c r="N24" s="19" t="s">
        <v>218</v>
      </c>
      <c r="O24" s="19" t="s">
        <v>545</v>
      </c>
      <c r="P24" s="19" t="s">
        <v>546</v>
      </c>
      <c r="Q24" s="19" t="s">
        <v>652</v>
      </c>
      <c r="R24" s="24" t="s">
        <v>550</v>
      </c>
      <c r="S24" s="19" t="s">
        <v>547</v>
      </c>
      <c r="T24" s="18" t="s">
        <v>653</v>
      </c>
      <c r="U24" s="19" t="s">
        <v>538</v>
      </c>
    </row>
    <row r="25" spans="1:21" ht="16.5" customHeight="1" x14ac:dyDescent="0.25">
      <c r="A25" s="24" t="s">
        <v>584</v>
      </c>
      <c r="B25" s="19" t="s">
        <v>279</v>
      </c>
      <c r="C25" s="19" t="s">
        <v>338</v>
      </c>
      <c r="D25" s="24" t="s">
        <v>585</v>
      </c>
      <c r="E25" s="19" t="s">
        <v>108</v>
      </c>
      <c r="F25" s="17" t="s">
        <v>302</v>
      </c>
      <c r="G25" s="25">
        <v>8.4599999999999995E-2</v>
      </c>
      <c r="H25" s="25">
        <f t="shared" si="0"/>
        <v>8.4600000000000005E-3</v>
      </c>
      <c r="I25" s="44" t="s">
        <v>85</v>
      </c>
      <c r="J25" s="44" t="s">
        <v>85</v>
      </c>
      <c r="K25" s="25">
        <f>VLOOKUP(B25,Tabelle1!$A$1:$C$351,2,FALSE)</f>
        <v>8.5282648089968396E-2</v>
      </c>
      <c r="L25" s="25">
        <f>VLOOKUP(B25,Tabelle1!$A$1:$C$351,3,FALSE)</f>
        <v>8.7548231717865296E-3</v>
      </c>
      <c r="M25" s="19" t="s">
        <v>542</v>
      </c>
      <c r="N25" s="19" t="s">
        <v>218</v>
      </c>
      <c r="O25" s="19" t="s">
        <v>545</v>
      </c>
      <c r="P25" s="19" t="s">
        <v>546</v>
      </c>
      <c r="Q25" s="19" t="s">
        <v>652</v>
      </c>
      <c r="R25" s="24" t="s">
        <v>550</v>
      </c>
      <c r="S25" s="19" t="s">
        <v>547</v>
      </c>
      <c r="T25" s="18" t="s">
        <v>653</v>
      </c>
      <c r="U25" s="19" t="s">
        <v>538</v>
      </c>
    </row>
    <row r="26" spans="1:21" ht="16.5" customHeight="1" x14ac:dyDescent="0.25">
      <c r="A26" s="24" t="s">
        <v>584</v>
      </c>
      <c r="B26" s="19" t="s">
        <v>280</v>
      </c>
      <c r="C26" s="19" t="s">
        <v>338</v>
      </c>
      <c r="D26" s="24" t="s">
        <v>585</v>
      </c>
      <c r="E26" s="19" t="s">
        <v>108</v>
      </c>
      <c r="F26" s="17" t="s">
        <v>302</v>
      </c>
      <c r="G26" s="25">
        <v>5.1400000000000001E-2</v>
      </c>
      <c r="H26" s="25">
        <f t="shared" si="0"/>
        <v>5.1400000000000005E-3</v>
      </c>
      <c r="I26" s="44" t="s">
        <v>85</v>
      </c>
      <c r="J26" s="44" t="s">
        <v>85</v>
      </c>
      <c r="K26" s="25">
        <f>VLOOKUP(B26,Tabelle1!$A$1:$C$351,2,FALSE)</f>
        <v>5.1420651787495997E-2</v>
      </c>
      <c r="L26" s="25">
        <f>VLOOKUP(B26,Tabelle1!$A$1:$C$351,3,FALSE)</f>
        <v>5.1992568814019004E-3</v>
      </c>
      <c r="M26" s="19" t="s">
        <v>542</v>
      </c>
      <c r="N26" s="19" t="s">
        <v>218</v>
      </c>
      <c r="O26" s="19" t="s">
        <v>545</v>
      </c>
      <c r="P26" s="19" t="s">
        <v>546</v>
      </c>
      <c r="Q26" s="19" t="s">
        <v>652</v>
      </c>
      <c r="R26" s="24" t="s">
        <v>550</v>
      </c>
      <c r="S26" s="19" t="s">
        <v>547</v>
      </c>
      <c r="T26" s="18" t="s">
        <v>653</v>
      </c>
      <c r="U26" s="19" t="s">
        <v>538</v>
      </c>
    </row>
    <row r="27" spans="1:21" s="19" customFormat="1" ht="16.5" customHeight="1" x14ac:dyDescent="0.25">
      <c r="A27" s="24" t="s">
        <v>584</v>
      </c>
      <c r="B27" s="19" t="s">
        <v>281</v>
      </c>
      <c r="C27" s="19" t="s">
        <v>338</v>
      </c>
      <c r="D27" s="24" t="s">
        <v>585</v>
      </c>
      <c r="E27" s="19" t="s">
        <v>108</v>
      </c>
      <c r="F27" s="17" t="s">
        <v>302</v>
      </c>
      <c r="G27" s="25">
        <v>5.7200000000000001E-2</v>
      </c>
      <c r="H27" s="25">
        <f t="shared" si="0"/>
        <v>5.7200000000000003E-3</v>
      </c>
      <c r="I27" s="44" t="s">
        <v>85</v>
      </c>
      <c r="J27" s="44" t="s">
        <v>85</v>
      </c>
      <c r="K27" s="25">
        <f>VLOOKUP(B27,Tabelle1!$A$1:$C$351,2,FALSE)</f>
        <v>5.6874915671235197E-2</v>
      </c>
      <c r="L27" s="25">
        <f>VLOOKUP(B27,Tabelle1!$A$1:$C$351,3,FALSE)</f>
        <v>5.8231347158435205E-3</v>
      </c>
      <c r="M27" s="19" t="s">
        <v>542</v>
      </c>
      <c r="N27" s="19" t="s">
        <v>217</v>
      </c>
      <c r="O27" s="19" t="s">
        <v>545</v>
      </c>
      <c r="P27" s="19" t="s">
        <v>546</v>
      </c>
      <c r="Q27" s="19" t="s">
        <v>652</v>
      </c>
      <c r="R27" s="24" t="s">
        <v>550</v>
      </c>
      <c r="S27" s="19" t="s">
        <v>547</v>
      </c>
      <c r="T27" s="18" t="s">
        <v>653</v>
      </c>
      <c r="U27" s="19" t="s">
        <v>538</v>
      </c>
    </row>
    <row r="28" spans="1:21" s="19" customFormat="1" ht="16.5" customHeight="1" x14ac:dyDescent="0.25">
      <c r="A28" s="24" t="s">
        <v>584</v>
      </c>
      <c r="B28" s="19" t="s">
        <v>282</v>
      </c>
      <c r="C28" s="19" t="s">
        <v>338</v>
      </c>
      <c r="D28" s="24" t="s">
        <v>585</v>
      </c>
      <c r="E28" s="19" t="s">
        <v>108</v>
      </c>
      <c r="F28" s="17" t="s">
        <v>302</v>
      </c>
      <c r="G28" s="25">
        <v>0.186111</v>
      </c>
      <c r="H28" s="25">
        <f t="shared" si="0"/>
        <v>1.8611100000000002E-2</v>
      </c>
      <c r="I28" s="44" t="s">
        <v>85</v>
      </c>
      <c r="J28" s="44" t="s">
        <v>85</v>
      </c>
      <c r="K28" s="25">
        <f>VLOOKUP(B28,Tabelle1!$A$1:$C$351,2,FALSE)</f>
        <v>0.18547793608965199</v>
      </c>
      <c r="L28" s="25">
        <f>VLOOKUP(B28,Tabelle1!$A$1:$C$351,3,FALSE)</f>
        <v>1.8715964647063703E-2</v>
      </c>
      <c r="M28" s="19" t="s">
        <v>542</v>
      </c>
      <c r="N28" s="19" t="s">
        <v>217</v>
      </c>
      <c r="O28" s="19" t="s">
        <v>545</v>
      </c>
      <c r="P28" s="19" t="s">
        <v>546</v>
      </c>
      <c r="Q28" s="19" t="s">
        <v>652</v>
      </c>
      <c r="R28" s="24" t="s">
        <v>550</v>
      </c>
      <c r="S28" s="19" t="s">
        <v>547</v>
      </c>
      <c r="T28" s="18" t="s">
        <v>653</v>
      </c>
      <c r="U28" s="19" t="s">
        <v>538</v>
      </c>
    </row>
    <row r="29" spans="1:21" s="19" customFormat="1" ht="16.5" customHeight="1" x14ac:dyDescent="0.25">
      <c r="A29" s="24" t="s">
        <v>584</v>
      </c>
      <c r="B29" s="19" t="s">
        <v>283</v>
      </c>
      <c r="C29" s="19" t="s">
        <v>338</v>
      </c>
      <c r="D29" s="24" t="s">
        <v>585</v>
      </c>
      <c r="E29" s="19" t="s">
        <v>108</v>
      </c>
      <c r="F29" s="17" t="s">
        <v>302</v>
      </c>
      <c r="G29" s="25">
        <v>2.2800000000000001E-2</v>
      </c>
      <c r="H29" s="25">
        <f t="shared" si="0"/>
        <v>2.2800000000000003E-3</v>
      </c>
      <c r="I29" s="44" t="s">
        <v>85</v>
      </c>
      <c r="J29" s="44" t="s">
        <v>85</v>
      </c>
      <c r="K29" s="25">
        <f>VLOOKUP(B29,Tabelle1!$A$1:$C$351,2,FALSE)</f>
        <v>2.26742322200549E-2</v>
      </c>
      <c r="L29" s="25">
        <f>VLOOKUP(B29,Tabelle1!$A$1:$C$351,3,FALSE)</f>
        <v>2.19863807616559E-3</v>
      </c>
      <c r="M29" s="19" t="s">
        <v>542</v>
      </c>
      <c r="N29" s="19" t="s">
        <v>217</v>
      </c>
      <c r="O29" s="19" t="s">
        <v>545</v>
      </c>
      <c r="P29" s="19" t="s">
        <v>546</v>
      </c>
      <c r="Q29" s="19" t="s">
        <v>652</v>
      </c>
      <c r="R29" s="24" t="s">
        <v>550</v>
      </c>
      <c r="S29" s="19" t="s">
        <v>547</v>
      </c>
      <c r="T29" s="18" t="s">
        <v>653</v>
      </c>
      <c r="U29" s="19" t="s">
        <v>538</v>
      </c>
    </row>
    <row r="30" spans="1:21" s="21" customFormat="1" ht="16.5" customHeight="1" x14ac:dyDescent="0.25">
      <c r="A30" s="26" t="s">
        <v>584</v>
      </c>
      <c r="B30" s="21" t="s">
        <v>284</v>
      </c>
      <c r="C30" s="21" t="s">
        <v>338</v>
      </c>
      <c r="D30" s="26" t="s">
        <v>585</v>
      </c>
      <c r="E30" s="21" t="s">
        <v>108</v>
      </c>
      <c r="F30" s="30" t="s">
        <v>302</v>
      </c>
      <c r="G30" s="28">
        <v>2.7400000000000001E-2</v>
      </c>
      <c r="H30" s="28">
        <f t="shared" si="0"/>
        <v>2.7400000000000002E-3</v>
      </c>
      <c r="I30" s="45" t="s">
        <v>85</v>
      </c>
      <c r="J30" s="45" t="s">
        <v>85</v>
      </c>
      <c r="K30" s="28">
        <f>VLOOKUP(B30,Tabelle1!$A$1:$C$351,2,FALSE)</f>
        <v>2.7614677641364199E-2</v>
      </c>
      <c r="L30" s="28">
        <f>VLOOKUP(B30,Tabelle1!$A$1:$C$351,3,FALSE)</f>
        <v>2.80542896353041E-3</v>
      </c>
      <c r="M30" s="21" t="s">
        <v>542</v>
      </c>
      <c r="N30" s="21" t="s">
        <v>217</v>
      </c>
      <c r="O30" s="21" t="s">
        <v>545</v>
      </c>
      <c r="P30" s="21" t="s">
        <v>546</v>
      </c>
      <c r="Q30" s="21" t="s">
        <v>652</v>
      </c>
      <c r="R30" s="26" t="s">
        <v>550</v>
      </c>
      <c r="S30" s="21" t="s">
        <v>547</v>
      </c>
      <c r="T30" s="23" t="s">
        <v>653</v>
      </c>
      <c r="U30" s="21" t="s">
        <v>538</v>
      </c>
    </row>
    <row r="31" spans="1:21" s="19" customFormat="1" ht="16.5" customHeight="1" x14ac:dyDescent="0.25">
      <c r="A31" s="19" t="s">
        <v>530</v>
      </c>
      <c r="B31" s="8" t="s">
        <v>295</v>
      </c>
      <c r="C31" s="16" t="s">
        <v>338</v>
      </c>
      <c r="D31" s="17" t="s">
        <v>110</v>
      </c>
      <c r="E31" s="16" t="s">
        <v>97</v>
      </c>
      <c r="F31" s="17" t="s">
        <v>302</v>
      </c>
      <c r="G31" s="17">
        <v>0.23100000000000001</v>
      </c>
      <c r="H31" s="17">
        <v>0.11550000000000001</v>
      </c>
      <c r="I31" s="35" t="s">
        <v>85</v>
      </c>
      <c r="J31" s="35" t="s">
        <v>85</v>
      </c>
      <c r="K31" s="52">
        <f>VLOOKUP(B31,Tabelle1!$A$1:$C$351,2,FALSE)</f>
        <v>0.24440163161364201</v>
      </c>
      <c r="L31" s="52">
        <f>VLOOKUP(B31,Tabelle1!$A$1:$C$351,3,FALSE)</f>
        <v>0.112309040311317</v>
      </c>
      <c r="M31" s="16" t="s">
        <v>729</v>
      </c>
      <c r="N31" s="16" t="s">
        <v>773</v>
      </c>
      <c r="O31" s="16" t="s">
        <v>128</v>
      </c>
      <c r="P31" s="16" t="s">
        <v>751</v>
      </c>
      <c r="Q31" s="16" t="s">
        <v>677</v>
      </c>
      <c r="R31" s="24" t="s">
        <v>550</v>
      </c>
      <c r="S31" s="16"/>
      <c r="U31" s="19" t="s">
        <v>178</v>
      </c>
    </row>
    <row r="32" spans="1:21" s="19" customFormat="1" ht="16.5" customHeight="1" x14ac:dyDescent="0.25">
      <c r="A32" s="19" t="s">
        <v>530</v>
      </c>
      <c r="B32" s="8" t="s">
        <v>298</v>
      </c>
      <c r="C32" s="16" t="s">
        <v>338</v>
      </c>
      <c r="D32" s="17" t="s">
        <v>110</v>
      </c>
      <c r="E32" s="16" t="s">
        <v>97</v>
      </c>
      <c r="F32" s="17" t="s">
        <v>302</v>
      </c>
      <c r="G32" s="17">
        <v>0.23100000000000001</v>
      </c>
      <c r="H32" s="17">
        <v>0.11550000000000001</v>
      </c>
      <c r="I32" s="35" t="s">
        <v>85</v>
      </c>
      <c r="J32" s="35" t="s">
        <v>85</v>
      </c>
      <c r="K32" s="52">
        <f>VLOOKUP(B32,Tabelle1!$A$1:$C$351,2,FALSE)</f>
        <v>0.234196949117426</v>
      </c>
      <c r="L32" s="52">
        <f>VLOOKUP(B32,Tabelle1!$A$1:$C$351,3,FALSE)</f>
        <v>0.114380431552975</v>
      </c>
      <c r="M32" s="16" t="s">
        <v>729</v>
      </c>
      <c r="N32" s="16" t="s">
        <v>773</v>
      </c>
      <c r="O32" s="16" t="s">
        <v>128</v>
      </c>
      <c r="P32" s="16" t="s">
        <v>751</v>
      </c>
      <c r="Q32" s="16" t="s">
        <v>677</v>
      </c>
      <c r="R32" s="24" t="s">
        <v>550</v>
      </c>
      <c r="U32" s="19" t="s">
        <v>178</v>
      </c>
    </row>
    <row r="33" spans="1:21" s="19" customFormat="1" ht="16.5" customHeight="1" x14ac:dyDescent="0.25">
      <c r="A33" s="19" t="s">
        <v>530</v>
      </c>
      <c r="B33" s="8" t="s">
        <v>297</v>
      </c>
      <c r="C33" s="16" t="s">
        <v>338</v>
      </c>
      <c r="D33" s="17" t="s">
        <v>110</v>
      </c>
      <c r="E33" s="16" t="s">
        <v>97</v>
      </c>
      <c r="F33" s="17" t="s">
        <v>302</v>
      </c>
      <c r="G33" s="17">
        <v>0.23100000000000001</v>
      </c>
      <c r="H33" s="17">
        <v>0.11550000000000001</v>
      </c>
      <c r="I33" s="35" t="s">
        <v>85</v>
      </c>
      <c r="J33" s="35" t="s">
        <v>85</v>
      </c>
      <c r="K33" s="52">
        <f>VLOOKUP(B33,Tabelle1!$A$1:$C$351,2,FALSE)</f>
        <v>0.23775730228568301</v>
      </c>
      <c r="L33" s="52">
        <f>VLOOKUP(B33,Tabelle1!$A$1:$C$351,3,FALSE)</f>
        <v>0.105913886295394</v>
      </c>
      <c r="M33" s="16" t="s">
        <v>729</v>
      </c>
      <c r="N33" s="16" t="s">
        <v>773</v>
      </c>
      <c r="O33" s="16" t="s">
        <v>128</v>
      </c>
      <c r="P33" s="16" t="s">
        <v>751</v>
      </c>
      <c r="Q33" s="16" t="s">
        <v>677</v>
      </c>
      <c r="R33" s="24" t="s">
        <v>550</v>
      </c>
      <c r="U33" s="19" t="s">
        <v>178</v>
      </c>
    </row>
    <row r="34" spans="1:21" s="21" customFormat="1" ht="16.5" customHeight="1" x14ac:dyDescent="0.25">
      <c r="A34" s="21" t="s">
        <v>530</v>
      </c>
      <c r="B34" s="27" t="s">
        <v>296</v>
      </c>
      <c r="C34" s="29" t="s">
        <v>338</v>
      </c>
      <c r="D34" s="30" t="s">
        <v>110</v>
      </c>
      <c r="E34" s="29" t="s">
        <v>97</v>
      </c>
      <c r="F34" s="30" t="s">
        <v>302</v>
      </c>
      <c r="G34" s="30">
        <v>0.23100000000000001</v>
      </c>
      <c r="H34" s="30">
        <v>0.11550000000000001</v>
      </c>
      <c r="I34" s="41" t="s">
        <v>85</v>
      </c>
      <c r="J34" s="41" t="s">
        <v>85</v>
      </c>
      <c r="K34" s="53">
        <f>VLOOKUP(B34,Tabelle1!$A$1:$C$351,2,FALSE)</f>
        <v>0.23875579377232101</v>
      </c>
      <c r="L34" s="53">
        <f>VLOOKUP(B34,Tabelle1!$A$1:$C$351,3,FALSE)</f>
        <v>0.10831492061454701</v>
      </c>
      <c r="M34" s="29" t="s">
        <v>729</v>
      </c>
      <c r="N34" s="29" t="s">
        <v>773</v>
      </c>
      <c r="O34" s="29" t="s">
        <v>128</v>
      </c>
      <c r="P34" s="29" t="s">
        <v>751</v>
      </c>
      <c r="Q34" s="29" t="s">
        <v>677</v>
      </c>
      <c r="R34" s="26" t="s">
        <v>550</v>
      </c>
      <c r="U34" s="21" t="s">
        <v>178</v>
      </c>
    </row>
    <row r="35" spans="1:21" s="19" customFormat="1" ht="16.5" customHeight="1" x14ac:dyDescent="0.25">
      <c r="A35" s="17" t="s">
        <v>586</v>
      </c>
      <c r="B35" s="8" t="s">
        <v>303</v>
      </c>
      <c r="C35" s="16" t="s">
        <v>338</v>
      </c>
      <c r="D35" s="17" t="s">
        <v>85</v>
      </c>
      <c r="E35" s="16" t="s">
        <v>101</v>
      </c>
      <c r="F35" s="16" t="s">
        <v>551</v>
      </c>
      <c r="G35" s="17">
        <v>1</v>
      </c>
      <c r="H35" s="17">
        <v>0.25</v>
      </c>
      <c r="I35" s="17">
        <v>0.01</v>
      </c>
      <c r="J35" s="17">
        <v>1.99</v>
      </c>
      <c r="K35" s="17">
        <f>VLOOKUP(B35,Tabelle1!$A$1:$C$351,2,FALSE)</f>
        <v>1.0063585041830201</v>
      </c>
      <c r="L35" s="17">
        <f>VLOOKUP(B35,Tabelle1!$A$1:$C$351,3,FALSE)</f>
        <v>0.24451548722098801</v>
      </c>
      <c r="M35" s="16" t="s">
        <v>548</v>
      </c>
      <c r="N35" s="20" t="s">
        <v>85</v>
      </c>
      <c r="O35" s="20" t="s">
        <v>85</v>
      </c>
      <c r="P35" s="20" t="s">
        <v>85</v>
      </c>
      <c r="Q35" s="20" t="s">
        <v>85</v>
      </c>
      <c r="R35" s="17" t="s">
        <v>550</v>
      </c>
      <c r="S35" s="20" t="s">
        <v>85</v>
      </c>
      <c r="T35" s="20" t="s">
        <v>85</v>
      </c>
      <c r="U35" s="19" t="s">
        <v>91</v>
      </c>
    </row>
    <row r="36" spans="1:21" s="19" customFormat="1" ht="16.5" customHeight="1" x14ac:dyDescent="0.25">
      <c r="A36" s="17" t="s">
        <v>586</v>
      </c>
      <c r="B36" s="8" t="s">
        <v>306</v>
      </c>
      <c r="C36" s="16" t="s">
        <v>338</v>
      </c>
      <c r="D36" s="17" t="s">
        <v>85</v>
      </c>
      <c r="E36" s="16" t="s">
        <v>101</v>
      </c>
      <c r="F36" s="16" t="s">
        <v>551</v>
      </c>
      <c r="G36" s="17">
        <v>1</v>
      </c>
      <c r="H36" s="17">
        <v>0.25</v>
      </c>
      <c r="I36" s="17">
        <v>0.01</v>
      </c>
      <c r="J36" s="17">
        <v>1.99</v>
      </c>
      <c r="K36" s="17">
        <f>VLOOKUP(B36,Tabelle1!$A$1:$C$351,2,FALSE)</f>
        <v>0.99797663384693402</v>
      </c>
      <c r="L36" s="17">
        <f>VLOOKUP(B36,Tabelle1!$A$1:$C$351,3,FALSE)</f>
        <v>0.249557047129016</v>
      </c>
      <c r="M36" s="16" t="s">
        <v>548</v>
      </c>
      <c r="N36" s="20" t="s">
        <v>85</v>
      </c>
      <c r="O36" s="20" t="s">
        <v>85</v>
      </c>
      <c r="P36" s="20" t="s">
        <v>85</v>
      </c>
      <c r="Q36" s="20" t="s">
        <v>85</v>
      </c>
      <c r="R36" s="17" t="s">
        <v>550</v>
      </c>
      <c r="S36" s="20" t="s">
        <v>85</v>
      </c>
      <c r="T36" s="20" t="s">
        <v>85</v>
      </c>
      <c r="U36" s="19" t="s">
        <v>91</v>
      </c>
    </row>
    <row r="37" spans="1:21" s="19" customFormat="1" ht="16.5" customHeight="1" x14ac:dyDescent="0.25">
      <c r="A37" s="17" t="s">
        <v>586</v>
      </c>
      <c r="B37" s="8" t="s">
        <v>305</v>
      </c>
      <c r="C37" s="16" t="s">
        <v>338</v>
      </c>
      <c r="D37" s="17" t="s">
        <v>85</v>
      </c>
      <c r="E37" s="16" t="s">
        <v>101</v>
      </c>
      <c r="F37" s="16" t="s">
        <v>551</v>
      </c>
      <c r="G37" s="17">
        <v>1</v>
      </c>
      <c r="H37" s="17">
        <v>0.25</v>
      </c>
      <c r="I37" s="17">
        <v>0.01</v>
      </c>
      <c r="J37" s="17">
        <v>1.99</v>
      </c>
      <c r="K37" s="17">
        <f>VLOOKUP(B37,Tabelle1!$A$1:$C$351,2,FALSE)</f>
        <v>0.99531849596286603</v>
      </c>
      <c r="L37" s="17">
        <f>VLOOKUP(B37,Tabelle1!$A$1:$C$351,3,FALSE)</f>
        <v>0.24860952471119799</v>
      </c>
      <c r="M37" s="16" t="s">
        <v>548</v>
      </c>
      <c r="N37" s="20" t="s">
        <v>85</v>
      </c>
      <c r="O37" s="20" t="s">
        <v>85</v>
      </c>
      <c r="P37" s="20" t="s">
        <v>85</v>
      </c>
      <c r="Q37" s="20" t="s">
        <v>85</v>
      </c>
      <c r="R37" s="17" t="s">
        <v>550</v>
      </c>
      <c r="S37" s="20" t="s">
        <v>85</v>
      </c>
      <c r="T37" s="20" t="s">
        <v>85</v>
      </c>
      <c r="U37" s="19" t="s">
        <v>91</v>
      </c>
    </row>
    <row r="38" spans="1:21" s="21" customFormat="1" ht="16.5" customHeight="1" x14ac:dyDescent="0.25">
      <c r="A38" s="30" t="s">
        <v>586</v>
      </c>
      <c r="B38" s="27" t="s">
        <v>304</v>
      </c>
      <c r="C38" s="29" t="s">
        <v>338</v>
      </c>
      <c r="D38" s="30" t="s">
        <v>85</v>
      </c>
      <c r="E38" s="29" t="s">
        <v>101</v>
      </c>
      <c r="F38" s="29" t="s">
        <v>551</v>
      </c>
      <c r="G38" s="30">
        <v>1</v>
      </c>
      <c r="H38" s="30">
        <v>0.25</v>
      </c>
      <c r="I38" s="30">
        <v>0.01</v>
      </c>
      <c r="J38" s="30">
        <v>1.99</v>
      </c>
      <c r="K38" s="30">
        <f>VLOOKUP(B38,Tabelle1!$A$1:$C$351,2,FALSE)</f>
        <v>1.0129540175070999</v>
      </c>
      <c r="L38" s="30">
        <f>VLOOKUP(B38,Tabelle1!$A$1:$C$351,3,FALSE)</f>
        <v>0.251062635083727</v>
      </c>
      <c r="M38" s="29" t="s">
        <v>548</v>
      </c>
      <c r="N38" s="22" t="s">
        <v>85</v>
      </c>
      <c r="O38" s="22" t="s">
        <v>85</v>
      </c>
      <c r="P38" s="22" t="s">
        <v>85</v>
      </c>
      <c r="Q38" s="22" t="s">
        <v>85</v>
      </c>
      <c r="R38" s="30" t="s">
        <v>550</v>
      </c>
      <c r="S38" s="22" t="s">
        <v>85</v>
      </c>
      <c r="T38" s="22" t="s">
        <v>85</v>
      </c>
      <c r="U38" s="21" t="s">
        <v>91</v>
      </c>
    </row>
    <row r="39" spans="1:21" s="19" customFormat="1" ht="16.5" customHeight="1" x14ac:dyDescent="0.25">
      <c r="A39" s="17" t="s">
        <v>587</v>
      </c>
      <c r="B39" s="8" t="s">
        <v>557</v>
      </c>
      <c r="C39" s="16" t="s">
        <v>338</v>
      </c>
      <c r="D39" s="17" t="s">
        <v>85</v>
      </c>
      <c r="E39" s="16" t="s">
        <v>104</v>
      </c>
      <c r="F39" s="17" t="s">
        <v>302</v>
      </c>
      <c r="G39" s="17">
        <v>0.5</v>
      </c>
      <c r="H39" s="17">
        <v>0.25</v>
      </c>
      <c r="I39" s="46" t="s">
        <v>85</v>
      </c>
      <c r="J39" s="46" t="s">
        <v>85</v>
      </c>
      <c r="K39" s="17">
        <f>VLOOKUP(B39,Tabelle1!$A$1:$C$351,2,FALSE)</f>
        <v>0.52270801962296998</v>
      </c>
      <c r="L39" s="17">
        <f>VLOOKUP(B39,Tabelle1!$A$1:$C$351,3,FALSE)</f>
        <v>0.288275045366851</v>
      </c>
      <c r="M39" s="16" t="s">
        <v>548</v>
      </c>
      <c r="N39" s="20" t="s">
        <v>85</v>
      </c>
      <c r="O39" s="20" t="s">
        <v>85</v>
      </c>
      <c r="P39" s="20" t="s">
        <v>85</v>
      </c>
      <c r="Q39" s="20" t="s">
        <v>85</v>
      </c>
      <c r="R39" s="17" t="s">
        <v>550</v>
      </c>
      <c r="S39" s="20" t="s">
        <v>85</v>
      </c>
      <c r="T39" s="20" t="s">
        <v>85</v>
      </c>
      <c r="U39" s="19" t="s">
        <v>91</v>
      </c>
    </row>
    <row r="40" spans="1:21" s="19" customFormat="1" ht="16.5" customHeight="1" x14ac:dyDescent="0.25">
      <c r="A40" s="17" t="s">
        <v>587</v>
      </c>
      <c r="B40" s="8" t="s">
        <v>560</v>
      </c>
      <c r="C40" s="16" t="s">
        <v>338</v>
      </c>
      <c r="D40" s="17" t="s">
        <v>85</v>
      </c>
      <c r="E40" s="16" t="s">
        <v>104</v>
      </c>
      <c r="F40" s="17" t="s">
        <v>302</v>
      </c>
      <c r="G40" s="17">
        <v>0.5</v>
      </c>
      <c r="H40" s="17">
        <v>0.25</v>
      </c>
      <c r="I40" s="46" t="s">
        <v>85</v>
      </c>
      <c r="J40" s="46" t="s">
        <v>85</v>
      </c>
      <c r="K40" s="17">
        <f>VLOOKUP(B40,Tabelle1!$A$1:$C$351,2,FALSE)</f>
        <v>0.47620420316394402</v>
      </c>
      <c r="L40" s="17">
        <f>VLOOKUP(B40,Tabelle1!$A$1:$C$351,3,FALSE)</f>
        <v>0.21355864152763701</v>
      </c>
      <c r="M40" s="16" t="s">
        <v>548</v>
      </c>
      <c r="N40" s="20" t="s">
        <v>85</v>
      </c>
      <c r="O40" s="20" t="s">
        <v>85</v>
      </c>
      <c r="P40" s="20" t="s">
        <v>85</v>
      </c>
      <c r="Q40" s="20" t="s">
        <v>85</v>
      </c>
      <c r="R40" s="17" t="s">
        <v>550</v>
      </c>
      <c r="S40" s="20" t="s">
        <v>85</v>
      </c>
      <c r="T40" s="20" t="s">
        <v>85</v>
      </c>
      <c r="U40" s="19" t="s">
        <v>91</v>
      </c>
    </row>
    <row r="41" spans="1:21" s="19" customFormat="1" ht="16.5" customHeight="1" x14ac:dyDescent="0.25">
      <c r="A41" s="17" t="s">
        <v>587</v>
      </c>
      <c r="B41" s="8" t="s">
        <v>559</v>
      </c>
      <c r="C41" s="16" t="s">
        <v>338</v>
      </c>
      <c r="D41" s="17" t="s">
        <v>85</v>
      </c>
      <c r="E41" s="16" t="s">
        <v>104</v>
      </c>
      <c r="F41" s="17" t="s">
        <v>302</v>
      </c>
      <c r="G41" s="17">
        <v>0.5</v>
      </c>
      <c r="H41" s="17">
        <v>0.25</v>
      </c>
      <c r="I41" s="46" t="s">
        <v>85</v>
      </c>
      <c r="J41" s="46" t="s">
        <v>85</v>
      </c>
      <c r="K41" s="17">
        <f>VLOOKUP(B41,Tabelle1!$A$1:$C$351,2,FALSE)</f>
        <v>0.49529669220678302</v>
      </c>
      <c r="L41" s="17">
        <f>VLOOKUP(B41,Tabelle1!$A$1:$C$351,3,FALSE)</f>
        <v>0.243232436879838</v>
      </c>
      <c r="M41" s="16" t="s">
        <v>548</v>
      </c>
      <c r="N41" s="20" t="s">
        <v>85</v>
      </c>
      <c r="O41" s="20" t="s">
        <v>85</v>
      </c>
      <c r="P41" s="20" t="s">
        <v>85</v>
      </c>
      <c r="Q41" s="20" t="s">
        <v>85</v>
      </c>
      <c r="R41" s="17" t="s">
        <v>550</v>
      </c>
      <c r="S41" s="20" t="s">
        <v>85</v>
      </c>
      <c r="T41" s="20" t="s">
        <v>85</v>
      </c>
      <c r="U41" s="19" t="s">
        <v>91</v>
      </c>
    </row>
    <row r="42" spans="1:21" s="21" customFormat="1" ht="16.5" customHeight="1" x14ac:dyDescent="0.25">
      <c r="A42" s="30" t="s">
        <v>587</v>
      </c>
      <c r="B42" s="27" t="s">
        <v>558</v>
      </c>
      <c r="C42" s="29" t="s">
        <v>338</v>
      </c>
      <c r="D42" s="30" t="s">
        <v>85</v>
      </c>
      <c r="E42" s="29" t="s">
        <v>104</v>
      </c>
      <c r="F42" s="30" t="s">
        <v>302</v>
      </c>
      <c r="G42" s="30">
        <v>0.5</v>
      </c>
      <c r="H42" s="30">
        <v>0.25</v>
      </c>
      <c r="I42" s="47" t="s">
        <v>85</v>
      </c>
      <c r="J42" s="47" t="s">
        <v>85</v>
      </c>
      <c r="K42" s="30">
        <f>VLOOKUP(B42,Tabelle1!$A$1:$C$351,2,FALSE)</f>
        <v>0.50090408793019403</v>
      </c>
      <c r="L42" s="30">
        <f>VLOOKUP(B42,Tabelle1!$A$1:$C$351,3,FALSE)</f>
        <v>0.252449895916038</v>
      </c>
      <c r="M42" s="29" t="s">
        <v>548</v>
      </c>
      <c r="N42" s="22" t="s">
        <v>85</v>
      </c>
      <c r="O42" s="22" t="s">
        <v>85</v>
      </c>
      <c r="P42" s="22" t="s">
        <v>85</v>
      </c>
      <c r="Q42" s="22" t="s">
        <v>85</v>
      </c>
      <c r="R42" s="30" t="s">
        <v>550</v>
      </c>
      <c r="S42" s="22" t="s">
        <v>85</v>
      </c>
      <c r="T42" s="22" t="s">
        <v>85</v>
      </c>
      <c r="U42" s="21" t="s">
        <v>91</v>
      </c>
    </row>
    <row r="43" spans="1:21" s="19" customFormat="1" ht="16.5" customHeight="1" x14ac:dyDescent="0.25">
      <c r="A43" s="17" t="s">
        <v>588</v>
      </c>
      <c r="B43" s="8" t="s">
        <v>640</v>
      </c>
      <c r="C43" s="16" t="s">
        <v>338</v>
      </c>
      <c r="D43" s="17" t="s">
        <v>85</v>
      </c>
      <c r="E43" s="16" t="s">
        <v>103</v>
      </c>
      <c r="F43" s="16" t="s">
        <v>551</v>
      </c>
      <c r="G43" s="17">
        <v>1</v>
      </c>
      <c r="H43" s="17">
        <v>0.25</v>
      </c>
      <c r="I43" s="17">
        <v>0.01</v>
      </c>
      <c r="J43" s="17">
        <v>1.99</v>
      </c>
      <c r="K43" s="17">
        <f>VLOOKUP(B43,Tabelle1!$A$1:$C$351,2,FALSE)</f>
        <v>0.96888496595364304</v>
      </c>
      <c r="L43" s="17">
        <f>VLOOKUP(B43,Tabelle1!$A$1:$C$351,3,FALSE)</f>
        <v>0.25057760547041302</v>
      </c>
      <c r="M43" s="16" t="s">
        <v>548</v>
      </c>
      <c r="N43" s="20" t="s">
        <v>85</v>
      </c>
      <c r="O43" s="20" t="s">
        <v>85</v>
      </c>
      <c r="P43" s="20" t="s">
        <v>85</v>
      </c>
      <c r="Q43" s="20" t="s">
        <v>85</v>
      </c>
      <c r="R43" s="17" t="s">
        <v>550</v>
      </c>
      <c r="S43" s="20" t="s">
        <v>85</v>
      </c>
      <c r="T43" s="20" t="s">
        <v>85</v>
      </c>
      <c r="U43" s="19" t="s">
        <v>91</v>
      </c>
    </row>
    <row r="44" spans="1:21" s="19" customFormat="1" ht="16.5" customHeight="1" x14ac:dyDescent="0.25">
      <c r="A44" s="17" t="s">
        <v>588</v>
      </c>
      <c r="B44" s="8" t="s">
        <v>641</v>
      </c>
      <c r="C44" s="16" t="s">
        <v>338</v>
      </c>
      <c r="D44" s="17" t="s">
        <v>85</v>
      </c>
      <c r="E44" s="16" t="s">
        <v>103</v>
      </c>
      <c r="F44" s="16" t="s">
        <v>551</v>
      </c>
      <c r="G44" s="17">
        <v>1</v>
      </c>
      <c r="H44" s="17">
        <v>0.25</v>
      </c>
      <c r="I44" s="17">
        <v>0.01</v>
      </c>
      <c r="J44" s="17">
        <v>1.99</v>
      </c>
      <c r="K44" s="17">
        <f>VLOOKUP(B44,Tabelle1!$A$1:$C$351,2,FALSE)</f>
        <v>0.98866153419644398</v>
      </c>
      <c r="L44" s="17">
        <f>VLOOKUP(B44,Tabelle1!$A$1:$C$351,3,FALSE)</f>
        <v>0.26490692246249298</v>
      </c>
      <c r="M44" s="16" t="s">
        <v>548</v>
      </c>
      <c r="N44" s="20" t="s">
        <v>85</v>
      </c>
      <c r="O44" s="20" t="s">
        <v>85</v>
      </c>
      <c r="P44" s="20" t="s">
        <v>85</v>
      </c>
      <c r="Q44" s="20" t="s">
        <v>85</v>
      </c>
      <c r="R44" s="17" t="s">
        <v>550</v>
      </c>
      <c r="S44" s="20" t="s">
        <v>85</v>
      </c>
      <c r="T44" s="20" t="s">
        <v>85</v>
      </c>
      <c r="U44" s="19" t="s">
        <v>91</v>
      </c>
    </row>
    <row r="45" spans="1:21" s="19" customFormat="1" ht="16.5" customHeight="1" x14ac:dyDescent="0.25">
      <c r="A45" s="17" t="s">
        <v>588</v>
      </c>
      <c r="B45" s="8" t="s">
        <v>642</v>
      </c>
      <c r="C45" s="16" t="s">
        <v>338</v>
      </c>
      <c r="D45" s="17" t="s">
        <v>85</v>
      </c>
      <c r="E45" s="16" t="s">
        <v>103</v>
      </c>
      <c r="F45" s="16" t="s">
        <v>551</v>
      </c>
      <c r="G45" s="17">
        <v>1</v>
      </c>
      <c r="H45" s="17">
        <v>0.25</v>
      </c>
      <c r="I45" s="17">
        <v>0.01</v>
      </c>
      <c r="J45" s="17">
        <v>1.99</v>
      </c>
      <c r="K45" s="17">
        <f>VLOOKUP(B45,Tabelle1!$A$1:$C$351,2,FALSE)</f>
        <v>1.0067946088553299</v>
      </c>
      <c r="L45" s="17">
        <f>VLOOKUP(B45,Tabelle1!$A$1:$C$351,3,FALSE)</f>
        <v>0.26788456075917799</v>
      </c>
      <c r="M45" s="16" t="s">
        <v>548</v>
      </c>
      <c r="N45" s="20" t="s">
        <v>85</v>
      </c>
      <c r="O45" s="20" t="s">
        <v>85</v>
      </c>
      <c r="P45" s="20" t="s">
        <v>85</v>
      </c>
      <c r="Q45" s="20" t="s">
        <v>85</v>
      </c>
      <c r="R45" s="17" t="s">
        <v>550</v>
      </c>
      <c r="S45" s="20" t="s">
        <v>85</v>
      </c>
      <c r="T45" s="20" t="s">
        <v>85</v>
      </c>
      <c r="U45" s="19" t="s">
        <v>91</v>
      </c>
    </row>
    <row r="46" spans="1:21" s="21" customFormat="1" ht="16.5" customHeight="1" x14ac:dyDescent="0.25">
      <c r="A46" s="30" t="s">
        <v>588</v>
      </c>
      <c r="B46" s="27" t="s">
        <v>643</v>
      </c>
      <c r="C46" s="29" t="s">
        <v>338</v>
      </c>
      <c r="D46" s="30" t="s">
        <v>85</v>
      </c>
      <c r="E46" s="29" t="s">
        <v>103</v>
      </c>
      <c r="F46" s="29" t="s">
        <v>551</v>
      </c>
      <c r="G46" s="30">
        <v>1</v>
      </c>
      <c r="H46" s="30">
        <v>0.25</v>
      </c>
      <c r="I46" s="30">
        <v>0.01</v>
      </c>
      <c r="J46" s="30">
        <v>1.99</v>
      </c>
      <c r="K46" s="30">
        <f>VLOOKUP(B46,Tabelle1!$A$1:$C$351,2,FALSE)</f>
        <v>1.0132831499886501</v>
      </c>
      <c r="L46" s="30">
        <f>VLOOKUP(B46,Tabelle1!$A$1:$C$351,3,FALSE)</f>
        <v>0.23672425470070199</v>
      </c>
      <c r="M46" s="29" t="s">
        <v>548</v>
      </c>
      <c r="N46" s="22" t="s">
        <v>85</v>
      </c>
      <c r="O46" s="22" t="s">
        <v>85</v>
      </c>
      <c r="P46" s="22" t="s">
        <v>85</v>
      </c>
      <c r="Q46" s="22" t="s">
        <v>85</v>
      </c>
      <c r="R46" s="30" t="s">
        <v>550</v>
      </c>
      <c r="S46" s="22" t="s">
        <v>85</v>
      </c>
      <c r="T46" s="22" t="s">
        <v>85</v>
      </c>
      <c r="U46" s="21" t="s">
        <v>91</v>
      </c>
    </row>
    <row r="47" spans="1:21" s="19" customFormat="1" ht="16.5" customHeight="1" x14ac:dyDescent="0.25">
      <c r="A47" s="17" t="s">
        <v>626</v>
      </c>
      <c r="B47" s="8" t="s">
        <v>310</v>
      </c>
      <c r="C47" s="16" t="s">
        <v>338</v>
      </c>
      <c r="D47" s="17" t="s">
        <v>589</v>
      </c>
      <c r="E47" s="16" t="s">
        <v>105</v>
      </c>
      <c r="F47" s="17" t="s">
        <v>302</v>
      </c>
      <c r="G47" s="17">
        <v>40</v>
      </c>
      <c r="H47" s="17">
        <v>40</v>
      </c>
      <c r="I47" s="46" t="s">
        <v>85</v>
      </c>
      <c r="J47" s="46" t="s">
        <v>85</v>
      </c>
      <c r="K47" s="17">
        <f>VLOOKUP(B47,Tabelle1!$A$1:$C$351,2,FALSE)</f>
        <v>44.128230542952302</v>
      </c>
      <c r="L47" s="17">
        <f>VLOOKUP(B47,Tabelle1!$A$1:$C$351,3,FALSE)</f>
        <v>38.528132413082602</v>
      </c>
      <c r="M47" s="19" t="s">
        <v>644</v>
      </c>
      <c r="N47" s="20" t="s">
        <v>85</v>
      </c>
      <c r="O47" s="20" t="s">
        <v>85</v>
      </c>
      <c r="P47" s="20" t="s">
        <v>85</v>
      </c>
      <c r="Q47" s="20" t="s">
        <v>85</v>
      </c>
      <c r="R47" s="17" t="s">
        <v>550</v>
      </c>
      <c r="S47" s="20" t="s">
        <v>85</v>
      </c>
      <c r="T47" s="20" t="s">
        <v>85</v>
      </c>
      <c r="U47" s="19" t="s">
        <v>91</v>
      </c>
    </row>
    <row r="48" spans="1:21" s="19" customFormat="1" ht="16.5" customHeight="1" x14ac:dyDescent="0.25">
      <c r="A48" s="17" t="s">
        <v>626</v>
      </c>
      <c r="B48" s="8" t="s">
        <v>313</v>
      </c>
      <c r="C48" s="16" t="s">
        <v>338</v>
      </c>
      <c r="D48" s="17" t="s">
        <v>589</v>
      </c>
      <c r="E48" s="16" t="s">
        <v>105</v>
      </c>
      <c r="F48" s="17" t="s">
        <v>302</v>
      </c>
      <c r="G48" s="17">
        <v>40</v>
      </c>
      <c r="H48" s="17">
        <v>40</v>
      </c>
      <c r="I48" s="46" t="s">
        <v>85</v>
      </c>
      <c r="J48" s="46" t="s">
        <v>85</v>
      </c>
      <c r="K48" s="17">
        <f>VLOOKUP(B48,Tabelle1!$A$1:$C$351,2,FALSE)</f>
        <v>43.188353232984099</v>
      </c>
      <c r="L48" s="17">
        <f>VLOOKUP(B48,Tabelle1!$A$1:$C$351,3,FALSE)</f>
        <v>46.683792448640098</v>
      </c>
      <c r="M48" s="19" t="s">
        <v>644</v>
      </c>
      <c r="N48" s="20" t="s">
        <v>85</v>
      </c>
      <c r="O48" s="20" t="s">
        <v>85</v>
      </c>
      <c r="P48" s="20" t="s">
        <v>85</v>
      </c>
      <c r="Q48" s="20" t="s">
        <v>85</v>
      </c>
      <c r="R48" s="17" t="s">
        <v>550</v>
      </c>
      <c r="S48" s="20" t="s">
        <v>85</v>
      </c>
      <c r="T48" s="20" t="s">
        <v>85</v>
      </c>
      <c r="U48" s="19" t="s">
        <v>91</v>
      </c>
    </row>
    <row r="49" spans="1:21" s="19" customFormat="1" ht="16.5" customHeight="1" x14ac:dyDescent="0.25">
      <c r="A49" s="17" t="s">
        <v>626</v>
      </c>
      <c r="B49" s="8" t="s">
        <v>312</v>
      </c>
      <c r="C49" s="16" t="s">
        <v>338</v>
      </c>
      <c r="D49" s="17" t="s">
        <v>589</v>
      </c>
      <c r="E49" s="16" t="s">
        <v>105</v>
      </c>
      <c r="F49" s="17" t="s">
        <v>302</v>
      </c>
      <c r="G49" s="17">
        <v>40</v>
      </c>
      <c r="H49" s="17">
        <v>40</v>
      </c>
      <c r="I49" s="46" t="s">
        <v>85</v>
      </c>
      <c r="J49" s="46" t="s">
        <v>85</v>
      </c>
      <c r="K49" s="17">
        <f>VLOOKUP(B49,Tabelle1!$A$1:$C$351,2,FALSE)</f>
        <v>40.990894539658903</v>
      </c>
      <c r="L49" s="17">
        <f>VLOOKUP(B49,Tabelle1!$A$1:$C$351,3,FALSE)</f>
        <v>43.1454745615574</v>
      </c>
      <c r="M49" s="19" t="s">
        <v>644</v>
      </c>
      <c r="N49" s="20" t="s">
        <v>85</v>
      </c>
      <c r="O49" s="20" t="s">
        <v>85</v>
      </c>
      <c r="P49" s="20" t="s">
        <v>85</v>
      </c>
      <c r="Q49" s="20" t="s">
        <v>85</v>
      </c>
      <c r="R49" s="17" t="s">
        <v>550</v>
      </c>
      <c r="S49" s="20" t="s">
        <v>85</v>
      </c>
      <c r="T49" s="20" t="s">
        <v>85</v>
      </c>
      <c r="U49" s="19" t="s">
        <v>91</v>
      </c>
    </row>
    <row r="50" spans="1:21" s="21" customFormat="1" ht="16.5" customHeight="1" x14ac:dyDescent="0.25">
      <c r="A50" s="30" t="s">
        <v>626</v>
      </c>
      <c r="B50" s="27" t="s">
        <v>311</v>
      </c>
      <c r="C50" s="29" t="s">
        <v>338</v>
      </c>
      <c r="D50" s="30" t="s">
        <v>589</v>
      </c>
      <c r="E50" s="29" t="s">
        <v>105</v>
      </c>
      <c r="F50" s="30" t="s">
        <v>302</v>
      </c>
      <c r="G50" s="30">
        <v>40</v>
      </c>
      <c r="H50" s="30">
        <v>4</v>
      </c>
      <c r="I50" s="47" t="s">
        <v>85</v>
      </c>
      <c r="J50" s="47" t="s">
        <v>85</v>
      </c>
      <c r="K50" s="30">
        <f>VLOOKUP(B50,Tabelle1!$A$1:$C$351,2,FALSE)</f>
        <v>40.038781879576</v>
      </c>
      <c r="L50" s="30">
        <f>VLOOKUP(B50,Tabelle1!$A$1:$C$351,3,FALSE)</f>
        <v>38.594508047561</v>
      </c>
      <c r="M50" s="21" t="s">
        <v>644</v>
      </c>
      <c r="N50" s="22" t="s">
        <v>85</v>
      </c>
      <c r="O50" s="22" t="s">
        <v>85</v>
      </c>
      <c r="P50" s="22" t="s">
        <v>85</v>
      </c>
      <c r="Q50" s="22" t="s">
        <v>85</v>
      </c>
      <c r="R50" s="30" t="s">
        <v>550</v>
      </c>
      <c r="S50" s="22" t="s">
        <v>85</v>
      </c>
      <c r="T50" s="22" t="s">
        <v>85</v>
      </c>
      <c r="U50" s="21" t="s">
        <v>91</v>
      </c>
    </row>
    <row r="51" spans="1:21" s="19" customFormat="1" ht="16.5" customHeight="1" x14ac:dyDescent="0.25">
      <c r="A51" s="17" t="s">
        <v>590</v>
      </c>
      <c r="B51" s="8" t="s">
        <v>553</v>
      </c>
      <c r="C51" s="16" t="s">
        <v>338</v>
      </c>
      <c r="D51" s="17" t="s">
        <v>85</v>
      </c>
      <c r="E51" s="16" t="s">
        <v>102</v>
      </c>
      <c r="F51" s="17" t="s">
        <v>302</v>
      </c>
      <c r="G51" s="17">
        <v>5</v>
      </c>
      <c r="H51" s="17">
        <v>2.5</v>
      </c>
      <c r="I51" s="35" t="s">
        <v>85</v>
      </c>
      <c r="J51" s="35" t="s">
        <v>85</v>
      </c>
      <c r="K51" s="52">
        <f>VLOOKUP(B51,Tabelle1!$A$1:$C$351,2,FALSE)</f>
        <v>4.8783305937415999</v>
      </c>
      <c r="L51" s="52">
        <f>VLOOKUP(B51,Tabelle1!$A$1:$C$351,3,FALSE)</f>
        <v>2.7518190027965099</v>
      </c>
      <c r="M51" s="16" t="s">
        <v>731</v>
      </c>
      <c r="N51" s="20"/>
      <c r="O51" s="20"/>
      <c r="P51" s="20" t="s">
        <v>751</v>
      </c>
      <c r="Q51" s="16" t="s">
        <v>677</v>
      </c>
      <c r="R51" s="17" t="s">
        <v>550</v>
      </c>
      <c r="S51" s="20"/>
      <c r="T51" s="20"/>
      <c r="U51" s="19" t="s">
        <v>178</v>
      </c>
    </row>
    <row r="52" spans="1:21" s="19" customFormat="1" ht="16.5" customHeight="1" x14ac:dyDescent="0.25">
      <c r="A52" s="17" t="s">
        <v>590</v>
      </c>
      <c r="B52" s="8" t="s">
        <v>556</v>
      </c>
      <c r="C52" s="16" t="s">
        <v>338</v>
      </c>
      <c r="D52" s="17" t="s">
        <v>85</v>
      </c>
      <c r="E52" s="16" t="s">
        <v>102</v>
      </c>
      <c r="F52" s="17" t="s">
        <v>302</v>
      </c>
      <c r="G52" s="17">
        <v>5</v>
      </c>
      <c r="H52" s="17">
        <v>2.5</v>
      </c>
      <c r="I52" s="35" t="s">
        <v>85</v>
      </c>
      <c r="J52" s="35" t="s">
        <v>85</v>
      </c>
      <c r="K52" s="52">
        <f>VLOOKUP(B52,Tabelle1!$A$1:$C$351,2,FALSE)</f>
        <v>4.6563800321891202</v>
      </c>
      <c r="L52" s="52">
        <f>VLOOKUP(B52,Tabelle1!$A$1:$C$351,3,FALSE)</f>
        <v>2.3306476467684498</v>
      </c>
      <c r="M52" s="16" t="s">
        <v>731</v>
      </c>
      <c r="N52" s="20"/>
      <c r="O52" s="20"/>
      <c r="P52" s="20" t="s">
        <v>751</v>
      </c>
      <c r="Q52" s="16" t="s">
        <v>677</v>
      </c>
      <c r="R52" s="17" t="s">
        <v>550</v>
      </c>
      <c r="S52" s="20"/>
      <c r="T52" s="20"/>
      <c r="U52" s="19" t="s">
        <v>178</v>
      </c>
    </row>
    <row r="53" spans="1:21" s="19" customFormat="1" ht="16.5" customHeight="1" x14ac:dyDescent="0.25">
      <c r="A53" s="17" t="s">
        <v>590</v>
      </c>
      <c r="B53" s="8" t="s">
        <v>555</v>
      </c>
      <c r="C53" s="16" t="s">
        <v>338</v>
      </c>
      <c r="D53" s="17" t="s">
        <v>85</v>
      </c>
      <c r="E53" s="16" t="s">
        <v>102</v>
      </c>
      <c r="F53" s="17" t="s">
        <v>302</v>
      </c>
      <c r="G53" s="17">
        <v>5</v>
      </c>
      <c r="H53" s="17">
        <v>2.5</v>
      </c>
      <c r="I53" s="35" t="s">
        <v>85</v>
      </c>
      <c r="J53" s="35" t="s">
        <v>85</v>
      </c>
      <c r="K53" s="52">
        <f>VLOOKUP(B53,Tabelle1!$A$1:$C$351,2,FALSE)</f>
        <v>4.9823769012477701</v>
      </c>
      <c r="L53" s="52">
        <f>VLOOKUP(B53,Tabelle1!$A$1:$C$351,3,FALSE)</f>
        <v>2.6161106173450501</v>
      </c>
      <c r="M53" s="16" t="s">
        <v>731</v>
      </c>
      <c r="N53" s="20"/>
      <c r="O53" s="20"/>
      <c r="P53" s="20" t="s">
        <v>751</v>
      </c>
      <c r="Q53" s="16" t="s">
        <v>677</v>
      </c>
      <c r="R53" s="17" t="s">
        <v>550</v>
      </c>
      <c r="S53" s="20"/>
      <c r="T53" s="20"/>
      <c r="U53" s="19" t="s">
        <v>178</v>
      </c>
    </row>
    <row r="54" spans="1:21" s="21" customFormat="1" ht="16.5" customHeight="1" x14ac:dyDescent="0.25">
      <c r="A54" s="30" t="s">
        <v>590</v>
      </c>
      <c r="B54" s="27" t="s">
        <v>554</v>
      </c>
      <c r="C54" s="29" t="s">
        <v>338</v>
      </c>
      <c r="D54" s="30" t="s">
        <v>85</v>
      </c>
      <c r="E54" s="29" t="s">
        <v>102</v>
      </c>
      <c r="F54" s="30" t="s">
        <v>302</v>
      </c>
      <c r="G54" s="30">
        <v>5</v>
      </c>
      <c r="H54" s="30">
        <v>2.5</v>
      </c>
      <c r="I54" s="41" t="s">
        <v>85</v>
      </c>
      <c r="J54" s="41" t="s">
        <v>85</v>
      </c>
      <c r="K54" s="53">
        <f>VLOOKUP(B54,Tabelle1!$A$1:$C$351,2,FALSE)</f>
        <v>4.9282320834326203</v>
      </c>
      <c r="L54" s="53">
        <f>VLOOKUP(B54,Tabelle1!$A$1:$C$351,3,FALSE)</f>
        <v>2.5620691303915701</v>
      </c>
      <c r="M54" s="29" t="s">
        <v>731</v>
      </c>
      <c r="N54" s="22"/>
      <c r="O54" s="22"/>
      <c r="P54" s="22" t="s">
        <v>751</v>
      </c>
      <c r="Q54" s="29" t="s">
        <v>677</v>
      </c>
      <c r="R54" s="30" t="s">
        <v>550</v>
      </c>
      <c r="S54" s="22"/>
      <c r="T54" s="22"/>
      <c r="U54" s="21" t="s">
        <v>178</v>
      </c>
    </row>
    <row r="55" spans="1:21" s="19" customFormat="1" ht="16.5" customHeight="1" x14ac:dyDescent="0.25">
      <c r="A55" s="17" t="s">
        <v>614</v>
      </c>
      <c r="B55" s="8" t="s">
        <v>569</v>
      </c>
      <c r="C55" s="16" t="s">
        <v>338</v>
      </c>
      <c r="D55" s="17" t="s">
        <v>85</v>
      </c>
      <c r="E55" s="16" t="s">
        <v>573</v>
      </c>
      <c r="F55" s="17" t="s">
        <v>302</v>
      </c>
      <c r="G55" s="17">
        <v>1</v>
      </c>
      <c r="H55" s="17">
        <v>0.25</v>
      </c>
      <c r="I55" s="46" t="s">
        <v>85</v>
      </c>
      <c r="J55" s="46" t="s">
        <v>85</v>
      </c>
      <c r="K55" s="17">
        <f>VLOOKUP(B55,Tabelle1!$A$1:$C$351,2,FALSE)</f>
        <v>1.0119860107462</v>
      </c>
      <c r="L55" s="17">
        <f>VLOOKUP(B55,Tabelle1!$A$1:$C$351,3,FALSE)</f>
        <v>0.20705556265346001</v>
      </c>
      <c r="M55" s="16" t="s">
        <v>548</v>
      </c>
      <c r="N55" s="20" t="s">
        <v>85</v>
      </c>
      <c r="O55" s="20" t="s">
        <v>85</v>
      </c>
      <c r="P55" s="20" t="s">
        <v>85</v>
      </c>
      <c r="Q55" s="20" t="s">
        <v>85</v>
      </c>
      <c r="R55" s="17" t="s">
        <v>550</v>
      </c>
      <c r="S55" s="20" t="s">
        <v>85</v>
      </c>
      <c r="T55" s="20" t="s">
        <v>85</v>
      </c>
      <c r="U55" s="19" t="s">
        <v>91</v>
      </c>
    </row>
    <row r="56" spans="1:21" s="19" customFormat="1" ht="16.5" customHeight="1" x14ac:dyDescent="0.25">
      <c r="A56" s="17" t="s">
        <v>614</v>
      </c>
      <c r="B56" s="8" t="s">
        <v>570</v>
      </c>
      <c r="C56" s="16" t="s">
        <v>338</v>
      </c>
      <c r="D56" s="17" t="s">
        <v>85</v>
      </c>
      <c r="E56" s="16" t="s">
        <v>573</v>
      </c>
      <c r="F56" s="17" t="s">
        <v>302</v>
      </c>
      <c r="G56" s="17">
        <v>1</v>
      </c>
      <c r="H56" s="17">
        <v>0.25</v>
      </c>
      <c r="I56" s="46" t="s">
        <v>85</v>
      </c>
      <c r="J56" s="46" t="s">
        <v>85</v>
      </c>
      <c r="K56" s="17">
        <f>VLOOKUP(B56,Tabelle1!$A$1:$C$351,2,FALSE)</f>
        <v>1.0199930023067001</v>
      </c>
      <c r="L56" s="17">
        <f>VLOOKUP(B56,Tabelle1!$A$1:$C$351,3,FALSE)</f>
        <v>0.18856432744500001</v>
      </c>
      <c r="M56" s="16" t="s">
        <v>548</v>
      </c>
      <c r="N56" s="20" t="s">
        <v>85</v>
      </c>
      <c r="O56" s="20" t="s">
        <v>85</v>
      </c>
      <c r="P56" s="20" t="s">
        <v>85</v>
      </c>
      <c r="Q56" s="20" t="s">
        <v>85</v>
      </c>
      <c r="R56" s="17" t="s">
        <v>550</v>
      </c>
      <c r="S56" s="20" t="s">
        <v>85</v>
      </c>
      <c r="T56" s="20" t="s">
        <v>85</v>
      </c>
      <c r="U56" s="19" t="s">
        <v>91</v>
      </c>
    </row>
    <row r="57" spans="1:21" s="19" customFormat="1" ht="16.5" customHeight="1" x14ac:dyDescent="0.25">
      <c r="A57" s="17" t="s">
        <v>614</v>
      </c>
      <c r="B57" s="8" t="s">
        <v>571</v>
      </c>
      <c r="C57" s="16" t="s">
        <v>338</v>
      </c>
      <c r="D57" s="17" t="s">
        <v>85</v>
      </c>
      <c r="E57" s="16" t="s">
        <v>573</v>
      </c>
      <c r="F57" s="17" t="s">
        <v>302</v>
      </c>
      <c r="G57" s="17">
        <v>1</v>
      </c>
      <c r="H57" s="17">
        <v>0.25</v>
      </c>
      <c r="I57" s="46" t="s">
        <v>85</v>
      </c>
      <c r="J57" s="46" t="s">
        <v>85</v>
      </c>
      <c r="K57" s="17">
        <f>VLOOKUP(B57,Tabelle1!$A$1:$C$351,2,FALSE)</f>
        <v>1.00204901982732</v>
      </c>
      <c r="L57" s="17">
        <f>VLOOKUP(B57,Tabelle1!$A$1:$C$351,3,FALSE)</f>
        <v>0.21007967833482699</v>
      </c>
      <c r="M57" s="16" t="s">
        <v>548</v>
      </c>
      <c r="N57" s="20" t="s">
        <v>85</v>
      </c>
      <c r="O57" s="20" t="s">
        <v>85</v>
      </c>
      <c r="P57" s="20" t="s">
        <v>85</v>
      </c>
      <c r="Q57" s="20" t="s">
        <v>85</v>
      </c>
      <c r="R57" s="17" t="s">
        <v>550</v>
      </c>
      <c r="S57" s="20" t="s">
        <v>85</v>
      </c>
      <c r="T57" s="20" t="s">
        <v>85</v>
      </c>
      <c r="U57" s="19" t="s">
        <v>91</v>
      </c>
    </row>
    <row r="58" spans="1:21" s="21" customFormat="1" ht="16.5" customHeight="1" x14ac:dyDescent="0.25">
      <c r="A58" s="30" t="s">
        <v>614</v>
      </c>
      <c r="B58" s="27" t="s">
        <v>572</v>
      </c>
      <c r="C58" s="29" t="s">
        <v>338</v>
      </c>
      <c r="D58" s="30" t="s">
        <v>85</v>
      </c>
      <c r="E58" s="29" t="s">
        <v>573</v>
      </c>
      <c r="F58" s="30" t="s">
        <v>302</v>
      </c>
      <c r="G58" s="30">
        <v>1</v>
      </c>
      <c r="H58" s="30">
        <v>0.25</v>
      </c>
      <c r="I58" s="47" t="s">
        <v>85</v>
      </c>
      <c r="J58" s="47" t="s">
        <v>85</v>
      </c>
      <c r="K58" s="30">
        <f>VLOOKUP(B58,Tabelle1!$A$1:$C$351,2,FALSE)</f>
        <v>0.98656855162121604</v>
      </c>
      <c r="L58" s="30">
        <f>VLOOKUP(B58,Tabelle1!$A$1:$C$351,3,FALSE)</f>
        <v>0.189837235012456</v>
      </c>
      <c r="M58" s="29" t="s">
        <v>548</v>
      </c>
      <c r="N58" s="22" t="s">
        <v>85</v>
      </c>
      <c r="O58" s="22" t="s">
        <v>85</v>
      </c>
      <c r="P58" s="22" t="s">
        <v>85</v>
      </c>
      <c r="Q58" s="22" t="s">
        <v>85</v>
      </c>
      <c r="R58" s="30" t="s">
        <v>550</v>
      </c>
      <c r="S58" s="22" t="s">
        <v>85</v>
      </c>
      <c r="T58" s="22" t="s">
        <v>85</v>
      </c>
      <c r="U58" s="21" t="s">
        <v>91</v>
      </c>
    </row>
    <row r="59" spans="1:21" s="19" customFormat="1" ht="16.5" customHeight="1" x14ac:dyDescent="0.25">
      <c r="A59" s="19" t="s">
        <v>293</v>
      </c>
      <c r="B59" s="8" t="s">
        <v>286</v>
      </c>
      <c r="C59" s="19" t="s">
        <v>338</v>
      </c>
      <c r="D59" s="19" t="s">
        <v>591</v>
      </c>
      <c r="E59" s="33" t="s">
        <v>294</v>
      </c>
      <c r="F59" s="17" t="s">
        <v>302</v>
      </c>
      <c r="G59" s="8">
        <v>173</v>
      </c>
      <c r="H59" s="8">
        <v>173</v>
      </c>
      <c r="I59" s="35" t="s">
        <v>85</v>
      </c>
      <c r="J59" s="35" t="s">
        <v>85</v>
      </c>
      <c r="K59" s="51">
        <f>VLOOKUP(B59,Tabelle1!$A$1:$C$351,2,FALSE)</f>
        <v>188.67425898528299</v>
      </c>
      <c r="L59" s="51">
        <f>VLOOKUP(B59,Tabelle1!$A$1:$C$351,3,FALSE)</f>
        <v>206.23149952664099</v>
      </c>
      <c r="M59" s="19" t="s">
        <v>749</v>
      </c>
      <c r="N59" s="20" t="s">
        <v>85</v>
      </c>
      <c r="O59" s="20" t="s">
        <v>85</v>
      </c>
      <c r="P59" s="19" t="s">
        <v>750</v>
      </c>
      <c r="Q59" s="20" t="s">
        <v>85</v>
      </c>
      <c r="R59" s="24" t="s">
        <v>550</v>
      </c>
      <c r="S59" s="19" t="s">
        <v>739</v>
      </c>
      <c r="U59" s="19" t="s">
        <v>91</v>
      </c>
    </row>
    <row r="60" spans="1:21" s="19" customFormat="1" ht="16.5" customHeight="1" x14ac:dyDescent="0.25">
      <c r="A60" s="19" t="s">
        <v>293</v>
      </c>
      <c r="B60" s="8" t="s">
        <v>289</v>
      </c>
      <c r="C60" s="19" t="s">
        <v>338</v>
      </c>
      <c r="D60" s="19" t="s">
        <v>591</v>
      </c>
      <c r="E60" s="33" t="s">
        <v>294</v>
      </c>
      <c r="F60" s="17" t="s">
        <v>302</v>
      </c>
      <c r="G60" s="8">
        <v>173</v>
      </c>
      <c r="H60" s="8">
        <v>173</v>
      </c>
      <c r="I60" s="35" t="s">
        <v>85</v>
      </c>
      <c r="J60" s="35" t="s">
        <v>85</v>
      </c>
      <c r="K60" s="51">
        <f>VLOOKUP(B60,Tabelle1!$A$1:$C$351,2,FALSE)</f>
        <v>177.59850914738399</v>
      </c>
      <c r="L60" s="51">
        <f>VLOOKUP(B60,Tabelle1!$A$1:$C$351,3,FALSE)</f>
        <v>217.74482462270899</v>
      </c>
      <c r="M60" s="19" t="s">
        <v>749</v>
      </c>
      <c r="N60" s="20" t="s">
        <v>85</v>
      </c>
      <c r="O60" s="20" t="s">
        <v>85</v>
      </c>
      <c r="P60" s="19" t="s">
        <v>750</v>
      </c>
      <c r="Q60" s="20" t="s">
        <v>85</v>
      </c>
      <c r="R60" s="24" t="s">
        <v>550</v>
      </c>
      <c r="S60" s="19" t="s">
        <v>739</v>
      </c>
      <c r="U60" s="19" t="s">
        <v>91</v>
      </c>
    </row>
    <row r="61" spans="1:21" s="19" customFormat="1" ht="16.5" customHeight="1" x14ac:dyDescent="0.25">
      <c r="A61" s="19" t="s">
        <v>293</v>
      </c>
      <c r="B61" s="8" t="s">
        <v>288</v>
      </c>
      <c r="C61" s="19" t="s">
        <v>338</v>
      </c>
      <c r="D61" s="19" t="s">
        <v>591</v>
      </c>
      <c r="E61" s="33" t="s">
        <v>294</v>
      </c>
      <c r="F61" s="17" t="s">
        <v>302</v>
      </c>
      <c r="G61" s="8">
        <v>173</v>
      </c>
      <c r="H61" s="8">
        <v>173</v>
      </c>
      <c r="I61" s="35" t="s">
        <v>85</v>
      </c>
      <c r="J61" s="35" t="s">
        <v>85</v>
      </c>
      <c r="K61" s="51">
        <f>VLOOKUP(B61,Tabelle1!$A$1:$C$351,2,FALSE)</f>
        <v>170.20159472020799</v>
      </c>
      <c r="L61" s="51">
        <f>VLOOKUP(B61,Tabelle1!$A$1:$C$351,3,FALSE)</f>
        <v>170.64491759928899</v>
      </c>
      <c r="M61" s="19" t="s">
        <v>749</v>
      </c>
      <c r="N61" s="20" t="s">
        <v>85</v>
      </c>
      <c r="O61" s="20" t="s">
        <v>85</v>
      </c>
      <c r="P61" s="19" t="s">
        <v>750</v>
      </c>
      <c r="Q61" s="20" t="s">
        <v>85</v>
      </c>
      <c r="R61" s="24" t="s">
        <v>550</v>
      </c>
      <c r="S61" s="19" t="s">
        <v>739</v>
      </c>
      <c r="U61" s="19" t="s">
        <v>91</v>
      </c>
    </row>
    <row r="62" spans="1:21" s="21" customFormat="1" ht="16.5" customHeight="1" x14ac:dyDescent="0.25">
      <c r="A62" s="21" t="s">
        <v>293</v>
      </c>
      <c r="B62" s="27" t="s">
        <v>287</v>
      </c>
      <c r="C62" s="21" t="s">
        <v>338</v>
      </c>
      <c r="D62" s="21" t="s">
        <v>591</v>
      </c>
      <c r="E62" s="34" t="s">
        <v>294</v>
      </c>
      <c r="F62" s="30" t="s">
        <v>302</v>
      </c>
      <c r="G62" s="27">
        <v>173</v>
      </c>
      <c r="H62" s="27">
        <v>173</v>
      </c>
      <c r="I62" s="41" t="s">
        <v>85</v>
      </c>
      <c r="J62" s="41" t="s">
        <v>85</v>
      </c>
      <c r="K62" s="54">
        <f>VLOOKUP(B62,Tabelle1!$A$1:$C$351,2,FALSE)</f>
        <v>165.153401636186</v>
      </c>
      <c r="L62" s="54">
        <f>VLOOKUP(B62,Tabelle1!$A$1:$C$351,3,FALSE)</f>
        <v>160.98023637087601</v>
      </c>
      <c r="M62" s="21" t="s">
        <v>749</v>
      </c>
      <c r="N62" s="22" t="s">
        <v>85</v>
      </c>
      <c r="O62" s="22" t="s">
        <v>85</v>
      </c>
      <c r="P62" s="21" t="s">
        <v>750</v>
      </c>
      <c r="Q62" s="22" t="s">
        <v>85</v>
      </c>
      <c r="R62" s="26" t="s">
        <v>550</v>
      </c>
      <c r="S62" s="21" t="s">
        <v>739</v>
      </c>
      <c r="U62" s="19" t="s">
        <v>91</v>
      </c>
    </row>
    <row r="63" spans="1:21" s="19" customFormat="1" ht="16.5" customHeight="1" x14ac:dyDescent="0.25">
      <c r="A63" s="17" t="s">
        <v>592</v>
      </c>
      <c r="B63" s="8" t="s">
        <v>561</v>
      </c>
      <c r="C63" s="16" t="s">
        <v>338</v>
      </c>
      <c r="D63" s="17" t="s">
        <v>112</v>
      </c>
      <c r="E63" s="16" t="s">
        <v>106</v>
      </c>
      <c r="F63" s="17" t="s">
        <v>302</v>
      </c>
      <c r="G63" s="17">
        <v>7.4999999999999997E-2</v>
      </c>
      <c r="H63" s="17">
        <v>1.8749999999999999E-2</v>
      </c>
      <c r="I63" s="35" t="s">
        <v>85</v>
      </c>
      <c r="J63" s="35" t="s">
        <v>85</v>
      </c>
      <c r="K63" s="52">
        <f>VLOOKUP(B63,Tabelle1!$A$1:$C$351,2,FALSE)</f>
        <v>7.4295169547827195E-2</v>
      </c>
      <c r="L63" s="52">
        <f>VLOOKUP(B63,Tabelle1!$A$1:$C$351,3,FALSE)</f>
        <v>1.8805609223353E-2</v>
      </c>
      <c r="M63" s="16" t="s">
        <v>736</v>
      </c>
      <c r="N63" s="20"/>
      <c r="O63" s="20"/>
      <c r="P63" s="20" t="s">
        <v>737</v>
      </c>
      <c r="Q63" s="16" t="s">
        <v>677</v>
      </c>
      <c r="R63" s="17" t="s">
        <v>550</v>
      </c>
      <c r="S63" s="20"/>
      <c r="T63" s="20"/>
      <c r="U63" s="19" t="s">
        <v>178</v>
      </c>
    </row>
    <row r="64" spans="1:21" s="19" customFormat="1" ht="16.5" customHeight="1" x14ac:dyDescent="0.25">
      <c r="A64" s="17" t="s">
        <v>592</v>
      </c>
      <c r="B64" s="8" t="s">
        <v>564</v>
      </c>
      <c r="C64" s="16" t="s">
        <v>338</v>
      </c>
      <c r="D64" s="17" t="s">
        <v>112</v>
      </c>
      <c r="E64" s="16" t="s">
        <v>106</v>
      </c>
      <c r="F64" s="17" t="s">
        <v>302</v>
      </c>
      <c r="G64" s="17">
        <v>7.4999999999999997E-2</v>
      </c>
      <c r="H64" s="17">
        <v>1.8749999999999999E-2</v>
      </c>
      <c r="I64" s="35" t="s">
        <v>85</v>
      </c>
      <c r="J64" s="35" t="s">
        <v>85</v>
      </c>
      <c r="K64" s="52">
        <f>VLOOKUP(B64,Tabelle1!$A$1:$C$351,2,FALSE)</f>
        <v>7.46265807865681E-2</v>
      </c>
      <c r="L64" s="52">
        <f>VLOOKUP(B64,Tabelle1!$A$1:$C$351,3,FALSE)</f>
        <v>1.7769685569465801E-2</v>
      </c>
      <c r="M64" s="16" t="s">
        <v>736</v>
      </c>
      <c r="N64" s="20"/>
      <c r="O64" s="20"/>
      <c r="P64" s="20" t="s">
        <v>737</v>
      </c>
      <c r="Q64" s="16" t="s">
        <v>677</v>
      </c>
      <c r="R64" s="17" t="s">
        <v>550</v>
      </c>
      <c r="S64" s="20"/>
      <c r="T64" s="20"/>
      <c r="U64" s="19" t="s">
        <v>178</v>
      </c>
    </row>
    <row r="65" spans="1:21" s="19" customFormat="1" ht="16.5" customHeight="1" x14ac:dyDescent="0.25">
      <c r="A65" s="17" t="s">
        <v>592</v>
      </c>
      <c r="B65" s="8" t="s">
        <v>563</v>
      </c>
      <c r="C65" s="16" t="s">
        <v>338</v>
      </c>
      <c r="D65" s="17" t="s">
        <v>112</v>
      </c>
      <c r="E65" s="16" t="s">
        <v>106</v>
      </c>
      <c r="F65" s="17" t="s">
        <v>302</v>
      </c>
      <c r="G65" s="17">
        <v>7.4999999999999997E-2</v>
      </c>
      <c r="H65" s="17">
        <v>1.8749999999999999E-2</v>
      </c>
      <c r="I65" s="35" t="s">
        <v>85</v>
      </c>
      <c r="J65" s="35" t="s">
        <v>85</v>
      </c>
      <c r="K65" s="52">
        <f>VLOOKUP(B65,Tabelle1!$A$1:$C$351,2,FALSE)</f>
        <v>7.2931626659705595E-2</v>
      </c>
      <c r="L65" s="52">
        <f>VLOOKUP(B65,Tabelle1!$A$1:$C$351,3,FALSE)</f>
        <v>1.9384013284526901E-2</v>
      </c>
      <c r="M65" s="16" t="s">
        <v>736</v>
      </c>
      <c r="N65" s="20"/>
      <c r="O65" s="20"/>
      <c r="P65" s="20" t="s">
        <v>737</v>
      </c>
      <c r="Q65" s="16" t="s">
        <v>677</v>
      </c>
      <c r="R65" s="17" t="s">
        <v>550</v>
      </c>
      <c r="S65" s="20"/>
      <c r="T65" s="20"/>
      <c r="U65" s="19" t="s">
        <v>178</v>
      </c>
    </row>
    <row r="66" spans="1:21" s="21" customFormat="1" ht="16.5" customHeight="1" x14ac:dyDescent="0.25">
      <c r="A66" s="30" t="s">
        <v>592</v>
      </c>
      <c r="B66" s="27" t="s">
        <v>562</v>
      </c>
      <c r="C66" s="29" t="s">
        <v>338</v>
      </c>
      <c r="D66" s="30" t="s">
        <v>112</v>
      </c>
      <c r="E66" s="29" t="s">
        <v>106</v>
      </c>
      <c r="F66" s="30" t="s">
        <v>302</v>
      </c>
      <c r="G66" s="30">
        <v>7.4999999999999997E-2</v>
      </c>
      <c r="H66" s="30">
        <v>1.8749999999999999E-2</v>
      </c>
      <c r="I66" s="41" t="s">
        <v>85</v>
      </c>
      <c r="J66" s="41" t="s">
        <v>85</v>
      </c>
      <c r="K66" s="53">
        <f>VLOOKUP(B66,Tabelle1!$A$1:$C$351,2,FALSE)</f>
        <v>7.7142818883353906E-2</v>
      </c>
      <c r="L66" s="53">
        <f>VLOOKUP(B66,Tabelle1!$A$1:$C$351,3,FALSE)</f>
        <v>1.97454916278769E-2</v>
      </c>
      <c r="M66" s="29" t="s">
        <v>736</v>
      </c>
      <c r="N66" s="27"/>
      <c r="O66" s="27"/>
      <c r="P66" s="22" t="s">
        <v>737</v>
      </c>
      <c r="Q66" s="29" t="s">
        <v>677</v>
      </c>
      <c r="R66" s="30" t="s">
        <v>550</v>
      </c>
      <c r="S66" s="27"/>
      <c r="T66" s="27"/>
      <c r="U66" s="27" t="s">
        <v>178</v>
      </c>
    </row>
    <row r="67" spans="1:21" s="19" customFormat="1" ht="16.5" customHeight="1" x14ac:dyDescent="0.25">
      <c r="A67" s="17" t="s">
        <v>593</v>
      </c>
      <c r="B67" s="8" t="s">
        <v>565</v>
      </c>
      <c r="C67" s="16" t="s">
        <v>338</v>
      </c>
      <c r="D67" s="17" t="s">
        <v>113</v>
      </c>
      <c r="E67" s="16" t="s">
        <v>107</v>
      </c>
      <c r="F67" s="17" t="s">
        <v>302</v>
      </c>
      <c r="G67" s="17">
        <v>0.01</v>
      </c>
      <c r="H67" s="17">
        <v>2.5000000000000001E-3</v>
      </c>
      <c r="I67" s="35" t="s">
        <v>85</v>
      </c>
      <c r="J67" s="35" t="s">
        <v>85</v>
      </c>
      <c r="K67" s="52">
        <f>VLOOKUP(B67,Tabelle1!$A$1:$C$351,2,FALSE)</f>
        <v>1.00924570446546E-2</v>
      </c>
      <c r="L67" s="52">
        <f>VLOOKUP(B67,Tabelle1!$A$1:$C$351,3,FALSE)</f>
        <v>2.5020826892273298E-3</v>
      </c>
      <c r="M67" s="16" t="s">
        <v>736</v>
      </c>
      <c r="N67" s="20"/>
      <c r="O67" s="20"/>
      <c r="P67" s="20" t="s">
        <v>737</v>
      </c>
      <c r="Q67" s="16" t="s">
        <v>677</v>
      </c>
      <c r="R67" s="17" t="s">
        <v>550</v>
      </c>
      <c r="S67" s="20"/>
      <c r="T67" s="20"/>
      <c r="U67" s="19" t="s">
        <v>178</v>
      </c>
    </row>
    <row r="68" spans="1:21" ht="16.5" customHeight="1" x14ac:dyDescent="0.25">
      <c r="A68" s="17" t="s">
        <v>593</v>
      </c>
      <c r="B68" s="8" t="s">
        <v>568</v>
      </c>
      <c r="C68" s="16" t="s">
        <v>338</v>
      </c>
      <c r="D68" s="17" t="s">
        <v>113</v>
      </c>
      <c r="E68" s="16" t="s">
        <v>107</v>
      </c>
      <c r="F68" s="17" t="s">
        <v>302</v>
      </c>
      <c r="G68" s="17">
        <v>0.01</v>
      </c>
      <c r="H68" s="17">
        <v>2.5000000000000001E-3</v>
      </c>
      <c r="I68" s="35" t="s">
        <v>85</v>
      </c>
      <c r="J68" s="35" t="s">
        <v>85</v>
      </c>
      <c r="K68" s="52">
        <f>VLOOKUP(B68,Tabelle1!$A$1:$C$351,2,FALSE)</f>
        <v>9.7684681424998598E-3</v>
      </c>
      <c r="L68" s="52">
        <f>VLOOKUP(B68,Tabelle1!$A$1:$C$351,3,FALSE)</f>
        <v>2.3588942199468102E-3</v>
      </c>
      <c r="M68" s="16" t="s">
        <v>736</v>
      </c>
      <c r="N68" s="20"/>
      <c r="O68" s="20"/>
      <c r="P68" s="20" t="s">
        <v>737</v>
      </c>
      <c r="Q68" s="16" t="s">
        <v>677</v>
      </c>
      <c r="R68" s="17" t="s">
        <v>550</v>
      </c>
      <c r="S68" s="20"/>
      <c r="T68" s="20"/>
      <c r="U68" s="19" t="s">
        <v>178</v>
      </c>
    </row>
    <row r="69" spans="1:21" s="19" customFormat="1" ht="16.5" customHeight="1" x14ac:dyDescent="0.25">
      <c r="A69" s="17" t="s">
        <v>593</v>
      </c>
      <c r="B69" s="8" t="s">
        <v>567</v>
      </c>
      <c r="C69" s="16" t="s">
        <v>338</v>
      </c>
      <c r="D69" s="17" t="s">
        <v>113</v>
      </c>
      <c r="E69" s="16" t="s">
        <v>107</v>
      </c>
      <c r="F69" s="17" t="s">
        <v>302</v>
      </c>
      <c r="G69" s="17">
        <v>0.01</v>
      </c>
      <c r="H69" s="17">
        <v>2.5000000000000001E-3</v>
      </c>
      <c r="I69" s="35" t="s">
        <v>85</v>
      </c>
      <c r="J69" s="35" t="s">
        <v>85</v>
      </c>
      <c r="K69" s="52">
        <f>VLOOKUP(B69,Tabelle1!$A$1:$C$351,2,FALSE)</f>
        <v>1.03260738692661E-2</v>
      </c>
      <c r="L69" s="52">
        <f>VLOOKUP(B69,Tabelle1!$A$1:$C$351,3,FALSE)</f>
        <v>2.4546482684526701E-3</v>
      </c>
      <c r="M69" s="16" t="s">
        <v>736</v>
      </c>
      <c r="N69" s="20"/>
      <c r="O69" s="20"/>
      <c r="P69" s="20" t="s">
        <v>737</v>
      </c>
      <c r="Q69" s="16" t="s">
        <v>677</v>
      </c>
      <c r="R69" s="17" t="s">
        <v>550</v>
      </c>
      <c r="S69" s="20"/>
      <c r="T69" s="20"/>
      <c r="U69" s="19" t="s">
        <v>178</v>
      </c>
    </row>
    <row r="70" spans="1:21" s="21" customFormat="1" ht="16.5" customHeight="1" x14ac:dyDescent="0.25">
      <c r="A70" s="30" t="s">
        <v>593</v>
      </c>
      <c r="B70" s="27" t="s">
        <v>566</v>
      </c>
      <c r="C70" s="29" t="s">
        <v>338</v>
      </c>
      <c r="D70" s="30" t="s">
        <v>113</v>
      </c>
      <c r="E70" s="29" t="s">
        <v>107</v>
      </c>
      <c r="F70" s="30" t="s">
        <v>302</v>
      </c>
      <c r="G70" s="30">
        <v>0.01</v>
      </c>
      <c r="H70" s="30">
        <v>2.5000000000000001E-3</v>
      </c>
      <c r="I70" s="41" t="s">
        <v>85</v>
      </c>
      <c r="J70" s="41" t="s">
        <v>85</v>
      </c>
      <c r="K70" s="53">
        <f>VLOOKUP(B70,Tabelle1!$A$1:$C$351,2,FALSE)</f>
        <v>9.8373326287519297E-3</v>
      </c>
      <c r="L70" s="53">
        <f>VLOOKUP(B70,Tabelle1!$A$1:$C$351,3,FALSE)</f>
        <v>2.4076497275680201E-3</v>
      </c>
      <c r="M70" s="29" t="s">
        <v>736</v>
      </c>
      <c r="N70" s="27"/>
      <c r="O70" s="27"/>
      <c r="P70" s="22" t="s">
        <v>737</v>
      </c>
      <c r="Q70" s="29" t="s">
        <v>677</v>
      </c>
      <c r="R70" s="30" t="s">
        <v>550</v>
      </c>
      <c r="S70" s="22"/>
      <c r="T70" s="22"/>
      <c r="U70" s="21" t="s">
        <v>178</v>
      </c>
    </row>
    <row r="71" spans="1:21" s="19" customFormat="1" ht="16.5" customHeight="1" x14ac:dyDescent="0.25">
      <c r="A71" s="24" t="s">
        <v>91</v>
      </c>
      <c r="B71" s="19" t="s">
        <v>248</v>
      </c>
      <c r="C71" s="19" t="s">
        <v>338</v>
      </c>
      <c r="D71" s="19" t="s">
        <v>161</v>
      </c>
      <c r="E71" s="19" t="s">
        <v>95</v>
      </c>
      <c r="F71" s="24" t="s">
        <v>247</v>
      </c>
      <c r="G71" s="31">
        <v>1E-10</v>
      </c>
      <c r="I71" s="49" t="s">
        <v>85</v>
      </c>
      <c r="J71" s="49" t="s">
        <v>85</v>
      </c>
      <c r="K71" s="49" t="s">
        <v>85</v>
      </c>
      <c r="L71" s="49" t="s">
        <v>85</v>
      </c>
      <c r="M71" s="18" t="s">
        <v>536</v>
      </c>
      <c r="N71" s="18" t="s">
        <v>537</v>
      </c>
      <c r="O71" s="56" t="s">
        <v>85</v>
      </c>
      <c r="P71" s="18" t="s">
        <v>540</v>
      </c>
      <c r="Q71" s="19" t="s">
        <v>541</v>
      </c>
      <c r="R71" s="24" t="s">
        <v>549</v>
      </c>
      <c r="S71" s="20" t="s">
        <v>85</v>
      </c>
      <c r="T71" s="20" t="s">
        <v>85</v>
      </c>
      <c r="U71" s="19" t="s">
        <v>178</v>
      </c>
    </row>
    <row r="72" spans="1:21" s="19" customFormat="1" ht="16.5" customHeight="1" x14ac:dyDescent="0.25">
      <c r="A72" s="24" t="s">
        <v>91</v>
      </c>
      <c r="B72" s="19" t="s">
        <v>251</v>
      </c>
      <c r="C72" s="19" t="s">
        <v>338</v>
      </c>
      <c r="D72" s="19" t="s">
        <v>161</v>
      </c>
      <c r="E72" s="19" t="s">
        <v>95</v>
      </c>
      <c r="F72" s="24" t="s">
        <v>247</v>
      </c>
      <c r="G72" s="31">
        <v>1E-10</v>
      </c>
      <c r="I72" s="49" t="s">
        <v>85</v>
      </c>
      <c r="J72" s="49" t="s">
        <v>85</v>
      </c>
      <c r="K72" s="49" t="s">
        <v>85</v>
      </c>
      <c r="L72" s="49" t="s">
        <v>85</v>
      </c>
      <c r="M72" s="18" t="s">
        <v>536</v>
      </c>
      <c r="N72" s="18" t="s">
        <v>537</v>
      </c>
      <c r="O72" s="56" t="s">
        <v>85</v>
      </c>
      <c r="P72" s="18" t="s">
        <v>539</v>
      </c>
      <c r="Q72" s="19" t="s">
        <v>541</v>
      </c>
      <c r="R72" s="24" t="s">
        <v>549</v>
      </c>
      <c r="S72" s="20" t="s">
        <v>85</v>
      </c>
      <c r="T72" s="20" t="s">
        <v>85</v>
      </c>
      <c r="U72" s="19" t="s">
        <v>178</v>
      </c>
    </row>
    <row r="73" spans="1:21" s="19" customFormat="1" ht="16.5" customHeight="1" x14ac:dyDescent="0.25">
      <c r="A73" s="24" t="s">
        <v>91</v>
      </c>
      <c r="B73" s="19" t="s">
        <v>250</v>
      </c>
      <c r="C73" s="19" t="s">
        <v>338</v>
      </c>
      <c r="D73" s="19" t="s">
        <v>161</v>
      </c>
      <c r="E73" s="19" t="s">
        <v>95</v>
      </c>
      <c r="F73" s="24" t="s">
        <v>247</v>
      </c>
      <c r="G73" s="31">
        <v>1E-10</v>
      </c>
      <c r="I73" s="49" t="s">
        <v>85</v>
      </c>
      <c r="J73" s="49" t="s">
        <v>85</v>
      </c>
      <c r="K73" s="49" t="s">
        <v>85</v>
      </c>
      <c r="L73" s="49" t="s">
        <v>85</v>
      </c>
      <c r="M73" s="18" t="s">
        <v>536</v>
      </c>
      <c r="N73" s="18" t="s">
        <v>537</v>
      </c>
      <c r="O73" s="56" t="s">
        <v>85</v>
      </c>
      <c r="P73" s="18" t="s">
        <v>539</v>
      </c>
      <c r="Q73" s="19" t="s">
        <v>541</v>
      </c>
      <c r="R73" s="24" t="s">
        <v>549</v>
      </c>
      <c r="S73" s="20" t="s">
        <v>85</v>
      </c>
      <c r="T73" s="20" t="s">
        <v>85</v>
      </c>
      <c r="U73" s="19" t="s">
        <v>178</v>
      </c>
    </row>
    <row r="74" spans="1:21" s="21" customFormat="1" ht="16.5" customHeight="1" x14ac:dyDescent="0.25">
      <c r="A74" s="26" t="s">
        <v>91</v>
      </c>
      <c r="B74" s="21" t="s">
        <v>249</v>
      </c>
      <c r="C74" s="21" t="s">
        <v>338</v>
      </c>
      <c r="D74" s="21" t="s">
        <v>161</v>
      </c>
      <c r="E74" s="21" t="s">
        <v>95</v>
      </c>
      <c r="F74" s="26" t="s">
        <v>247</v>
      </c>
      <c r="G74" s="32">
        <v>1E-10</v>
      </c>
      <c r="I74" s="50" t="s">
        <v>85</v>
      </c>
      <c r="J74" s="50" t="s">
        <v>85</v>
      </c>
      <c r="K74" s="50" t="s">
        <v>85</v>
      </c>
      <c r="L74" s="50" t="s">
        <v>85</v>
      </c>
      <c r="M74" s="23" t="s">
        <v>536</v>
      </c>
      <c r="N74" s="23" t="s">
        <v>537</v>
      </c>
      <c r="O74" s="56" t="s">
        <v>85</v>
      </c>
      <c r="P74" s="23" t="s">
        <v>539</v>
      </c>
      <c r="Q74" s="21" t="s">
        <v>541</v>
      </c>
      <c r="R74" s="26" t="s">
        <v>549</v>
      </c>
      <c r="S74" s="22" t="s">
        <v>85</v>
      </c>
      <c r="T74" s="22" t="s">
        <v>85</v>
      </c>
      <c r="U74" s="21" t="s">
        <v>178</v>
      </c>
    </row>
    <row r="75" spans="1:21" s="6" customFormat="1" ht="16.5" customHeight="1" x14ac:dyDescent="0.25">
      <c r="A75" s="6" t="s">
        <v>552</v>
      </c>
    </row>
    <row r="76" spans="1:21" s="19" customFormat="1" ht="16.5" customHeight="1" x14ac:dyDescent="0.25">
      <c r="A76" s="24" t="s">
        <v>584</v>
      </c>
      <c r="B76" s="19" t="s">
        <v>257</v>
      </c>
      <c r="C76" s="19" t="s">
        <v>338</v>
      </c>
      <c r="D76" s="24" t="s">
        <v>585</v>
      </c>
      <c r="E76" s="19" t="s">
        <v>108</v>
      </c>
      <c r="F76" s="17" t="s">
        <v>302</v>
      </c>
      <c r="G76" s="8">
        <v>6.0449450000000004E-3</v>
      </c>
      <c r="H76" s="8">
        <v>6.0449400000000002E-4</v>
      </c>
      <c r="I76" s="42" t="s">
        <v>85</v>
      </c>
      <c r="J76" s="42" t="s">
        <v>85</v>
      </c>
      <c r="K76" s="8">
        <f>VLOOKUP(B76,Tabelle1!$A$1:$C$351,2,FALSE)</f>
        <v>5.9877410903277197E-3</v>
      </c>
      <c r="L76" s="8">
        <f>VLOOKUP(B76,Tabelle1!$A$1:$C$351,3,FALSE)</f>
        <v>5.7487970464014998E-4</v>
      </c>
      <c r="M76" s="19" t="s">
        <v>542</v>
      </c>
      <c r="N76" s="19" t="s">
        <v>216</v>
      </c>
      <c r="O76" s="19" t="s">
        <v>545</v>
      </c>
      <c r="P76" s="19" t="s">
        <v>546</v>
      </c>
      <c r="Q76" s="19" t="s">
        <v>652</v>
      </c>
      <c r="R76" s="8" t="s">
        <v>550</v>
      </c>
      <c r="S76" s="19" t="s">
        <v>547</v>
      </c>
      <c r="T76" s="18" t="s">
        <v>653</v>
      </c>
      <c r="U76" s="19" t="s">
        <v>538</v>
      </c>
    </row>
    <row r="77" spans="1:21" s="19" customFormat="1" ht="16.5" customHeight="1" x14ac:dyDescent="0.25">
      <c r="A77" s="24" t="s">
        <v>584</v>
      </c>
      <c r="B77" s="19" t="s">
        <v>258</v>
      </c>
      <c r="C77" s="19" t="s">
        <v>338</v>
      </c>
      <c r="D77" s="24" t="s">
        <v>585</v>
      </c>
      <c r="E77" s="19" t="s">
        <v>108</v>
      </c>
      <c r="F77" s="17" t="s">
        <v>302</v>
      </c>
      <c r="G77" s="8">
        <v>2.6976334000000001E-2</v>
      </c>
      <c r="H77" s="8">
        <v>2.6976330000000001E-3</v>
      </c>
      <c r="I77" s="42" t="s">
        <v>85</v>
      </c>
      <c r="J77" s="42" t="s">
        <v>85</v>
      </c>
      <c r="K77" s="8">
        <f>VLOOKUP(B77,Tabelle1!$A$1:$C$351,2,FALSE)</f>
        <v>2.7080684561305801E-2</v>
      </c>
      <c r="L77" s="8">
        <f>VLOOKUP(B77,Tabelle1!$A$1:$C$351,3,FALSE)</f>
        <v>2.3715166257435201E-3</v>
      </c>
      <c r="M77" s="19" t="s">
        <v>542</v>
      </c>
      <c r="N77" s="19" t="s">
        <v>216</v>
      </c>
      <c r="O77" s="19" t="s">
        <v>545</v>
      </c>
      <c r="P77" s="19" t="s">
        <v>546</v>
      </c>
      <c r="Q77" s="19" t="s">
        <v>652</v>
      </c>
      <c r="R77" s="8" t="s">
        <v>550</v>
      </c>
      <c r="S77" s="19" t="s">
        <v>547</v>
      </c>
      <c r="T77" s="18" t="s">
        <v>653</v>
      </c>
      <c r="U77" s="19" t="s">
        <v>538</v>
      </c>
    </row>
    <row r="78" spans="1:21" s="19" customFormat="1" ht="16.5" customHeight="1" x14ac:dyDescent="0.25">
      <c r="A78" s="24" t="s">
        <v>584</v>
      </c>
      <c r="B78" s="19" t="s">
        <v>259</v>
      </c>
      <c r="C78" s="19" t="s">
        <v>338</v>
      </c>
      <c r="D78" s="24" t="s">
        <v>585</v>
      </c>
      <c r="E78" s="19" t="s">
        <v>108</v>
      </c>
      <c r="F78" s="17" t="s">
        <v>302</v>
      </c>
      <c r="G78" s="8">
        <v>2.0818564000000001E-2</v>
      </c>
      <c r="H78" s="8">
        <v>2.081856E-3</v>
      </c>
      <c r="I78" s="42" t="s">
        <v>85</v>
      </c>
      <c r="J78" s="42" t="s">
        <v>85</v>
      </c>
      <c r="K78" s="8">
        <f>VLOOKUP(B78,Tabelle1!$A$1:$C$351,2,FALSE)</f>
        <v>2.0912208864167999E-2</v>
      </c>
      <c r="L78" s="8">
        <f>VLOOKUP(B78,Tabelle1!$A$1:$C$351,3,FALSE)</f>
        <v>1.9568976602976598E-3</v>
      </c>
      <c r="M78" s="19" t="s">
        <v>542</v>
      </c>
      <c r="N78" s="19" t="s">
        <v>216</v>
      </c>
      <c r="O78" s="19" t="s">
        <v>545</v>
      </c>
      <c r="P78" s="19" t="s">
        <v>546</v>
      </c>
      <c r="Q78" s="19" t="s">
        <v>652</v>
      </c>
      <c r="R78" s="8" t="s">
        <v>550</v>
      </c>
      <c r="S78" s="19" t="s">
        <v>547</v>
      </c>
      <c r="T78" s="18" t="s">
        <v>653</v>
      </c>
      <c r="U78" s="19" t="s">
        <v>538</v>
      </c>
    </row>
    <row r="79" spans="1:21" s="19" customFormat="1" ht="16.5" customHeight="1" x14ac:dyDescent="0.25">
      <c r="A79" s="24" t="s">
        <v>584</v>
      </c>
      <c r="B79" s="19" t="s">
        <v>260</v>
      </c>
      <c r="C79" s="19" t="s">
        <v>338</v>
      </c>
      <c r="D79" s="24" t="s">
        <v>585</v>
      </c>
      <c r="E79" s="19" t="s">
        <v>108</v>
      </c>
      <c r="F79" s="17" t="s">
        <v>302</v>
      </c>
      <c r="G79" s="8">
        <v>1.4865056E-2</v>
      </c>
      <c r="H79" s="8">
        <v>1.4865060000000001E-3</v>
      </c>
      <c r="I79" s="42" t="s">
        <v>85</v>
      </c>
      <c r="J79" s="42" t="s">
        <v>85</v>
      </c>
      <c r="K79" s="8">
        <f>VLOOKUP(B79,Tabelle1!$A$1:$C$351,2,FALSE)</f>
        <v>1.4897069831275899E-2</v>
      </c>
      <c r="L79" s="8">
        <f>VLOOKUP(B79,Tabelle1!$A$1:$C$351,3,FALSE)</f>
        <v>1.4932280689413701E-3</v>
      </c>
      <c r="M79" s="19" t="s">
        <v>542</v>
      </c>
      <c r="N79" s="19" t="s">
        <v>216</v>
      </c>
      <c r="O79" s="19" t="s">
        <v>545</v>
      </c>
      <c r="P79" s="19" t="s">
        <v>546</v>
      </c>
      <c r="Q79" s="19" t="s">
        <v>652</v>
      </c>
      <c r="R79" s="8" t="s">
        <v>550</v>
      </c>
      <c r="S79" s="19" t="s">
        <v>547</v>
      </c>
      <c r="T79" s="18" t="s">
        <v>653</v>
      </c>
      <c r="U79" s="19" t="s">
        <v>538</v>
      </c>
    </row>
    <row r="80" spans="1:21" s="19" customFormat="1" ht="16.5" customHeight="1" x14ac:dyDescent="0.25">
      <c r="A80" s="24" t="s">
        <v>584</v>
      </c>
      <c r="B80" s="19" t="s">
        <v>261</v>
      </c>
      <c r="C80" s="19" t="s">
        <v>338</v>
      </c>
      <c r="D80" s="24" t="s">
        <v>585</v>
      </c>
      <c r="E80" s="19" t="s">
        <v>108</v>
      </c>
      <c r="F80" s="17" t="s">
        <v>302</v>
      </c>
      <c r="G80" s="8">
        <v>5.0989013999999999E-2</v>
      </c>
      <c r="H80" s="8">
        <v>5.0989010000000003E-3</v>
      </c>
      <c r="I80" s="42" t="s">
        <v>85</v>
      </c>
      <c r="J80" s="42" t="s">
        <v>85</v>
      </c>
      <c r="K80" s="8">
        <f>VLOOKUP(B80,Tabelle1!$A$1:$C$351,2,FALSE)</f>
        <v>5.1025449153715499E-2</v>
      </c>
      <c r="L80" s="8">
        <f>VLOOKUP(B80,Tabelle1!$A$1:$C$351,3,FALSE)</f>
        <v>5.3215382640256596E-3</v>
      </c>
      <c r="M80" s="19" t="s">
        <v>542</v>
      </c>
      <c r="N80" s="19" t="s">
        <v>574</v>
      </c>
      <c r="O80" s="19" t="s">
        <v>545</v>
      </c>
      <c r="P80" s="19" t="s">
        <v>546</v>
      </c>
      <c r="Q80" s="19" t="s">
        <v>652</v>
      </c>
      <c r="R80" s="8" t="s">
        <v>550</v>
      </c>
      <c r="S80" s="19" t="s">
        <v>547</v>
      </c>
      <c r="T80" s="18" t="s">
        <v>653</v>
      </c>
      <c r="U80" s="19" t="s">
        <v>538</v>
      </c>
    </row>
    <row r="81" spans="1:21" s="19" customFormat="1" ht="16.5" customHeight="1" x14ac:dyDescent="0.25">
      <c r="A81" s="24" t="s">
        <v>584</v>
      </c>
      <c r="B81" s="19" t="s">
        <v>262</v>
      </c>
      <c r="C81" s="19" t="s">
        <v>338</v>
      </c>
      <c r="D81" s="24" t="s">
        <v>585</v>
      </c>
      <c r="E81" s="19" t="s">
        <v>108</v>
      </c>
      <c r="F81" s="17" t="s">
        <v>302</v>
      </c>
      <c r="G81" s="8">
        <v>5.3524896000000002E-2</v>
      </c>
      <c r="H81" s="8">
        <v>5.3524899999999997E-3</v>
      </c>
      <c r="I81" s="42" t="s">
        <v>85</v>
      </c>
      <c r="J81" s="42" t="s">
        <v>85</v>
      </c>
      <c r="K81" s="8">
        <f>VLOOKUP(B81,Tabelle1!$A$1:$C$351,2,FALSE)</f>
        <v>5.36440485069727E-2</v>
      </c>
      <c r="L81" s="8">
        <f>VLOOKUP(B81,Tabelle1!$A$1:$C$351,3,FALSE)</f>
        <v>4.9945186144118303E-3</v>
      </c>
      <c r="M81" s="19" t="s">
        <v>542</v>
      </c>
      <c r="N81" s="19" t="s">
        <v>574</v>
      </c>
      <c r="O81" s="19" t="s">
        <v>545</v>
      </c>
      <c r="P81" s="19" t="s">
        <v>546</v>
      </c>
      <c r="Q81" s="19" t="s">
        <v>652</v>
      </c>
      <c r="R81" s="8" t="s">
        <v>550</v>
      </c>
      <c r="S81" s="19" t="s">
        <v>547</v>
      </c>
      <c r="T81" s="18" t="s">
        <v>653</v>
      </c>
      <c r="U81" s="19" t="s">
        <v>538</v>
      </c>
    </row>
    <row r="82" spans="1:21" s="19" customFormat="1" ht="16.5" customHeight="1" x14ac:dyDescent="0.25">
      <c r="A82" s="24" t="s">
        <v>584</v>
      </c>
      <c r="B82" s="19" t="s">
        <v>263</v>
      </c>
      <c r="C82" s="19" t="s">
        <v>338</v>
      </c>
      <c r="D82" s="24" t="s">
        <v>585</v>
      </c>
      <c r="E82" s="19" t="s">
        <v>108</v>
      </c>
      <c r="F82" s="17" t="s">
        <v>302</v>
      </c>
      <c r="G82" s="8">
        <v>0.106821469</v>
      </c>
      <c r="H82" s="8">
        <v>1.0682146999999999E-2</v>
      </c>
      <c r="I82" s="42" t="s">
        <v>85</v>
      </c>
      <c r="J82" s="42" t="s">
        <v>85</v>
      </c>
      <c r="K82" s="8">
        <f>VLOOKUP(B82,Tabelle1!$A$1:$C$351,2,FALSE)</f>
        <v>0.107232418314987</v>
      </c>
      <c r="L82" s="8">
        <f>VLOOKUP(B82,Tabelle1!$A$1:$C$351,3,FALSE)</f>
        <v>1.0504032766695599E-2</v>
      </c>
      <c r="M82" s="19" t="s">
        <v>542</v>
      </c>
      <c r="N82" s="19" t="s">
        <v>574</v>
      </c>
      <c r="O82" s="19" t="s">
        <v>545</v>
      </c>
      <c r="P82" s="19" t="s">
        <v>546</v>
      </c>
      <c r="Q82" s="19" t="s">
        <v>652</v>
      </c>
      <c r="R82" s="8" t="s">
        <v>550</v>
      </c>
      <c r="S82" s="19" t="s">
        <v>547</v>
      </c>
      <c r="T82" s="18" t="s">
        <v>653</v>
      </c>
      <c r="U82" s="19" t="s">
        <v>538</v>
      </c>
    </row>
    <row r="83" spans="1:21" s="19" customFormat="1" ht="16.5" customHeight="1" x14ac:dyDescent="0.25">
      <c r="A83" s="24" t="s">
        <v>584</v>
      </c>
      <c r="B83" s="19" t="s">
        <v>264</v>
      </c>
      <c r="C83" s="19" t="s">
        <v>338</v>
      </c>
      <c r="D83" s="24" t="s">
        <v>585</v>
      </c>
      <c r="E83" s="19" t="s">
        <v>108</v>
      </c>
      <c r="F83" s="17" t="s">
        <v>302</v>
      </c>
      <c r="G83" s="8">
        <v>3.8437934E-2</v>
      </c>
      <c r="H83" s="8">
        <v>3.8437929999999999E-3</v>
      </c>
      <c r="I83" s="42" t="s">
        <v>85</v>
      </c>
      <c r="J83" s="42" t="s">
        <v>85</v>
      </c>
      <c r="K83" s="8">
        <f>VLOOKUP(B83,Tabelle1!$A$1:$C$351,2,FALSE)</f>
        <v>3.8609900100224102E-2</v>
      </c>
      <c r="L83" s="8">
        <f>VLOOKUP(B83,Tabelle1!$A$1:$C$351,3,FALSE)</f>
        <v>4.0600096139742203E-3</v>
      </c>
      <c r="M83" s="19" t="s">
        <v>542</v>
      </c>
      <c r="N83" s="19" t="s">
        <v>574</v>
      </c>
      <c r="O83" s="19" t="s">
        <v>545</v>
      </c>
      <c r="P83" s="19" t="s">
        <v>546</v>
      </c>
      <c r="Q83" s="19" t="s">
        <v>652</v>
      </c>
      <c r="R83" s="8" t="s">
        <v>550</v>
      </c>
      <c r="S83" s="19" t="s">
        <v>547</v>
      </c>
      <c r="T83" s="18" t="s">
        <v>653</v>
      </c>
      <c r="U83" s="19" t="s">
        <v>538</v>
      </c>
    </row>
    <row r="84" spans="1:21" s="19" customFormat="1" ht="16.5" customHeight="1" x14ac:dyDescent="0.25">
      <c r="A84" s="24" t="s">
        <v>584</v>
      </c>
      <c r="B84" s="8" t="s">
        <v>265</v>
      </c>
      <c r="C84" s="19" t="s">
        <v>338</v>
      </c>
      <c r="D84" s="24" t="s">
        <v>585</v>
      </c>
      <c r="E84" s="19" t="s">
        <v>108</v>
      </c>
      <c r="F84" s="17" t="s">
        <v>302</v>
      </c>
      <c r="G84" s="25">
        <v>5.0500000000000003E-2</v>
      </c>
      <c r="H84" s="8">
        <v>5.0464990000000003E-3</v>
      </c>
      <c r="I84" s="42" t="s">
        <v>85</v>
      </c>
      <c r="J84" s="42" t="s">
        <v>85</v>
      </c>
      <c r="K84" s="25">
        <f>VLOOKUP(B84,Tabelle1!$A$1:$C$351,2,FALSE)</f>
        <v>5.0344331575726098E-2</v>
      </c>
      <c r="L84" s="8">
        <f>VLOOKUP(B84,Tabelle1!$A$1:$C$351,3,FALSE)</f>
        <v>5.2724706982629098E-3</v>
      </c>
      <c r="M84" s="19" t="s">
        <v>542</v>
      </c>
      <c r="N84" s="19" t="s">
        <v>217</v>
      </c>
      <c r="O84" s="19" t="s">
        <v>545</v>
      </c>
      <c r="P84" s="19" t="s">
        <v>546</v>
      </c>
      <c r="Q84" s="19" t="s">
        <v>652</v>
      </c>
      <c r="R84" s="8" t="s">
        <v>550</v>
      </c>
      <c r="S84" s="19" t="s">
        <v>547</v>
      </c>
      <c r="T84" s="18" t="s">
        <v>653</v>
      </c>
      <c r="U84" s="19" t="s">
        <v>538</v>
      </c>
    </row>
    <row r="85" spans="1:21" s="19" customFormat="1" ht="16.5" customHeight="1" x14ac:dyDescent="0.25">
      <c r="A85" s="24" t="s">
        <v>584</v>
      </c>
      <c r="B85" s="8" t="s">
        <v>266</v>
      </c>
      <c r="C85" s="19" t="s">
        <v>338</v>
      </c>
      <c r="D85" s="24" t="s">
        <v>585</v>
      </c>
      <c r="E85" s="19" t="s">
        <v>108</v>
      </c>
      <c r="F85" s="17" t="s">
        <v>302</v>
      </c>
      <c r="G85" s="25">
        <v>0.129</v>
      </c>
      <c r="H85" s="8">
        <v>1.2913348999999999E-2</v>
      </c>
      <c r="I85" s="42" t="s">
        <v>85</v>
      </c>
      <c r="J85" s="42" t="s">
        <v>85</v>
      </c>
      <c r="K85" s="25">
        <f>VLOOKUP(B85,Tabelle1!$A$1:$C$351,2,FALSE)</f>
        <v>0.12927168170973499</v>
      </c>
      <c r="L85" s="8">
        <f>VLOOKUP(B85,Tabelle1!$A$1:$C$351,3,FALSE)</f>
        <v>1.30728828098409E-2</v>
      </c>
      <c r="M85" s="19" t="s">
        <v>542</v>
      </c>
      <c r="N85" s="19" t="s">
        <v>217</v>
      </c>
      <c r="O85" s="19" t="s">
        <v>545</v>
      </c>
      <c r="P85" s="19" t="s">
        <v>546</v>
      </c>
      <c r="Q85" s="19" t="s">
        <v>652</v>
      </c>
      <c r="R85" s="8" t="s">
        <v>550</v>
      </c>
      <c r="S85" s="19" t="s">
        <v>547</v>
      </c>
      <c r="T85" s="18" t="s">
        <v>653</v>
      </c>
      <c r="U85" s="19" t="s">
        <v>538</v>
      </c>
    </row>
    <row r="86" spans="1:21" s="19" customFormat="1" ht="16.5" customHeight="1" x14ac:dyDescent="0.25">
      <c r="A86" s="24" t="s">
        <v>584</v>
      </c>
      <c r="B86" s="19" t="s">
        <v>267</v>
      </c>
      <c r="C86" s="19" t="s">
        <v>338</v>
      </c>
      <c r="D86" s="24" t="s">
        <v>585</v>
      </c>
      <c r="E86" s="19" t="s">
        <v>108</v>
      </c>
      <c r="F86" s="17" t="s">
        <v>302</v>
      </c>
      <c r="G86" s="25">
        <v>9.3399999999999997E-2</v>
      </c>
      <c r="H86" s="8">
        <v>9.3357900000000001E-3</v>
      </c>
      <c r="I86" s="42" t="s">
        <v>85</v>
      </c>
      <c r="J86" s="42" t="s">
        <v>85</v>
      </c>
      <c r="K86" s="25">
        <f>VLOOKUP(B86,Tabelle1!$A$1:$C$351,2,FALSE)</f>
        <v>9.3496057757604001E-2</v>
      </c>
      <c r="L86" s="8">
        <f>VLOOKUP(B86,Tabelle1!$A$1:$C$351,3,FALSE)</f>
        <v>8.8954024652263299E-3</v>
      </c>
      <c r="M86" s="19" t="s">
        <v>542</v>
      </c>
      <c r="N86" s="19" t="s">
        <v>217</v>
      </c>
      <c r="O86" s="19" t="s">
        <v>545</v>
      </c>
      <c r="P86" s="19" t="s">
        <v>546</v>
      </c>
      <c r="Q86" s="19" t="s">
        <v>652</v>
      </c>
      <c r="R86" s="8" t="s">
        <v>550</v>
      </c>
      <c r="S86" s="19" t="s">
        <v>547</v>
      </c>
      <c r="T86" s="18" t="s">
        <v>653</v>
      </c>
      <c r="U86" s="19" t="s">
        <v>538</v>
      </c>
    </row>
    <row r="87" spans="1:21" s="27" customFormat="1" ht="16.5" customHeight="1" x14ac:dyDescent="0.25">
      <c r="A87" s="26" t="s">
        <v>584</v>
      </c>
      <c r="B87" s="21" t="s">
        <v>268</v>
      </c>
      <c r="C87" s="21" t="s">
        <v>338</v>
      </c>
      <c r="D87" s="26" t="s">
        <v>585</v>
      </c>
      <c r="E87" s="21" t="s">
        <v>108</v>
      </c>
      <c r="F87" s="30" t="s">
        <v>302</v>
      </c>
      <c r="G87" s="28">
        <v>7.8399999999999997E-2</v>
      </c>
      <c r="H87" s="27">
        <v>7.8389110000000005E-3</v>
      </c>
      <c r="I87" s="43" t="s">
        <v>85</v>
      </c>
      <c r="J87" s="43" t="s">
        <v>85</v>
      </c>
      <c r="K87" s="28">
        <f>VLOOKUP(B87,Tabelle1!$A$1:$C$351,2,FALSE)</f>
        <v>7.7913355813441706E-2</v>
      </c>
      <c r="L87" s="27">
        <f>VLOOKUP(B87,Tabelle1!$A$1:$C$351,3,FALSE)</f>
        <v>7.8168528171061995E-3</v>
      </c>
      <c r="M87" s="21" t="s">
        <v>542</v>
      </c>
      <c r="N87" s="21" t="s">
        <v>217</v>
      </c>
      <c r="O87" s="21" t="s">
        <v>545</v>
      </c>
      <c r="P87" s="21" t="s">
        <v>546</v>
      </c>
      <c r="Q87" s="21" t="s">
        <v>652</v>
      </c>
      <c r="R87" s="27" t="s">
        <v>550</v>
      </c>
      <c r="S87" s="21" t="s">
        <v>547</v>
      </c>
      <c r="T87" s="23" t="s">
        <v>653</v>
      </c>
      <c r="U87" s="21" t="s">
        <v>538</v>
      </c>
    </row>
    <row r="88" spans="1:21" ht="16.5" customHeight="1" x14ac:dyDescent="0.25">
      <c r="A88" s="19" t="s">
        <v>530</v>
      </c>
      <c r="B88" s="8" t="s">
        <v>299</v>
      </c>
      <c r="C88" s="16" t="s">
        <v>338</v>
      </c>
      <c r="D88" s="17" t="s">
        <v>110</v>
      </c>
      <c r="E88" s="16" t="s">
        <v>97</v>
      </c>
      <c r="F88" s="17" t="s">
        <v>302</v>
      </c>
      <c r="G88" s="17">
        <v>0.23100000000000001</v>
      </c>
      <c r="H88" s="17">
        <v>0.11550000000000001</v>
      </c>
      <c r="I88" s="35" t="s">
        <v>85</v>
      </c>
      <c r="J88" s="35" t="s">
        <v>85</v>
      </c>
      <c r="K88" s="52">
        <f>VLOOKUP(B88,Tabelle1!$A$1:$C$351,2,FALSE)</f>
        <v>0.332225578176574</v>
      </c>
      <c r="L88" s="52">
        <f>VLOOKUP(B88,Tabelle1!$A$1:$C$351,3,FALSE)</f>
        <v>0.13490856267387599</v>
      </c>
      <c r="M88" s="16" t="s">
        <v>729</v>
      </c>
      <c r="N88" s="16" t="s">
        <v>773</v>
      </c>
      <c r="O88" s="16" t="s">
        <v>128</v>
      </c>
      <c r="P88" s="16" t="s">
        <v>679</v>
      </c>
      <c r="Q88" s="16" t="s">
        <v>677</v>
      </c>
      <c r="R88" s="8" t="s">
        <v>550</v>
      </c>
      <c r="S88" s="19"/>
      <c r="T88" s="19"/>
      <c r="U88" s="19" t="s">
        <v>178</v>
      </c>
    </row>
    <row r="89" spans="1:21" s="19" customFormat="1" ht="16.5" customHeight="1" x14ac:dyDescent="0.25">
      <c r="A89" s="19" t="s">
        <v>530</v>
      </c>
      <c r="B89" s="8" t="s">
        <v>301</v>
      </c>
      <c r="C89" s="16" t="s">
        <v>338</v>
      </c>
      <c r="D89" s="17" t="s">
        <v>110</v>
      </c>
      <c r="E89" s="16" t="s">
        <v>97</v>
      </c>
      <c r="F89" s="17" t="s">
        <v>302</v>
      </c>
      <c r="G89" s="17">
        <v>0.23100000000000001</v>
      </c>
      <c r="H89" s="17">
        <v>0.11550000000000001</v>
      </c>
      <c r="I89" s="35" t="s">
        <v>85</v>
      </c>
      <c r="J89" s="35" t="s">
        <v>85</v>
      </c>
      <c r="K89" s="52">
        <f>VLOOKUP(B89,Tabelle1!$A$1:$C$351,2,FALSE)</f>
        <v>0.326893214709568</v>
      </c>
      <c r="L89" s="52">
        <f>VLOOKUP(B89,Tabelle1!$A$1:$C$351,3,FALSE)</f>
        <v>0.15465977626162999</v>
      </c>
      <c r="M89" s="16" t="s">
        <v>729</v>
      </c>
      <c r="N89" s="16" t="s">
        <v>773</v>
      </c>
      <c r="O89" s="16" t="s">
        <v>128</v>
      </c>
      <c r="P89" s="16" t="s">
        <v>679</v>
      </c>
      <c r="Q89" s="16" t="s">
        <v>677</v>
      </c>
      <c r="R89" s="8" t="s">
        <v>550</v>
      </c>
      <c r="U89" s="19" t="s">
        <v>178</v>
      </c>
    </row>
    <row r="90" spans="1:21" s="21" customFormat="1" ht="16.5" customHeight="1" x14ac:dyDescent="0.25">
      <c r="A90" s="21" t="s">
        <v>530</v>
      </c>
      <c r="B90" s="27" t="s">
        <v>300</v>
      </c>
      <c r="C90" s="29" t="s">
        <v>338</v>
      </c>
      <c r="D90" s="30" t="s">
        <v>110</v>
      </c>
      <c r="E90" s="29" t="s">
        <v>97</v>
      </c>
      <c r="F90" s="30" t="s">
        <v>302</v>
      </c>
      <c r="G90" s="30">
        <v>0.23100000000000001</v>
      </c>
      <c r="H90" s="30">
        <v>0.11550000000000001</v>
      </c>
      <c r="I90" s="41" t="s">
        <v>85</v>
      </c>
      <c r="J90" s="41" t="s">
        <v>85</v>
      </c>
      <c r="K90" s="53">
        <f>VLOOKUP(B90,Tabelle1!$A$1:$C$351,2,FALSE)</f>
        <v>0.319838489432613</v>
      </c>
      <c r="L90" s="53">
        <f>VLOOKUP(B90,Tabelle1!$A$1:$C$351,3,FALSE)</f>
        <v>0.127348341410986</v>
      </c>
      <c r="M90" s="29" t="s">
        <v>729</v>
      </c>
      <c r="N90" s="29" t="s">
        <v>773</v>
      </c>
      <c r="O90" s="29" t="s">
        <v>128</v>
      </c>
      <c r="P90" s="29" t="s">
        <v>679</v>
      </c>
      <c r="Q90" s="29" t="s">
        <v>677</v>
      </c>
      <c r="R90" s="27" t="s">
        <v>550</v>
      </c>
      <c r="U90" s="21" t="s">
        <v>178</v>
      </c>
    </row>
    <row r="91" spans="1:21" s="19" customFormat="1" ht="16.5" customHeight="1" x14ac:dyDescent="0.25">
      <c r="A91" s="17" t="s">
        <v>586</v>
      </c>
      <c r="B91" s="8" t="s">
        <v>307</v>
      </c>
      <c r="C91" s="16" t="s">
        <v>338</v>
      </c>
      <c r="D91" s="17" t="s">
        <v>85</v>
      </c>
      <c r="E91" s="16" t="s">
        <v>101</v>
      </c>
      <c r="F91" s="16" t="s">
        <v>551</v>
      </c>
      <c r="G91" s="17">
        <v>1</v>
      </c>
      <c r="H91" s="17">
        <v>0.25</v>
      </c>
      <c r="I91" s="17">
        <v>0.01</v>
      </c>
      <c r="J91" s="17">
        <v>1.99</v>
      </c>
      <c r="K91" s="17">
        <f>VLOOKUP(B91,Tabelle1!$A$1:$C$351,2,FALSE)</f>
        <v>0.97983733906042803</v>
      </c>
      <c r="L91" s="17">
        <f>VLOOKUP(B91,Tabelle1!$A$1:$C$351,3,FALSE)</f>
        <v>0.23754924631131399</v>
      </c>
      <c r="M91" s="16" t="s">
        <v>548</v>
      </c>
      <c r="N91" s="35" t="s">
        <v>85</v>
      </c>
      <c r="O91" s="35" t="s">
        <v>85</v>
      </c>
      <c r="P91" s="35" t="s">
        <v>85</v>
      </c>
      <c r="Q91" s="35" t="s">
        <v>85</v>
      </c>
      <c r="R91" s="17" t="s">
        <v>550</v>
      </c>
      <c r="S91" s="35" t="s">
        <v>85</v>
      </c>
      <c r="T91" s="35" t="s">
        <v>85</v>
      </c>
      <c r="U91" s="19" t="s">
        <v>91</v>
      </c>
    </row>
    <row r="92" spans="1:21" s="19" customFormat="1" ht="16.5" customHeight="1" x14ac:dyDescent="0.25">
      <c r="A92" s="17" t="s">
        <v>586</v>
      </c>
      <c r="B92" s="8" t="s">
        <v>309</v>
      </c>
      <c r="C92" s="16" t="s">
        <v>338</v>
      </c>
      <c r="D92" s="17" t="s">
        <v>85</v>
      </c>
      <c r="E92" s="16" t="s">
        <v>101</v>
      </c>
      <c r="F92" s="16" t="s">
        <v>551</v>
      </c>
      <c r="G92" s="17">
        <v>1</v>
      </c>
      <c r="H92" s="17">
        <v>0.25</v>
      </c>
      <c r="I92" s="17">
        <v>0.01</v>
      </c>
      <c r="J92" s="17">
        <v>1.99</v>
      </c>
      <c r="K92" s="17">
        <f>VLOOKUP(B92,Tabelle1!$A$1:$C$351,2,FALSE)</f>
        <v>0.99437378181903302</v>
      </c>
      <c r="L92" s="17">
        <f>VLOOKUP(B92,Tabelle1!$A$1:$C$351,3,FALSE)</f>
        <v>0.22736757244181199</v>
      </c>
      <c r="M92" s="16" t="s">
        <v>548</v>
      </c>
      <c r="N92" s="35" t="s">
        <v>85</v>
      </c>
      <c r="O92" s="35" t="s">
        <v>85</v>
      </c>
      <c r="P92" s="35" t="s">
        <v>85</v>
      </c>
      <c r="Q92" s="35" t="s">
        <v>85</v>
      </c>
      <c r="R92" s="17" t="s">
        <v>550</v>
      </c>
      <c r="S92" s="35" t="s">
        <v>85</v>
      </c>
      <c r="T92" s="35" t="s">
        <v>85</v>
      </c>
      <c r="U92" s="19" t="s">
        <v>91</v>
      </c>
    </row>
    <row r="93" spans="1:21" s="21" customFormat="1" ht="16.5" customHeight="1" x14ac:dyDescent="0.25">
      <c r="A93" s="30" t="s">
        <v>586</v>
      </c>
      <c r="B93" s="27" t="s">
        <v>308</v>
      </c>
      <c r="C93" s="29" t="s">
        <v>338</v>
      </c>
      <c r="D93" s="30" t="s">
        <v>85</v>
      </c>
      <c r="E93" s="29" t="s">
        <v>101</v>
      </c>
      <c r="F93" s="29" t="s">
        <v>551</v>
      </c>
      <c r="G93" s="30">
        <v>1</v>
      </c>
      <c r="H93" s="30">
        <v>0.25</v>
      </c>
      <c r="I93" s="30">
        <v>0.01</v>
      </c>
      <c r="J93" s="30">
        <v>1.99</v>
      </c>
      <c r="K93" s="30">
        <f>VLOOKUP(B93,Tabelle1!$A$1:$C$351,2,FALSE)</f>
        <v>0.99367069296225696</v>
      </c>
      <c r="L93" s="30">
        <f>VLOOKUP(B93,Tabelle1!$A$1:$C$351,3,FALSE)</f>
        <v>0.25590191386923999</v>
      </c>
      <c r="M93" s="29" t="s">
        <v>548</v>
      </c>
      <c r="N93" s="41" t="s">
        <v>85</v>
      </c>
      <c r="O93" s="41" t="s">
        <v>85</v>
      </c>
      <c r="P93" s="41" t="s">
        <v>85</v>
      </c>
      <c r="Q93" s="41" t="s">
        <v>85</v>
      </c>
      <c r="R93" s="30" t="s">
        <v>550</v>
      </c>
      <c r="S93" s="41" t="s">
        <v>85</v>
      </c>
      <c r="T93" s="41" t="s">
        <v>85</v>
      </c>
      <c r="U93" s="21" t="s">
        <v>91</v>
      </c>
    </row>
    <row r="94" spans="1:21" s="19" customFormat="1" ht="16.5" customHeight="1" x14ac:dyDescent="0.25">
      <c r="A94" s="17" t="s">
        <v>587</v>
      </c>
      <c r="B94" s="8" t="s">
        <v>634</v>
      </c>
      <c r="C94" s="16" t="s">
        <v>338</v>
      </c>
      <c r="D94" s="17" t="s">
        <v>85</v>
      </c>
      <c r="E94" s="16" t="s">
        <v>104</v>
      </c>
      <c r="F94" s="17" t="s">
        <v>302</v>
      </c>
      <c r="G94" s="17">
        <v>0.5</v>
      </c>
      <c r="H94" s="17">
        <v>0.25</v>
      </c>
      <c r="I94" s="46" t="s">
        <v>85</v>
      </c>
      <c r="J94" s="46" t="s">
        <v>85</v>
      </c>
      <c r="K94" s="17">
        <f>VLOOKUP(B94,Tabelle1!$A$1:$C$351,2,FALSE)</f>
        <v>0.51213019446623498</v>
      </c>
      <c r="L94" s="17">
        <f>VLOOKUP(B94,Tabelle1!$A$1:$C$351,3,FALSE)</f>
        <v>0.25387969434041602</v>
      </c>
      <c r="M94" s="16" t="s">
        <v>548</v>
      </c>
      <c r="N94" s="20" t="s">
        <v>85</v>
      </c>
      <c r="O94" s="20" t="s">
        <v>85</v>
      </c>
      <c r="P94" s="20" t="s">
        <v>85</v>
      </c>
      <c r="Q94" s="20" t="s">
        <v>85</v>
      </c>
      <c r="R94" s="17" t="s">
        <v>550</v>
      </c>
      <c r="S94" s="20" t="s">
        <v>85</v>
      </c>
      <c r="T94" s="20" t="s">
        <v>85</v>
      </c>
      <c r="U94" s="16" t="s">
        <v>91</v>
      </c>
    </row>
    <row r="95" spans="1:21" s="19" customFormat="1" ht="16.5" customHeight="1" x14ac:dyDescent="0.25">
      <c r="A95" s="17" t="s">
        <v>587</v>
      </c>
      <c r="B95" s="8" t="s">
        <v>635</v>
      </c>
      <c r="C95" s="16" t="s">
        <v>338</v>
      </c>
      <c r="D95" s="17" t="s">
        <v>85</v>
      </c>
      <c r="E95" s="16" t="s">
        <v>104</v>
      </c>
      <c r="F95" s="17" t="s">
        <v>302</v>
      </c>
      <c r="G95" s="17">
        <v>0.5</v>
      </c>
      <c r="H95" s="17">
        <v>0.25</v>
      </c>
      <c r="I95" s="46" t="s">
        <v>85</v>
      </c>
      <c r="J95" s="46" t="s">
        <v>85</v>
      </c>
      <c r="K95" s="17">
        <f>VLOOKUP(B95,Tabelle1!$A$1:$C$351,2,FALSE)</f>
        <v>0.49799197493657599</v>
      </c>
      <c r="L95" s="17">
        <f>VLOOKUP(B95,Tabelle1!$A$1:$C$351,3,FALSE)</f>
        <v>0.25869137885070498</v>
      </c>
      <c r="M95" s="16" t="s">
        <v>548</v>
      </c>
      <c r="N95" s="20" t="s">
        <v>85</v>
      </c>
      <c r="O95" s="20" t="s">
        <v>85</v>
      </c>
      <c r="P95" s="20" t="s">
        <v>85</v>
      </c>
      <c r="Q95" s="20" t="s">
        <v>85</v>
      </c>
      <c r="R95" s="17" t="s">
        <v>550</v>
      </c>
      <c r="S95" s="20" t="s">
        <v>85</v>
      </c>
      <c r="T95" s="20" t="s">
        <v>85</v>
      </c>
      <c r="U95" s="8" t="s">
        <v>91</v>
      </c>
    </row>
    <row r="96" spans="1:21" s="21" customFormat="1" ht="16.5" customHeight="1" x14ac:dyDescent="0.25">
      <c r="A96" s="30" t="s">
        <v>587</v>
      </c>
      <c r="B96" s="27" t="s">
        <v>636</v>
      </c>
      <c r="C96" s="29" t="s">
        <v>338</v>
      </c>
      <c r="D96" s="30" t="s">
        <v>85</v>
      </c>
      <c r="E96" s="29" t="s">
        <v>104</v>
      </c>
      <c r="F96" s="30" t="s">
        <v>302</v>
      </c>
      <c r="G96" s="30">
        <v>0.5</v>
      </c>
      <c r="H96" s="30">
        <v>0.25</v>
      </c>
      <c r="I96" s="47" t="s">
        <v>85</v>
      </c>
      <c r="J96" s="47" t="s">
        <v>85</v>
      </c>
      <c r="K96" s="30">
        <f>VLOOKUP(B96,Tabelle1!$A$1:$C$351,2,FALSE)</f>
        <v>0.490897118571054</v>
      </c>
      <c r="L96" s="30">
        <f>VLOOKUP(B96,Tabelle1!$A$1:$C$351,3,FALSE)</f>
        <v>0.23682864185750399</v>
      </c>
      <c r="M96" s="29" t="s">
        <v>548</v>
      </c>
      <c r="N96" s="22" t="s">
        <v>85</v>
      </c>
      <c r="O96" s="22" t="s">
        <v>85</v>
      </c>
      <c r="P96" s="22" t="s">
        <v>85</v>
      </c>
      <c r="Q96" s="22" t="s">
        <v>85</v>
      </c>
      <c r="R96" s="30" t="s">
        <v>550</v>
      </c>
      <c r="S96" s="22" t="s">
        <v>85</v>
      </c>
      <c r="T96" s="22" t="s">
        <v>85</v>
      </c>
      <c r="U96" s="29" t="s">
        <v>91</v>
      </c>
    </row>
    <row r="97" spans="1:21" s="19" customFormat="1" ht="16.5" customHeight="1" x14ac:dyDescent="0.25">
      <c r="A97" s="17" t="s">
        <v>588</v>
      </c>
      <c r="B97" s="8" t="s">
        <v>637</v>
      </c>
      <c r="C97" s="16" t="s">
        <v>338</v>
      </c>
      <c r="D97" s="17" t="s">
        <v>85</v>
      </c>
      <c r="E97" s="16" t="s">
        <v>103</v>
      </c>
      <c r="F97" s="16" t="s">
        <v>551</v>
      </c>
      <c r="G97" s="17">
        <v>1</v>
      </c>
      <c r="H97" s="17">
        <v>0.25</v>
      </c>
      <c r="I97" s="17">
        <v>0.01</v>
      </c>
      <c r="J97" s="17">
        <v>1.99</v>
      </c>
      <c r="K97" s="17">
        <f>VLOOKUP(B97,Tabelle1!$A$1:$C$351,2,FALSE)</f>
        <v>1.0144877987071701</v>
      </c>
      <c r="L97" s="17">
        <f>VLOOKUP(B97,Tabelle1!$A$1:$C$351,3,FALSE)</f>
        <v>0.244792460162611</v>
      </c>
      <c r="M97" s="16" t="s">
        <v>548</v>
      </c>
      <c r="N97" s="20" t="s">
        <v>85</v>
      </c>
      <c r="O97" s="20" t="s">
        <v>85</v>
      </c>
      <c r="P97" s="20" t="s">
        <v>85</v>
      </c>
      <c r="Q97" s="20" t="s">
        <v>85</v>
      </c>
      <c r="R97" s="17" t="s">
        <v>550</v>
      </c>
      <c r="S97" s="20" t="s">
        <v>85</v>
      </c>
      <c r="T97" s="20" t="s">
        <v>85</v>
      </c>
      <c r="U97" s="19" t="s">
        <v>91</v>
      </c>
    </row>
    <row r="98" spans="1:21" s="19" customFormat="1" ht="16.5" customHeight="1" x14ac:dyDescent="0.25">
      <c r="A98" s="17" t="s">
        <v>588</v>
      </c>
      <c r="B98" s="8" t="s">
        <v>638</v>
      </c>
      <c r="C98" s="16" t="s">
        <v>338</v>
      </c>
      <c r="D98" s="17" t="s">
        <v>85</v>
      </c>
      <c r="E98" s="16" t="s">
        <v>103</v>
      </c>
      <c r="F98" s="16" t="s">
        <v>551</v>
      </c>
      <c r="G98" s="17">
        <v>1</v>
      </c>
      <c r="H98" s="17">
        <v>0.25</v>
      </c>
      <c r="I98" s="17">
        <v>0.01</v>
      </c>
      <c r="J98" s="17">
        <v>1.99</v>
      </c>
      <c r="K98" s="17">
        <f>VLOOKUP(B98,Tabelle1!$A$1:$C$351,2,FALSE)</f>
        <v>1.0160217380362899</v>
      </c>
      <c r="L98" s="17">
        <f>VLOOKUP(B98,Tabelle1!$A$1:$C$351,3,FALSE)</f>
        <v>0.233285014549488</v>
      </c>
      <c r="M98" s="16" t="s">
        <v>548</v>
      </c>
      <c r="N98" s="20" t="s">
        <v>85</v>
      </c>
      <c r="O98" s="20" t="s">
        <v>85</v>
      </c>
      <c r="P98" s="20" t="s">
        <v>85</v>
      </c>
      <c r="Q98" s="20" t="s">
        <v>85</v>
      </c>
      <c r="R98" s="17" t="s">
        <v>550</v>
      </c>
      <c r="S98" s="20" t="s">
        <v>85</v>
      </c>
      <c r="T98" s="20" t="s">
        <v>85</v>
      </c>
      <c r="U98" s="19" t="s">
        <v>91</v>
      </c>
    </row>
    <row r="99" spans="1:21" s="21" customFormat="1" ht="16.5" customHeight="1" x14ac:dyDescent="0.25">
      <c r="A99" s="30" t="s">
        <v>588</v>
      </c>
      <c r="B99" s="27" t="s">
        <v>639</v>
      </c>
      <c r="C99" s="29" t="s">
        <v>338</v>
      </c>
      <c r="D99" s="30" t="s">
        <v>85</v>
      </c>
      <c r="E99" s="29" t="s">
        <v>103</v>
      </c>
      <c r="F99" s="29" t="s">
        <v>551</v>
      </c>
      <c r="G99" s="30">
        <v>1</v>
      </c>
      <c r="H99" s="30">
        <v>0.25</v>
      </c>
      <c r="I99" s="30">
        <v>0.01</v>
      </c>
      <c r="J99" s="30">
        <v>1.99</v>
      </c>
      <c r="K99" s="30">
        <f>VLOOKUP(B99,Tabelle1!$A$1:$C$351,2,FALSE)</f>
        <v>0.99984721842789703</v>
      </c>
      <c r="L99" s="30">
        <f>VLOOKUP(B99,Tabelle1!$A$1:$C$351,3,FALSE)</f>
        <v>0.25500109028449203</v>
      </c>
      <c r="M99" s="29" t="s">
        <v>548</v>
      </c>
      <c r="N99" s="22" t="s">
        <v>85</v>
      </c>
      <c r="O99" s="22" t="s">
        <v>85</v>
      </c>
      <c r="P99" s="22" t="s">
        <v>85</v>
      </c>
      <c r="Q99" s="22" t="s">
        <v>85</v>
      </c>
      <c r="R99" s="30" t="s">
        <v>550</v>
      </c>
      <c r="S99" s="22" t="s">
        <v>85</v>
      </c>
      <c r="T99" s="22" t="s">
        <v>85</v>
      </c>
      <c r="U99" s="21" t="s">
        <v>91</v>
      </c>
    </row>
    <row r="100" spans="1:21" s="19" customFormat="1" ht="16.5" customHeight="1" x14ac:dyDescent="0.25">
      <c r="A100" s="17" t="s">
        <v>626</v>
      </c>
      <c r="B100" s="8" t="s">
        <v>314</v>
      </c>
      <c r="C100" s="16" t="s">
        <v>338</v>
      </c>
      <c r="D100" s="17" t="s">
        <v>589</v>
      </c>
      <c r="E100" s="16" t="s">
        <v>105</v>
      </c>
      <c r="F100" s="17" t="s">
        <v>302</v>
      </c>
      <c r="G100" s="17">
        <v>40</v>
      </c>
      <c r="H100" s="17">
        <v>40</v>
      </c>
      <c r="I100" s="46" t="s">
        <v>85</v>
      </c>
      <c r="J100" s="46" t="s">
        <v>85</v>
      </c>
      <c r="K100" s="17">
        <f>VLOOKUP(B100,Tabelle1!$A$1:$C$351,2,FALSE)</f>
        <v>35.053580553924697</v>
      </c>
      <c r="L100" s="17">
        <f>VLOOKUP(B100,Tabelle1!$A$1:$C$351,3,FALSE)</f>
        <v>33.6736436122954</v>
      </c>
      <c r="M100" s="19" t="s">
        <v>644</v>
      </c>
      <c r="N100" s="20" t="s">
        <v>85</v>
      </c>
      <c r="O100" s="20" t="s">
        <v>85</v>
      </c>
      <c r="P100" s="20" t="s">
        <v>85</v>
      </c>
      <c r="Q100" s="20" t="s">
        <v>85</v>
      </c>
      <c r="R100" s="8" t="s">
        <v>550</v>
      </c>
      <c r="S100" s="20" t="s">
        <v>85</v>
      </c>
      <c r="T100" s="20" t="s">
        <v>85</v>
      </c>
      <c r="U100" s="19" t="s">
        <v>91</v>
      </c>
    </row>
    <row r="101" spans="1:21" s="19" customFormat="1" ht="16.5" customHeight="1" x14ac:dyDescent="0.25">
      <c r="A101" s="17" t="s">
        <v>626</v>
      </c>
      <c r="B101" s="8" t="s">
        <v>316</v>
      </c>
      <c r="C101" s="16" t="s">
        <v>338</v>
      </c>
      <c r="D101" s="17" t="s">
        <v>589</v>
      </c>
      <c r="E101" s="16" t="s">
        <v>105</v>
      </c>
      <c r="F101" s="17" t="s">
        <v>302</v>
      </c>
      <c r="G101" s="17">
        <v>40</v>
      </c>
      <c r="H101" s="17">
        <v>40</v>
      </c>
      <c r="I101" s="46" t="s">
        <v>85</v>
      </c>
      <c r="J101" s="46" t="s">
        <v>85</v>
      </c>
      <c r="K101" s="17">
        <f>VLOOKUP(B101,Tabelle1!$A$1:$C$351,2,FALSE)</f>
        <v>37.040624283282703</v>
      </c>
      <c r="L101" s="17">
        <f>VLOOKUP(B101,Tabelle1!$A$1:$C$351,3,FALSE)</f>
        <v>31.786574915302701</v>
      </c>
      <c r="M101" s="19" t="s">
        <v>644</v>
      </c>
      <c r="N101" s="20" t="s">
        <v>85</v>
      </c>
      <c r="O101" s="20" t="s">
        <v>85</v>
      </c>
      <c r="P101" s="20" t="s">
        <v>85</v>
      </c>
      <c r="Q101" s="20" t="s">
        <v>85</v>
      </c>
      <c r="R101" s="8" t="s">
        <v>550</v>
      </c>
      <c r="S101" s="20" t="s">
        <v>85</v>
      </c>
      <c r="T101" s="20" t="s">
        <v>85</v>
      </c>
      <c r="U101" s="19" t="s">
        <v>91</v>
      </c>
    </row>
    <row r="102" spans="1:21" s="21" customFormat="1" ht="16.5" customHeight="1" x14ac:dyDescent="0.25">
      <c r="A102" s="30" t="s">
        <v>626</v>
      </c>
      <c r="B102" s="27" t="s">
        <v>315</v>
      </c>
      <c r="C102" s="29" t="s">
        <v>338</v>
      </c>
      <c r="D102" s="30" t="s">
        <v>589</v>
      </c>
      <c r="E102" s="29" t="s">
        <v>105</v>
      </c>
      <c r="F102" s="30" t="s">
        <v>302</v>
      </c>
      <c r="G102" s="30">
        <v>40</v>
      </c>
      <c r="H102" s="30">
        <v>40</v>
      </c>
      <c r="I102" s="47" t="s">
        <v>85</v>
      </c>
      <c r="J102" s="47" t="s">
        <v>85</v>
      </c>
      <c r="K102" s="30">
        <f>VLOOKUP(B102,Tabelle1!$A$1:$C$351,2,FALSE)</f>
        <v>41.219145574825298</v>
      </c>
      <c r="L102" s="30">
        <f>VLOOKUP(B102,Tabelle1!$A$1:$C$351,3,FALSE)</f>
        <v>37.755200189837502</v>
      </c>
      <c r="M102" s="21" t="s">
        <v>644</v>
      </c>
      <c r="N102" s="22" t="s">
        <v>85</v>
      </c>
      <c r="O102" s="22" t="s">
        <v>85</v>
      </c>
      <c r="P102" s="22" t="s">
        <v>85</v>
      </c>
      <c r="Q102" s="22" t="s">
        <v>85</v>
      </c>
      <c r="R102" s="27" t="s">
        <v>550</v>
      </c>
      <c r="S102" s="22" t="s">
        <v>85</v>
      </c>
      <c r="T102" s="22" t="s">
        <v>85</v>
      </c>
      <c r="U102" s="21" t="s">
        <v>91</v>
      </c>
    </row>
    <row r="103" spans="1:21" s="19" customFormat="1" ht="16.5" customHeight="1" x14ac:dyDescent="0.25">
      <c r="A103" s="17" t="s">
        <v>590</v>
      </c>
      <c r="B103" s="8" t="s">
        <v>575</v>
      </c>
      <c r="C103" s="16" t="s">
        <v>338</v>
      </c>
      <c r="D103" s="17" t="s">
        <v>85</v>
      </c>
      <c r="E103" s="16" t="s">
        <v>102</v>
      </c>
      <c r="F103" s="17" t="s">
        <v>302</v>
      </c>
      <c r="G103" s="17">
        <v>5</v>
      </c>
      <c r="H103" s="17">
        <v>2.5</v>
      </c>
      <c r="I103" s="35" t="s">
        <v>85</v>
      </c>
      <c r="J103" s="35" t="s">
        <v>85</v>
      </c>
      <c r="K103" s="52">
        <f>VLOOKUP(B103,Tabelle1!$A$1:$C$351,2,FALSE)</f>
        <v>5.2659196026254396</v>
      </c>
      <c r="L103" s="52">
        <f>VLOOKUP(B103,Tabelle1!$A$1:$C$351,3,FALSE)</f>
        <v>2.7385040825285398</v>
      </c>
      <c r="M103" s="16" t="s">
        <v>731</v>
      </c>
      <c r="N103" s="16"/>
      <c r="O103" s="16"/>
      <c r="P103" s="20"/>
      <c r="Q103" s="16" t="s">
        <v>677</v>
      </c>
      <c r="R103" s="17" t="s">
        <v>550</v>
      </c>
      <c r="S103" s="16"/>
      <c r="T103" s="16"/>
      <c r="U103" s="16" t="s">
        <v>178</v>
      </c>
    </row>
    <row r="104" spans="1:21" s="19" customFormat="1" ht="16.5" customHeight="1" x14ac:dyDescent="0.25">
      <c r="A104" s="17" t="s">
        <v>590</v>
      </c>
      <c r="B104" s="8" t="s">
        <v>577</v>
      </c>
      <c r="C104" s="16" t="s">
        <v>338</v>
      </c>
      <c r="D104" s="17" t="s">
        <v>85</v>
      </c>
      <c r="E104" s="16" t="s">
        <v>102</v>
      </c>
      <c r="F104" s="17" t="s">
        <v>302</v>
      </c>
      <c r="G104" s="17">
        <v>5</v>
      </c>
      <c r="H104" s="17">
        <v>2.5</v>
      </c>
      <c r="I104" s="35" t="s">
        <v>85</v>
      </c>
      <c r="J104" s="35" t="s">
        <v>85</v>
      </c>
      <c r="K104" s="52">
        <f>VLOOKUP(B104,Tabelle1!$A$1:$C$351,2,FALSE)</f>
        <v>5.14105869030218</v>
      </c>
      <c r="L104" s="52">
        <f>VLOOKUP(B104,Tabelle1!$A$1:$C$351,3,FALSE)</f>
        <v>2.7002420002013099</v>
      </c>
      <c r="M104" s="16" t="s">
        <v>731</v>
      </c>
      <c r="N104" s="16"/>
      <c r="O104" s="16"/>
      <c r="P104" s="20"/>
      <c r="Q104" s="16" t="s">
        <v>677</v>
      </c>
      <c r="R104" s="17" t="s">
        <v>550</v>
      </c>
      <c r="S104" s="16"/>
      <c r="T104" s="16"/>
      <c r="U104" s="16" t="s">
        <v>178</v>
      </c>
    </row>
    <row r="105" spans="1:21" s="21" customFormat="1" ht="16.5" customHeight="1" x14ac:dyDescent="0.25">
      <c r="A105" s="30" t="s">
        <v>590</v>
      </c>
      <c r="B105" s="27" t="s">
        <v>576</v>
      </c>
      <c r="C105" s="29" t="s">
        <v>338</v>
      </c>
      <c r="D105" s="30" t="s">
        <v>85</v>
      </c>
      <c r="E105" s="29" t="s">
        <v>102</v>
      </c>
      <c r="F105" s="30" t="s">
        <v>302</v>
      </c>
      <c r="G105" s="30">
        <v>5</v>
      </c>
      <c r="H105" s="30">
        <v>2.5</v>
      </c>
      <c r="I105" s="41" t="s">
        <v>85</v>
      </c>
      <c r="J105" s="41" t="s">
        <v>85</v>
      </c>
      <c r="K105" s="53">
        <f>VLOOKUP(B105,Tabelle1!$A$1:$C$351,2,FALSE)</f>
        <v>5.0952556899972397</v>
      </c>
      <c r="L105" s="53">
        <f>VLOOKUP(B105,Tabelle1!$A$1:$C$351,3,FALSE)</f>
        <v>2.6316899208634799</v>
      </c>
      <c r="M105" s="29" t="s">
        <v>731</v>
      </c>
      <c r="N105" s="29"/>
      <c r="O105" s="29"/>
      <c r="P105" s="22"/>
      <c r="Q105" s="29" t="s">
        <v>677</v>
      </c>
      <c r="R105" s="30" t="s">
        <v>550</v>
      </c>
      <c r="S105" s="29"/>
      <c r="T105" s="29"/>
      <c r="U105" s="29" t="s">
        <v>178</v>
      </c>
    </row>
    <row r="106" spans="1:21" s="16" customFormat="1" ht="16.5" customHeight="1" x14ac:dyDescent="0.25">
      <c r="A106" s="17" t="s">
        <v>614</v>
      </c>
      <c r="B106" s="19" t="s">
        <v>594</v>
      </c>
      <c r="C106" s="16" t="s">
        <v>338</v>
      </c>
      <c r="D106" s="17" t="s">
        <v>85</v>
      </c>
      <c r="E106" s="16" t="s">
        <v>573</v>
      </c>
      <c r="F106" s="17" t="s">
        <v>302</v>
      </c>
      <c r="G106" s="17">
        <v>1</v>
      </c>
      <c r="H106" s="17">
        <v>0.25</v>
      </c>
      <c r="I106" s="46" t="s">
        <v>85</v>
      </c>
      <c r="J106" s="46" t="s">
        <v>85</v>
      </c>
      <c r="K106" s="17">
        <f>VLOOKUP(B106,Tabelle1!$A$1:$C$351,2,FALSE)</f>
        <v>1.0049779019657099</v>
      </c>
      <c r="L106" s="17">
        <f>VLOOKUP(B106,Tabelle1!$A$1:$C$351,3,FALSE)</f>
        <v>0.20503561765852199</v>
      </c>
      <c r="M106" s="16" t="s">
        <v>548</v>
      </c>
      <c r="N106" s="20" t="s">
        <v>85</v>
      </c>
      <c r="O106" s="20" t="s">
        <v>85</v>
      </c>
      <c r="P106" s="20" t="s">
        <v>85</v>
      </c>
      <c r="Q106" s="20" t="s">
        <v>85</v>
      </c>
      <c r="R106" s="17" t="s">
        <v>550</v>
      </c>
      <c r="S106" s="20" t="s">
        <v>85</v>
      </c>
      <c r="T106" s="20" t="s">
        <v>85</v>
      </c>
      <c r="U106" s="19" t="s">
        <v>91</v>
      </c>
    </row>
    <row r="107" spans="1:21" s="16" customFormat="1" ht="16.5" customHeight="1" x14ac:dyDescent="0.25">
      <c r="A107" s="17" t="s">
        <v>614</v>
      </c>
      <c r="B107" s="19" t="s">
        <v>595</v>
      </c>
      <c r="C107" s="16" t="s">
        <v>338</v>
      </c>
      <c r="D107" s="17" t="s">
        <v>85</v>
      </c>
      <c r="E107" s="16" t="s">
        <v>573</v>
      </c>
      <c r="F107" s="17" t="s">
        <v>302</v>
      </c>
      <c r="G107" s="17">
        <v>1</v>
      </c>
      <c r="H107" s="17">
        <v>0.25</v>
      </c>
      <c r="I107" s="46" t="s">
        <v>85</v>
      </c>
      <c r="J107" s="46" t="s">
        <v>85</v>
      </c>
      <c r="K107" s="17">
        <f>VLOOKUP(B107,Tabelle1!$A$1:$C$351,2,FALSE)</f>
        <v>1.0058470728894899</v>
      </c>
      <c r="L107" s="17">
        <f>VLOOKUP(B107,Tabelle1!$A$1:$C$351,3,FALSE)</f>
        <v>0.18635975066535301</v>
      </c>
      <c r="M107" s="16" t="s">
        <v>548</v>
      </c>
      <c r="N107" s="20" t="s">
        <v>85</v>
      </c>
      <c r="O107" s="20" t="s">
        <v>85</v>
      </c>
      <c r="P107" s="20" t="s">
        <v>85</v>
      </c>
      <c r="Q107" s="20" t="s">
        <v>85</v>
      </c>
      <c r="R107" s="17" t="s">
        <v>550</v>
      </c>
      <c r="S107" s="20" t="s">
        <v>85</v>
      </c>
      <c r="T107" s="20" t="s">
        <v>85</v>
      </c>
      <c r="U107" s="19" t="s">
        <v>91</v>
      </c>
    </row>
    <row r="108" spans="1:21" s="29" customFormat="1" ht="16.5" customHeight="1" x14ac:dyDescent="0.25">
      <c r="A108" s="30" t="s">
        <v>614</v>
      </c>
      <c r="B108" s="21" t="s">
        <v>596</v>
      </c>
      <c r="C108" s="29" t="s">
        <v>338</v>
      </c>
      <c r="D108" s="30" t="s">
        <v>85</v>
      </c>
      <c r="E108" s="29" t="s">
        <v>573</v>
      </c>
      <c r="F108" s="30" t="s">
        <v>302</v>
      </c>
      <c r="G108" s="30">
        <v>1</v>
      </c>
      <c r="H108" s="30">
        <v>0.25</v>
      </c>
      <c r="I108" s="47" t="s">
        <v>85</v>
      </c>
      <c r="J108" s="47" t="s">
        <v>85</v>
      </c>
      <c r="K108" s="30">
        <f>VLOOKUP(B108,Tabelle1!$A$1:$C$351,2,FALSE)</f>
        <v>1.0047822049863</v>
      </c>
      <c r="L108" s="30">
        <f>VLOOKUP(B108,Tabelle1!$A$1:$C$351,3,FALSE)</f>
        <v>0.214913287505439</v>
      </c>
      <c r="M108" s="29" t="s">
        <v>548</v>
      </c>
      <c r="N108" s="22" t="s">
        <v>85</v>
      </c>
      <c r="O108" s="22" t="s">
        <v>85</v>
      </c>
      <c r="P108" s="22" t="s">
        <v>85</v>
      </c>
      <c r="Q108" s="22" t="s">
        <v>85</v>
      </c>
      <c r="R108" s="30" t="s">
        <v>550</v>
      </c>
      <c r="S108" s="22" t="s">
        <v>85</v>
      </c>
      <c r="T108" s="22" t="s">
        <v>85</v>
      </c>
      <c r="U108" s="21" t="s">
        <v>91</v>
      </c>
    </row>
    <row r="109" spans="1:21" s="16" customFormat="1" ht="16.5" customHeight="1" x14ac:dyDescent="0.25">
      <c r="A109" s="19" t="s">
        <v>293</v>
      </c>
      <c r="B109" s="8" t="s">
        <v>290</v>
      </c>
      <c r="C109" s="19" t="s">
        <v>338</v>
      </c>
      <c r="D109" s="19" t="s">
        <v>591</v>
      </c>
      <c r="E109" s="33" t="s">
        <v>294</v>
      </c>
      <c r="F109" s="17" t="s">
        <v>302</v>
      </c>
      <c r="G109" s="8">
        <v>261</v>
      </c>
      <c r="H109" s="8">
        <v>261</v>
      </c>
      <c r="I109" s="35" t="s">
        <v>85</v>
      </c>
      <c r="J109" s="35" t="s">
        <v>85</v>
      </c>
      <c r="K109" s="51">
        <f>VLOOKUP(B109,Tabelle1!$A$1:$C$351,2,FALSE)</f>
        <v>281.15750311752902</v>
      </c>
      <c r="L109" s="51">
        <f>VLOOKUP(B109,Tabelle1!$A$1:$C$351,3,FALSE)</f>
        <v>290.48006044424602</v>
      </c>
      <c r="M109" s="19" t="s">
        <v>749</v>
      </c>
      <c r="N109" s="20" t="s">
        <v>85</v>
      </c>
      <c r="O109" s="20" t="s">
        <v>85</v>
      </c>
      <c r="P109" s="16" t="s">
        <v>750</v>
      </c>
      <c r="Q109" s="20" t="s">
        <v>85</v>
      </c>
      <c r="R109" s="8" t="s">
        <v>550</v>
      </c>
      <c r="S109" s="19" t="s">
        <v>738</v>
      </c>
      <c r="T109" s="19"/>
      <c r="U109" s="19" t="s">
        <v>748</v>
      </c>
    </row>
    <row r="110" spans="1:21" s="16" customFormat="1" ht="16.5" customHeight="1" x14ac:dyDescent="0.25">
      <c r="A110" s="19" t="s">
        <v>293</v>
      </c>
      <c r="B110" s="8" t="s">
        <v>292</v>
      </c>
      <c r="C110" s="19" t="s">
        <v>338</v>
      </c>
      <c r="D110" s="19" t="s">
        <v>591</v>
      </c>
      <c r="E110" s="33" t="s">
        <v>294</v>
      </c>
      <c r="F110" s="17" t="s">
        <v>302</v>
      </c>
      <c r="G110" s="8">
        <v>261</v>
      </c>
      <c r="H110" s="8">
        <v>261</v>
      </c>
      <c r="I110" s="35" t="s">
        <v>85</v>
      </c>
      <c r="J110" s="35" t="s">
        <v>85</v>
      </c>
      <c r="K110" s="51">
        <f>VLOOKUP(B110,Tabelle1!$A$1:$C$351,2,FALSE)</f>
        <v>277.165977551639</v>
      </c>
      <c r="L110" s="51">
        <f>VLOOKUP(B110,Tabelle1!$A$1:$C$351,3,FALSE)</f>
        <v>343.07217176718899</v>
      </c>
      <c r="M110" s="19" t="s">
        <v>749</v>
      </c>
      <c r="N110" s="20" t="s">
        <v>85</v>
      </c>
      <c r="O110" s="20" t="s">
        <v>85</v>
      </c>
      <c r="P110" s="16" t="s">
        <v>750</v>
      </c>
      <c r="Q110" s="20" t="s">
        <v>85</v>
      </c>
      <c r="R110" s="8" t="s">
        <v>550</v>
      </c>
      <c r="S110" s="19" t="s">
        <v>738</v>
      </c>
      <c r="T110" s="19"/>
      <c r="U110" s="19" t="s">
        <v>748</v>
      </c>
    </row>
    <row r="111" spans="1:21" s="27" customFormat="1" ht="16.5" customHeight="1" x14ac:dyDescent="0.25">
      <c r="A111" s="21" t="s">
        <v>293</v>
      </c>
      <c r="B111" s="27" t="s">
        <v>291</v>
      </c>
      <c r="C111" s="21" t="s">
        <v>338</v>
      </c>
      <c r="D111" s="21" t="s">
        <v>591</v>
      </c>
      <c r="E111" s="34" t="s">
        <v>294</v>
      </c>
      <c r="F111" s="30" t="s">
        <v>302</v>
      </c>
      <c r="G111" s="27">
        <v>261</v>
      </c>
      <c r="H111" s="27">
        <v>261</v>
      </c>
      <c r="I111" s="41" t="s">
        <v>85</v>
      </c>
      <c r="J111" s="41" t="s">
        <v>85</v>
      </c>
      <c r="K111" s="54">
        <f>VLOOKUP(B111,Tabelle1!$A$1:$C$351,2,FALSE)</f>
        <v>260.52282137392598</v>
      </c>
      <c r="L111" s="54">
        <f>VLOOKUP(B111,Tabelle1!$A$1:$C$351,3,FALSE)</f>
        <v>245.71758168947099</v>
      </c>
      <c r="M111" s="21" t="s">
        <v>749</v>
      </c>
      <c r="N111" s="22" t="s">
        <v>85</v>
      </c>
      <c r="O111" s="22" t="s">
        <v>85</v>
      </c>
      <c r="P111" s="27" t="s">
        <v>750</v>
      </c>
      <c r="Q111" s="22" t="s">
        <v>85</v>
      </c>
      <c r="R111" s="27" t="s">
        <v>550</v>
      </c>
      <c r="S111" s="21" t="s">
        <v>738</v>
      </c>
      <c r="T111" s="21"/>
      <c r="U111" s="19" t="s">
        <v>748</v>
      </c>
    </row>
    <row r="112" spans="1:21" s="16" customFormat="1" ht="16.5" customHeight="1" x14ac:dyDescent="0.25">
      <c r="A112" s="17" t="s">
        <v>592</v>
      </c>
      <c r="B112" s="8" t="s">
        <v>578</v>
      </c>
      <c r="C112" s="16" t="s">
        <v>338</v>
      </c>
      <c r="D112" s="17" t="s">
        <v>112</v>
      </c>
      <c r="E112" s="16" t="s">
        <v>106</v>
      </c>
      <c r="F112" s="17" t="s">
        <v>302</v>
      </c>
      <c r="G112" s="17">
        <v>7.4999999999999997E-2</v>
      </c>
      <c r="H112" s="17">
        <v>1.8749999999999999E-2</v>
      </c>
      <c r="I112" s="35" t="s">
        <v>85</v>
      </c>
      <c r="J112" s="35" t="s">
        <v>85</v>
      </c>
      <c r="K112" s="52">
        <f>VLOOKUP(B112,Tabelle1!$A$1:$C$351,2,FALSE)</f>
        <v>7.5539913327929503E-2</v>
      </c>
      <c r="L112" s="52">
        <f>VLOOKUP(B112,Tabelle1!$A$1:$C$351,3,FALSE)</f>
        <v>1.85194875666258E-2</v>
      </c>
      <c r="M112" s="16" t="s">
        <v>736</v>
      </c>
      <c r="Q112" s="16" t="s">
        <v>677</v>
      </c>
      <c r="R112" s="17" t="s">
        <v>550</v>
      </c>
      <c r="U112" s="16" t="s">
        <v>178</v>
      </c>
    </row>
    <row r="113" spans="1:21" s="16" customFormat="1" ht="16.5" customHeight="1" x14ac:dyDescent="0.25">
      <c r="A113" s="17" t="s">
        <v>592</v>
      </c>
      <c r="B113" s="8" t="s">
        <v>580</v>
      </c>
      <c r="C113" s="16" t="s">
        <v>338</v>
      </c>
      <c r="D113" s="17" t="s">
        <v>112</v>
      </c>
      <c r="E113" s="16" t="s">
        <v>106</v>
      </c>
      <c r="F113" s="17" t="s">
        <v>302</v>
      </c>
      <c r="G113" s="17">
        <v>7.4999999999999997E-2</v>
      </c>
      <c r="H113" s="17">
        <v>1.8749999999999999E-2</v>
      </c>
      <c r="I113" s="35" t="s">
        <v>85</v>
      </c>
      <c r="J113" s="35" t="s">
        <v>85</v>
      </c>
      <c r="K113" s="52">
        <f>VLOOKUP(B113,Tabelle1!$A$1:$C$351,2,FALSE)</f>
        <v>7.3400326471794203E-2</v>
      </c>
      <c r="L113" s="52">
        <f>VLOOKUP(B113,Tabelle1!$A$1:$C$351,3,FALSE)</f>
        <v>1.8179182727062902E-2</v>
      </c>
      <c r="M113" s="16" t="s">
        <v>736</v>
      </c>
      <c r="Q113" s="16" t="s">
        <v>677</v>
      </c>
      <c r="R113" s="17" t="s">
        <v>550</v>
      </c>
      <c r="U113" s="16" t="s">
        <v>178</v>
      </c>
    </row>
    <row r="114" spans="1:21" s="29" customFormat="1" ht="16.5" customHeight="1" x14ac:dyDescent="0.25">
      <c r="A114" s="30" t="s">
        <v>592</v>
      </c>
      <c r="B114" s="27" t="s">
        <v>579</v>
      </c>
      <c r="C114" s="29" t="s">
        <v>338</v>
      </c>
      <c r="D114" s="30" t="s">
        <v>112</v>
      </c>
      <c r="E114" s="29" t="s">
        <v>106</v>
      </c>
      <c r="F114" s="30" t="s">
        <v>302</v>
      </c>
      <c r="G114" s="30">
        <v>7.4999999999999997E-2</v>
      </c>
      <c r="H114" s="30">
        <v>1.8749999999999999E-2</v>
      </c>
      <c r="I114" s="41" t="s">
        <v>85</v>
      </c>
      <c r="J114" s="41" t="s">
        <v>85</v>
      </c>
      <c r="K114" s="53">
        <f>VLOOKUP(B114,Tabelle1!$A$1:$C$351,2,FALSE)</f>
        <v>7.5575678400005994E-2</v>
      </c>
      <c r="L114" s="53">
        <f>VLOOKUP(B114,Tabelle1!$A$1:$C$351,3,FALSE)</f>
        <v>1.9734241662711101E-2</v>
      </c>
      <c r="M114" s="29" t="s">
        <v>736</v>
      </c>
      <c r="Q114" s="29" t="s">
        <v>677</v>
      </c>
      <c r="R114" s="30" t="s">
        <v>550</v>
      </c>
      <c r="U114" s="29" t="s">
        <v>178</v>
      </c>
    </row>
    <row r="115" spans="1:21" s="16" customFormat="1" ht="16.5" customHeight="1" x14ac:dyDescent="0.25">
      <c r="A115" s="17" t="s">
        <v>593</v>
      </c>
      <c r="B115" s="8" t="s">
        <v>581</v>
      </c>
      <c r="C115" s="16" t="s">
        <v>338</v>
      </c>
      <c r="D115" s="17" t="s">
        <v>113</v>
      </c>
      <c r="E115" s="16" t="s">
        <v>107</v>
      </c>
      <c r="F115" s="17" t="s">
        <v>302</v>
      </c>
      <c r="G115" s="17">
        <v>0.01</v>
      </c>
      <c r="H115" s="17">
        <v>2.5000000000000001E-3</v>
      </c>
      <c r="I115" s="35" t="s">
        <v>85</v>
      </c>
      <c r="J115" s="35" t="s">
        <v>85</v>
      </c>
      <c r="K115" s="52">
        <f>VLOOKUP(B115,Tabelle1!$A$1:$C$351,2,FALSE)</f>
        <v>9.7908006660011801E-3</v>
      </c>
      <c r="L115" s="52">
        <f>VLOOKUP(B115,Tabelle1!$A$1:$C$351,3,FALSE)</f>
        <v>2.2439532686325098E-3</v>
      </c>
      <c r="M115" s="16" t="s">
        <v>736</v>
      </c>
      <c r="Q115" s="16" t="s">
        <v>677</v>
      </c>
      <c r="R115" s="17" t="s">
        <v>550</v>
      </c>
      <c r="U115" s="16" t="s">
        <v>178</v>
      </c>
    </row>
    <row r="116" spans="1:21" ht="16.5" customHeight="1" x14ac:dyDescent="0.25">
      <c r="A116" s="17" t="s">
        <v>593</v>
      </c>
      <c r="B116" s="8" t="s">
        <v>583</v>
      </c>
      <c r="C116" s="16" t="s">
        <v>338</v>
      </c>
      <c r="D116" s="17" t="s">
        <v>113</v>
      </c>
      <c r="E116" s="16" t="s">
        <v>107</v>
      </c>
      <c r="F116" s="17" t="s">
        <v>302</v>
      </c>
      <c r="G116" s="17">
        <v>0.01</v>
      </c>
      <c r="H116" s="17">
        <v>2.5000000000000001E-3</v>
      </c>
      <c r="I116" s="35" t="s">
        <v>85</v>
      </c>
      <c r="J116" s="35" t="s">
        <v>85</v>
      </c>
      <c r="K116" s="52">
        <f>VLOOKUP(B116,Tabelle1!$A$1:$C$351,2,FALSE)</f>
        <v>1.00926729151953E-2</v>
      </c>
      <c r="L116" s="52">
        <f>VLOOKUP(B116,Tabelle1!$A$1:$C$351,3,FALSE)</f>
        <v>2.7880243804147601E-3</v>
      </c>
      <c r="M116" s="16" t="s">
        <v>736</v>
      </c>
      <c r="N116" s="16"/>
      <c r="O116" s="16"/>
      <c r="P116" s="16"/>
      <c r="Q116" s="16" t="s">
        <v>677</v>
      </c>
      <c r="R116" s="17" t="s">
        <v>550</v>
      </c>
      <c r="S116" s="16"/>
      <c r="T116" s="16"/>
      <c r="U116" s="16" t="s">
        <v>178</v>
      </c>
    </row>
    <row r="117" spans="1:21" s="29" customFormat="1" ht="16.5" customHeight="1" x14ac:dyDescent="0.25">
      <c r="A117" s="30" t="s">
        <v>593</v>
      </c>
      <c r="B117" s="27" t="s">
        <v>582</v>
      </c>
      <c r="C117" s="29" t="s">
        <v>338</v>
      </c>
      <c r="D117" s="30" t="s">
        <v>113</v>
      </c>
      <c r="E117" s="29" t="s">
        <v>107</v>
      </c>
      <c r="F117" s="30" t="s">
        <v>302</v>
      </c>
      <c r="G117" s="30">
        <v>0.01</v>
      </c>
      <c r="H117" s="30">
        <v>2.5000000000000001E-3</v>
      </c>
      <c r="I117" s="41" t="s">
        <v>85</v>
      </c>
      <c r="J117" s="41" t="s">
        <v>85</v>
      </c>
      <c r="K117" s="53">
        <f>VLOOKUP(B117,Tabelle1!$A$1:$C$351,2,FALSE)</f>
        <v>1.0143240252929101E-2</v>
      </c>
      <c r="L117" s="53">
        <f>VLOOKUP(B117,Tabelle1!$A$1:$C$351,3,FALSE)</f>
        <v>2.5130965730620599E-3</v>
      </c>
      <c r="M117" s="29" t="s">
        <v>736</v>
      </c>
      <c r="Q117" s="29" t="s">
        <v>677</v>
      </c>
      <c r="R117" s="30" t="s">
        <v>550</v>
      </c>
      <c r="S117" s="27"/>
      <c r="T117" s="27"/>
      <c r="U117" s="27" t="s">
        <v>178</v>
      </c>
    </row>
    <row r="118" spans="1:21" s="19" customFormat="1" ht="16.5" customHeight="1" x14ac:dyDescent="0.25">
      <c r="A118" s="24" t="s">
        <v>91</v>
      </c>
      <c r="B118" s="19" t="s">
        <v>252</v>
      </c>
      <c r="C118" s="19" t="s">
        <v>338</v>
      </c>
      <c r="D118" s="19" t="s">
        <v>161</v>
      </c>
      <c r="E118" s="19" t="s">
        <v>95</v>
      </c>
      <c r="F118" s="24" t="s">
        <v>247</v>
      </c>
      <c r="G118" s="31">
        <v>9.9999999999999995E-8</v>
      </c>
      <c r="I118" s="49" t="s">
        <v>85</v>
      </c>
      <c r="J118" s="49" t="s">
        <v>85</v>
      </c>
      <c r="K118" s="49" t="s">
        <v>85</v>
      </c>
      <c r="L118" s="49" t="s">
        <v>85</v>
      </c>
      <c r="M118" s="18" t="s">
        <v>220</v>
      </c>
      <c r="N118" s="11"/>
      <c r="O118" s="11"/>
      <c r="P118" s="11"/>
      <c r="Q118" s="64" t="s">
        <v>775</v>
      </c>
      <c r="R118" s="24" t="s">
        <v>549</v>
      </c>
      <c r="S118" s="11"/>
      <c r="T118" s="11"/>
      <c r="U118" s="19" t="s">
        <v>178</v>
      </c>
    </row>
    <row r="119" spans="1:21" s="19" customFormat="1" ht="16.5" customHeight="1" x14ac:dyDescent="0.25">
      <c r="A119" s="24" t="s">
        <v>91</v>
      </c>
      <c r="B119" s="19" t="s">
        <v>254</v>
      </c>
      <c r="C119" s="19" t="s">
        <v>338</v>
      </c>
      <c r="D119" s="19" t="s">
        <v>161</v>
      </c>
      <c r="E119" s="19" t="s">
        <v>95</v>
      </c>
      <c r="F119" s="24" t="s">
        <v>247</v>
      </c>
      <c r="G119" s="31">
        <v>9.9999999999999995E-8</v>
      </c>
      <c r="I119" s="49" t="s">
        <v>85</v>
      </c>
      <c r="J119" s="49" t="s">
        <v>85</v>
      </c>
      <c r="K119" s="49" t="s">
        <v>85</v>
      </c>
      <c r="L119" s="49" t="s">
        <v>85</v>
      </c>
      <c r="M119" s="18" t="s">
        <v>220</v>
      </c>
      <c r="N119" s="11"/>
      <c r="O119" s="11"/>
      <c r="P119" s="11"/>
      <c r="Q119" s="18" t="s">
        <v>775</v>
      </c>
      <c r="R119" s="24" t="s">
        <v>549</v>
      </c>
      <c r="S119" s="11"/>
      <c r="T119" s="11"/>
      <c r="U119" s="19" t="s">
        <v>178</v>
      </c>
    </row>
    <row r="120" spans="1:21" s="21" customFormat="1" ht="16.5" customHeight="1" x14ac:dyDescent="0.25">
      <c r="A120" s="26" t="s">
        <v>91</v>
      </c>
      <c r="B120" s="21" t="s">
        <v>253</v>
      </c>
      <c r="C120" s="21" t="s">
        <v>338</v>
      </c>
      <c r="D120" s="21" t="s">
        <v>161</v>
      </c>
      <c r="E120" s="21" t="s">
        <v>95</v>
      </c>
      <c r="F120" s="26" t="s">
        <v>247</v>
      </c>
      <c r="G120" s="32">
        <v>9.9999999999999995E-8</v>
      </c>
      <c r="I120" s="50" t="s">
        <v>85</v>
      </c>
      <c r="J120" s="50" t="s">
        <v>85</v>
      </c>
      <c r="K120" s="50" t="s">
        <v>85</v>
      </c>
      <c r="L120" s="50" t="s">
        <v>85</v>
      </c>
      <c r="M120" s="23" t="s">
        <v>220</v>
      </c>
      <c r="N120" s="10"/>
      <c r="O120" s="10"/>
      <c r="P120" s="10"/>
      <c r="Q120" s="23" t="s">
        <v>775</v>
      </c>
      <c r="R120" s="26" t="s">
        <v>549</v>
      </c>
      <c r="S120" s="10"/>
      <c r="T120" s="10"/>
      <c r="U120" s="21" t="s">
        <v>178</v>
      </c>
    </row>
    <row r="121" spans="1:21" s="6" customFormat="1" ht="16.5" customHeight="1" x14ac:dyDescent="0.25">
      <c r="A121" s="6" t="s">
        <v>318</v>
      </c>
      <c r="U121" s="6" t="s">
        <v>178</v>
      </c>
    </row>
    <row r="122" spans="1:21" s="16" customFormat="1" ht="16.5" customHeight="1" x14ac:dyDescent="0.25">
      <c r="A122" s="17" t="s">
        <v>94</v>
      </c>
      <c r="B122" s="16" t="s">
        <v>132</v>
      </c>
      <c r="C122" s="16" t="s">
        <v>338</v>
      </c>
      <c r="D122" s="16" t="s">
        <v>85</v>
      </c>
      <c r="E122" s="16" t="s">
        <v>99</v>
      </c>
      <c r="F122" s="17" t="s">
        <v>302</v>
      </c>
      <c r="G122" s="16">
        <v>0.69499999999999995</v>
      </c>
      <c r="H122" s="16">
        <v>7.0000000000000001E-3</v>
      </c>
      <c r="I122" s="35" t="s">
        <v>85</v>
      </c>
      <c r="J122" s="35" t="s">
        <v>85</v>
      </c>
      <c r="K122" s="55">
        <f>VLOOKUP(B122,Tabelle1!$A$1:$C$351,2,FALSE)</f>
        <v>0.69712102850933599</v>
      </c>
      <c r="L122" s="55">
        <f>VLOOKUP(B122,Tabelle1!$A$1:$C$351,3,FALSE)</f>
        <v>7.1303222807803804E-3</v>
      </c>
      <c r="M122" s="16" t="s">
        <v>732</v>
      </c>
      <c r="Q122" s="16" t="s">
        <v>677</v>
      </c>
      <c r="R122" s="16" t="s">
        <v>550</v>
      </c>
      <c r="U122" s="16" t="s">
        <v>178</v>
      </c>
    </row>
    <row r="123" spans="1:21" s="16" customFormat="1" ht="16.5" customHeight="1" x14ac:dyDescent="0.25">
      <c r="A123" s="17" t="s">
        <v>93</v>
      </c>
      <c r="B123" s="16" t="s">
        <v>131</v>
      </c>
      <c r="C123" s="16" t="s">
        <v>338</v>
      </c>
      <c r="D123" s="16" t="s">
        <v>110</v>
      </c>
      <c r="E123" s="16" t="s">
        <v>97</v>
      </c>
      <c r="F123" s="17" t="s">
        <v>302</v>
      </c>
      <c r="G123" s="16">
        <v>0.69</v>
      </c>
      <c r="H123" s="16">
        <v>0.01</v>
      </c>
      <c r="I123" s="35" t="s">
        <v>85</v>
      </c>
      <c r="J123" s="35" t="s">
        <v>85</v>
      </c>
      <c r="K123" s="55">
        <f>VLOOKUP(B123,Tabelle1!$A$1:$C$351,2,FALSE)</f>
        <v>0.70672224918829096</v>
      </c>
      <c r="L123" s="55">
        <f>VLOOKUP(B123,Tabelle1!$A$1:$C$351,3,FALSE)</f>
        <v>1.0139977832401999E-2</v>
      </c>
      <c r="M123" s="16" t="s">
        <v>732</v>
      </c>
      <c r="Q123" s="16" t="s">
        <v>677</v>
      </c>
      <c r="R123" s="16" t="s">
        <v>550</v>
      </c>
      <c r="U123" s="16" t="s">
        <v>178</v>
      </c>
    </row>
    <row r="124" spans="1:21" s="29" customFormat="1" ht="16.5" customHeight="1" x14ac:dyDescent="0.25">
      <c r="A124" s="30" t="s">
        <v>92</v>
      </c>
      <c r="B124" s="29" t="s">
        <v>150</v>
      </c>
      <c r="C124" s="29" t="s">
        <v>338</v>
      </c>
      <c r="D124" s="29" t="s">
        <v>84</v>
      </c>
      <c r="E124" s="29" t="s">
        <v>96</v>
      </c>
      <c r="F124" s="30" t="s">
        <v>302</v>
      </c>
      <c r="G124" s="29">
        <v>22000</v>
      </c>
      <c r="H124" s="29">
        <v>2200</v>
      </c>
      <c r="I124" s="41" t="s">
        <v>85</v>
      </c>
      <c r="J124" s="41" t="s">
        <v>85</v>
      </c>
      <c r="K124" s="60">
        <f>VLOOKUP(B124,Tabelle1!$A$1:$C$351,2,FALSE)</f>
        <v>22847.810866594398</v>
      </c>
      <c r="L124" s="60">
        <f>VLOOKUP(B124,Tabelle1!$A$1:$C$351,3,FALSE)</f>
        <v>2477.30755621342</v>
      </c>
      <c r="M124" s="30" t="s">
        <v>733</v>
      </c>
      <c r="N124" s="29" t="s">
        <v>119</v>
      </c>
      <c r="O124" s="29" t="s">
        <v>120</v>
      </c>
      <c r="Q124" s="29" t="s">
        <v>677</v>
      </c>
      <c r="R124" s="29" t="s">
        <v>550</v>
      </c>
      <c r="U124" s="29" t="s">
        <v>178</v>
      </c>
    </row>
    <row r="125" spans="1:21" s="16" customFormat="1" ht="16.5" customHeight="1" x14ac:dyDescent="0.25">
      <c r="A125" s="17" t="s">
        <v>615</v>
      </c>
      <c r="B125" s="19" t="s">
        <v>137</v>
      </c>
      <c r="C125" s="16" t="s">
        <v>338</v>
      </c>
      <c r="D125" s="16" t="s">
        <v>85</v>
      </c>
      <c r="E125" s="16" t="s">
        <v>115</v>
      </c>
      <c r="F125" s="16" t="s">
        <v>247</v>
      </c>
      <c r="G125" s="16">
        <v>5</v>
      </c>
      <c r="I125" s="49" t="s">
        <v>85</v>
      </c>
      <c r="J125" s="49" t="s">
        <v>85</v>
      </c>
      <c r="K125" s="49" t="s">
        <v>85</v>
      </c>
      <c r="L125" s="49" t="s">
        <v>85</v>
      </c>
      <c r="M125" s="16" t="s">
        <v>90</v>
      </c>
      <c r="R125" s="16" t="s">
        <v>549</v>
      </c>
      <c r="U125" s="16" t="s">
        <v>91</v>
      </c>
    </row>
    <row r="126" spans="1:21" s="16" customFormat="1" ht="16.5" customHeight="1" x14ac:dyDescent="0.25">
      <c r="A126" s="17" t="s">
        <v>587</v>
      </c>
      <c r="B126" s="19" t="s">
        <v>136</v>
      </c>
      <c r="C126" s="16" t="s">
        <v>338</v>
      </c>
      <c r="D126" s="16" t="s">
        <v>85</v>
      </c>
      <c r="E126" s="16" t="s">
        <v>116</v>
      </c>
      <c r="F126" s="17" t="s">
        <v>302</v>
      </c>
      <c r="G126" s="16">
        <v>0.7</v>
      </c>
      <c r="H126" s="16">
        <v>7.0000000000000007E-2</v>
      </c>
      <c r="I126" s="46" t="s">
        <v>85</v>
      </c>
      <c r="J126" s="46" t="s">
        <v>85</v>
      </c>
      <c r="K126" s="16">
        <f>VLOOKUP(B126,Tabelle1!$A$1:$C$351,2,FALSE)</f>
        <v>0.59340901995455397</v>
      </c>
      <c r="L126" s="16">
        <f>VLOOKUP(B126,Tabelle1!$A$1:$C$351,3,FALSE)</f>
        <v>0.47404312161910001</v>
      </c>
      <c r="M126" s="16" t="s">
        <v>548</v>
      </c>
      <c r="N126" s="35" t="s">
        <v>85</v>
      </c>
      <c r="O126" s="35" t="s">
        <v>85</v>
      </c>
      <c r="P126" s="35" t="s">
        <v>85</v>
      </c>
      <c r="Q126" s="35" t="s">
        <v>85</v>
      </c>
      <c r="R126" s="16" t="s">
        <v>550</v>
      </c>
      <c r="S126" s="35" t="s">
        <v>85</v>
      </c>
      <c r="T126" s="35" t="s">
        <v>85</v>
      </c>
      <c r="U126" s="16" t="s">
        <v>91</v>
      </c>
    </row>
    <row r="127" spans="1:21" s="16" customFormat="1" ht="16.5" customHeight="1" x14ac:dyDescent="0.25">
      <c r="A127" s="17" t="s">
        <v>616</v>
      </c>
      <c r="B127" s="16" t="s">
        <v>138</v>
      </c>
      <c r="C127" s="16" t="s">
        <v>338</v>
      </c>
      <c r="D127" s="16" t="s">
        <v>85</v>
      </c>
      <c r="E127" s="16" t="s">
        <v>117</v>
      </c>
      <c r="F127" s="17" t="s">
        <v>302</v>
      </c>
      <c r="G127" s="16">
        <v>0.2</v>
      </c>
      <c r="H127" s="16">
        <v>6.0000000000000001E-3</v>
      </c>
      <c r="I127" s="46" t="s">
        <v>85</v>
      </c>
      <c r="J127" s="46" t="s">
        <v>85</v>
      </c>
      <c r="K127" s="16">
        <f>VLOOKUP(B127,Tabelle1!$A$1:$C$351,2,FALSE)</f>
        <v>0.19949126879550799</v>
      </c>
      <c r="L127" s="16">
        <f>VLOOKUP(B127,Tabelle1!$A$1:$C$351,3,FALSE)</f>
        <v>5.3786959155283304E-3</v>
      </c>
      <c r="M127" s="19" t="s">
        <v>644</v>
      </c>
      <c r="N127" s="35" t="s">
        <v>85</v>
      </c>
      <c r="O127" s="35" t="s">
        <v>85</v>
      </c>
      <c r="P127" s="35" t="s">
        <v>85</v>
      </c>
      <c r="Q127" s="35" t="s">
        <v>85</v>
      </c>
      <c r="R127" s="16" t="s">
        <v>550</v>
      </c>
      <c r="S127" s="35" t="s">
        <v>85</v>
      </c>
      <c r="T127" s="35" t="s">
        <v>85</v>
      </c>
      <c r="U127" s="16" t="s">
        <v>91</v>
      </c>
    </row>
    <row r="128" spans="1:21" s="16" customFormat="1" ht="16.5" customHeight="1" x14ac:dyDescent="0.25">
      <c r="A128" s="17" t="s">
        <v>617</v>
      </c>
      <c r="B128" s="16" t="s">
        <v>139</v>
      </c>
      <c r="C128" s="16" t="s">
        <v>338</v>
      </c>
      <c r="D128" s="16" t="s">
        <v>85</v>
      </c>
      <c r="E128" s="16" t="s">
        <v>118</v>
      </c>
      <c r="F128" s="17" t="s">
        <v>302</v>
      </c>
      <c r="G128" s="16">
        <v>0.1</v>
      </c>
      <c r="H128" s="16">
        <v>3.0000000000000001E-3</v>
      </c>
      <c r="I128" s="46" t="s">
        <v>85</v>
      </c>
      <c r="J128" s="46" t="s">
        <v>85</v>
      </c>
      <c r="K128" s="16">
        <f>VLOOKUP(B128,Tabelle1!$A$1:$C$351,2,FALSE)</f>
        <v>9.9825164947507095E-2</v>
      </c>
      <c r="L128" s="16">
        <f>VLOOKUP(B128,Tabelle1!$A$1:$C$351,3,FALSE)</f>
        <v>2.9409875809674199E-3</v>
      </c>
      <c r="M128" s="19" t="s">
        <v>644</v>
      </c>
      <c r="N128" s="35" t="s">
        <v>85</v>
      </c>
      <c r="O128" s="35" t="s">
        <v>85</v>
      </c>
      <c r="P128" s="35" t="s">
        <v>85</v>
      </c>
      <c r="Q128" s="35" t="s">
        <v>85</v>
      </c>
      <c r="R128" s="16" t="s">
        <v>550</v>
      </c>
      <c r="S128" s="35" t="s">
        <v>85</v>
      </c>
      <c r="T128" s="35" t="s">
        <v>85</v>
      </c>
      <c r="U128" s="16" t="s">
        <v>91</v>
      </c>
    </row>
    <row r="129" spans="1:21" s="16" customFormat="1" ht="16.5" customHeight="1" x14ac:dyDescent="0.25">
      <c r="A129" s="17" t="s">
        <v>618</v>
      </c>
      <c r="B129" s="19" t="s">
        <v>135</v>
      </c>
      <c r="C129" s="16" t="s">
        <v>338</v>
      </c>
      <c r="D129" s="16" t="s">
        <v>85</v>
      </c>
      <c r="E129" s="16" t="s">
        <v>100</v>
      </c>
      <c r="F129" s="17" t="s">
        <v>302</v>
      </c>
      <c r="G129" s="16">
        <v>2.5</v>
      </c>
      <c r="H129" s="16">
        <v>0.25</v>
      </c>
      <c r="I129" s="46" t="s">
        <v>85</v>
      </c>
      <c r="J129" s="46" t="s">
        <v>85</v>
      </c>
      <c r="K129" s="16">
        <f>VLOOKUP(B129,Tabelle1!$A$1:$C$351,2,FALSE)</f>
        <v>2.10451166227775</v>
      </c>
      <c r="L129" s="16">
        <f>VLOOKUP(B129,Tabelle1!$A$1:$C$351,3,FALSE)</f>
        <v>0.85189692084660495</v>
      </c>
      <c r="M129" s="16" t="s">
        <v>548</v>
      </c>
      <c r="N129" s="35" t="s">
        <v>85</v>
      </c>
      <c r="O129" s="35" t="s">
        <v>85</v>
      </c>
      <c r="P129" s="35" t="s">
        <v>85</v>
      </c>
      <c r="Q129" s="35" t="s">
        <v>85</v>
      </c>
      <c r="R129" s="16" t="s">
        <v>550</v>
      </c>
      <c r="S129" s="35" t="s">
        <v>85</v>
      </c>
      <c r="T129" s="35" t="s">
        <v>85</v>
      </c>
      <c r="U129" s="16" t="s">
        <v>91</v>
      </c>
    </row>
    <row r="130" spans="1:21" s="29" customFormat="1" ht="16.5" customHeight="1" x14ac:dyDescent="0.25">
      <c r="A130" s="30" t="s">
        <v>613</v>
      </c>
      <c r="B130" s="29" t="s">
        <v>133</v>
      </c>
      <c r="C130" s="29" t="s">
        <v>338</v>
      </c>
      <c r="D130" s="29" t="s">
        <v>111</v>
      </c>
      <c r="E130" s="29" t="s">
        <v>98</v>
      </c>
      <c r="F130" s="30" t="s">
        <v>302</v>
      </c>
      <c r="G130" s="61">
        <v>1.1E+16</v>
      </c>
      <c r="H130" s="61">
        <v>4920000000000000</v>
      </c>
      <c r="I130" s="41" t="s">
        <v>85</v>
      </c>
      <c r="J130" s="41" t="s">
        <v>85</v>
      </c>
      <c r="K130" s="60">
        <f>VLOOKUP(B130,Tabelle1!$A$1:$C$351,2,FALSE)</f>
        <v>5247729521501960</v>
      </c>
      <c r="L130" s="60">
        <f>VLOOKUP(B130,Tabelle1!$A$1:$C$351,3,FALSE)</f>
        <v>1704648769167990</v>
      </c>
      <c r="M130" s="29" t="s">
        <v>732</v>
      </c>
      <c r="Q130" s="29" t="s">
        <v>677</v>
      </c>
      <c r="R130" s="29" t="s">
        <v>550</v>
      </c>
      <c r="U130" s="29" t="s">
        <v>178</v>
      </c>
    </row>
    <row r="131" spans="1:21" s="16" customFormat="1" ht="16.5" customHeight="1" x14ac:dyDescent="0.25">
      <c r="A131" s="24" t="s">
        <v>619</v>
      </c>
      <c r="B131" s="16" t="s">
        <v>151</v>
      </c>
      <c r="C131" s="16" t="s">
        <v>338</v>
      </c>
      <c r="D131" s="16" t="s">
        <v>156</v>
      </c>
      <c r="E131" s="24" t="s">
        <v>201</v>
      </c>
      <c r="F131" s="16" t="s">
        <v>247</v>
      </c>
      <c r="G131" s="16">
        <v>0.36</v>
      </c>
      <c r="I131" s="49" t="s">
        <v>85</v>
      </c>
      <c r="J131" s="49" t="s">
        <v>85</v>
      </c>
      <c r="K131" s="49" t="s">
        <v>85</v>
      </c>
      <c r="L131" s="49" t="s">
        <v>85</v>
      </c>
      <c r="M131" s="19" t="s">
        <v>728</v>
      </c>
      <c r="N131" s="11"/>
      <c r="O131" s="11"/>
      <c r="P131" s="18" t="s">
        <v>679</v>
      </c>
      <c r="Q131" s="18" t="s">
        <v>775</v>
      </c>
      <c r="R131" s="17" t="s">
        <v>549</v>
      </c>
      <c r="S131" s="11"/>
      <c r="T131" s="11"/>
      <c r="U131" s="16" t="s">
        <v>178</v>
      </c>
    </row>
    <row r="132" spans="1:21" s="16" customFormat="1" ht="16.5" customHeight="1" x14ac:dyDescent="0.25">
      <c r="A132" s="24" t="s">
        <v>620</v>
      </c>
      <c r="B132" s="16" t="s">
        <v>153</v>
      </c>
      <c r="C132" s="16" t="s">
        <v>338</v>
      </c>
      <c r="D132" s="16" t="s">
        <v>158</v>
      </c>
      <c r="E132" s="24" t="s">
        <v>203</v>
      </c>
      <c r="F132" s="16" t="s">
        <v>247</v>
      </c>
      <c r="G132" s="16">
        <v>7.0000000000000007E-2</v>
      </c>
      <c r="I132" s="49" t="s">
        <v>85</v>
      </c>
      <c r="J132" s="49" t="s">
        <v>85</v>
      </c>
      <c r="K132" s="49" t="s">
        <v>85</v>
      </c>
      <c r="L132" s="49" t="s">
        <v>85</v>
      </c>
      <c r="M132" s="19" t="s">
        <v>728</v>
      </c>
      <c r="N132" s="11"/>
      <c r="O132" s="11"/>
      <c r="P132" s="18" t="s">
        <v>679</v>
      </c>
      <c r="Q132" s="18" t="s">
        <v>775</v>
      </c>
      <c r="R132" s="17" t="s">
        <v>549</v>
      </c>
      <c r="S132" s="11"/>
      <c r="T132" s="11"/>
      <c r="U132" s="16" t="s">
        <v>178</v>
      </c>
    </row>
    <row r="133" spans="1:21" s="16" customFormat="1" ht="16.5" customHeight="1" x14ac:dyDescent="0.25">
      <c r="A133" s="24" t="s">
        <v>621</v>
      </c>
      <c r="B133" s="16" t="s">
        <v>154</v>
      </c>
      <c r="C133" s="16" t="s">
        <v>338</v>
      </c>
      <c r="D133" s="16" t="s">
        <v>159</v>
      </c>
      <c r="E133" s="24" t="s">
        <v>204</v>
      </c>
      <c r="F133" s="16" t="s">
        <v>247</v>
      </c>
      <c r="G133" s="16">
        <v>0.06</v>
      </c>
      <c r="I133" s="49" t="s">
        <v>85</v>
      </c>
      <c r="J133" s="49" t="s">
        <v>85</v>
      </c>
      <c r="K133" s="49" t="s">
        <v>85</v>
      </c>
      <c r="L133" s="49" t="s">
        <v>85</v>
      </c>
      <c r="M133" s="19" t="s">
        <v>728</v>
      </c>
      <c r="N133" s="11"/>
      <c r="O133" s="11"/>
      <c r="P133" s="18" t="s">
        <v>679</v>
      </c>
      <c r="Q133" s="18" t="s">
        <v>775</v>
      </c>
      <c r="R133" s="17" t="s">
        <v>549</v>
      </c>
      <c r="S133" s="11"/>
      <c r="T133" s="11"/>
      <c r="U133" s="16" t="s">
        <v>178</v>
      </c>
    </row>
    <row r="134" spans="1:21" s="16" customFormat="1" ht="16.5" customHeight="1" x14ac:dyDescent="0.25">
      <c r="A134" s="24" t="s">
        <v>622</v>
      </c>
      <c r="B134" s="16" t="s">
        <v>152</v>
      </c>
      <c r="C134" s="16" t="s">
        <v>338</v>
      </c>
      <c r="D134" s="16" t="s">
        <v>157</v>
      </c>
      <c r="E134" s="24" t="s">
        <v>202</v>
      </c>
      <c r="F134" s="16" t="s">
        <v>247</v>
      </c>
      <c r="G134" s="16">
        <v>0.5</v>
      </c>
      <c r="I134" s="49" t="s">
        <v>85</v>
      </c>
      <c r="J134" s="49" t="s">
        <v>85</v>
      </c>
      <c r="K134" s="49" t="s">
        <v>85</v>
      </c>
      <c r="L134" s="49" t="s">
        <v>85</v>
      </c>
      <c r="M134" s="19" t="s">
        <v>728</v>
      </c>
      <c r="N134" s="11"/>
      <c r="O134" s="11"/>
      <c r="P134" s="18" t="s">
        <v>679</v>
      </c>
      <c r="Q134" s="18" t="s">
        <v>775</v>
      </c>
      <c r="R134" s="17" t="s">
        <v>549</v>
      </c>
      <c r="S134" s="11"/>
      <c r="T134" s="11"/>
      <c r="U134" s="16" t="s">
        <v>178</v>
      </c>
    </row>
    <row r="135" spans="1:21" s="29" customFormat="1" ht="16.5" customHeight="1" x14ac:dyDescent="0.25">
      <c r="A135" s="26" t="s">
        <v>623</v>
      </c>
      <c r="B135" s="29" t="s">
        <v>155</v>
      </c>
      <c r="C135" s="29" t="s">
        <v>338</v>
      </c>
      <c r="D135" s="29" t="s">
        <v>160</v>
      </c>
      <c r="E135" s="26" t="s">
        <v>205</v>
      </c>
      <c r="F135" s="29" t="s">
        <v>247</v>
      </c>
      <c r="G135" s="29">
        <v>0.01</v>
      </c>
      <c r="I135" s="50" t="s">
        <v>85</v>
      </c>
      <c r="J135" s="50" t="s">
        <v>85</v>
      </c>
      <c r="K135" s="50" t="s">
        <v>85</v>
      </c>
      <c r="L135" s="50" t="s">
        <v>85</v>
      </c>
      <c r="M135" s="21" t="s">
        <v>728</v>
      </c>
      <c r="N135" s="10"/>
      <c r="O135" s="10"/>
      <c r="P135" s="23" t="s">
        <v>679</v>
      </c>
      <c r="Q135" s="23" t="s">
        <v>775</v>
      </c>
      <c r="R135" s="30" t="s">
        <v>549</v>
      </c>
      <c r="S135" s="10"/>
      <c r="T135" s="10"/>
      <c r="U135" s="29" t="s">
        <v>178</v>
      </c>
    </row>
    <row r="136" spans="1:21" s="16" customFormat="1" ht="16.5" customHeight="1" x14ac:dyDescent="0.25">
      <c r="A136" s="17" t="s">
        <v>632</v>
      </c>
      <c r="B136" s="39" t="s">
        <v>535</v>
      </c>
      <c r="C136" s="40" t="s">
        <v>631</v>
      </c>
      <c r="D136" s="17" t="s">
        <v>126</v>
      </c>
      <c r="E136" s="16" t="s">
        <v>633</v>
      </c>
      <c r="F136" s="17" t="s">
        <v>247</v>
      </c>
      <c r="G136" s="17">
        <v>1</v>
      </c>
      <c r="H136" s="17"/>
      <c r="I136" s="49" t="s">
        <v>85</v>
      </c>
      <c r="J136" s="49" t="s">
        <v>85</v>
      </c>
      <c r="K136" s="49" t="s">
        <v>85</v>
      </c>
      <c r="L136" s="49" t="s">
        <v>85</v>
      </c>
      <c r="M136" s="39" t="s">
        <v>535</v>
      </c>
      <c r="N136" s="35" t="s">
        <v>85</v>
      </c>
      <c r="O136" s="35" t="s">
        <v>85</v>
      </c>
      <c r="P136" s="35" t="s">
        <v>85</v>
      </c>
      <c r="Q136" s="35" t="s">
        <v>85</v>
      </c>
      <c r="R136" s="35" t="s">
        <v>85</v>
      </c>
      <c r="S136" s="35" t="s">
        <v>85</v>
      </c>
      <c r="T136" s="35" t="s">
        <v>85</v>
      </c>
      <c r="U136" s="16" t="s">
        <v>91</v>
      </c>
    </row>
    <row r="137" spans="1:21" s="6" customFormat="1" ht="16.5" customHeight="1" x14ac:dyDescent="0.25">
      <c r="A137" s="6" t="s">
        <v>598</v>
      </c>
    </row>
    <row r="138" spans="1:21" s="16" customFormat="1" ht="16.5" customHeight="1" x14ac:dyDescent="0.25">
      <c r="A138" s="17" t="s">
        <v>91</v>
      </c>
      <c r="B138" s="8" t="s">
        <v>319</v>
      </c>
      <c r="C138" s="16" t="s">
        <v>338</v>
      </c>
      <c r="D138" s="17" t="s">
        <v>125</v>
      </c>
      <c r="E138" s="16" t="s">
        <v>121</v>
      </c>
      <c r="F138" s="16" t="s">
        <v>247</v>
      </c>
      <c r="G138" s="25">
        <v>2.0999999999999999E-5</v>
      </c>
      <c r="H138" s="35" t="s">
        <v>85</v>
      </c>
      <c r="I138" s="49" t="s">
        <v>85</v>
      </c>
      <c r="J138" s="49" t="s">
        <v>85</v>
      </c>
      <c r="K138" s="49" t="s">
        <v>85</v>
      </c>
      <c r="L138" s="49" t="s">
        <v>85</v>
      </c>
      <c r="M138" s="16" t="s">
        <v>542</v>
      </c>
      <c r="N138" s="16" t="s">
        <v>645</v>
      </c>
      <c r="O138" s="16" t="s">
        <v>673</v>
      </c>
      <c r="P138" s="16" t="s">
        <v>674</v>
      </c>
      <c r="Q138" s="16" t="s">
        <v>747</v>
      </c>
      <c r="R138" s="16" t="s">
        <v>549</v>
      </c>
      <c r="S138" s="16" t="s">
        <v>675</v>
      </c>
      <c r="U138" s="16" t="s">
        <v>538</v>
      </c>
    </row>
    <row r="139" spans="1:21" s="16" customFormat="1" ht="16.5" customHeight="1" x14ac:dyDescent="0.25">
      <c r="A139" s="17" t="s">
        <v>91</v>
      </c>
      <c r="B139" s="8" t="s">
        <v>320</v>
      </c>
      <c r="C139" s="16" t="s">
        <v>338</v>
      </c>
      <c r="D139" s="17" t="s">
        <v>125</v>
      </c>
      <c r="E139" s="16" t="s">
        <v>121</v>
      </c>
      <c r="F139" s="16" t="s">
        <v>247</v>
      </c>
      <c r="G139" s="25">
        <v>6.7000000000000002E-6</v>
      </c>
      <c r="H139" s="35" t="s">
        <v>85</v>
      </c>
      <c r="I139" s="35" t="s">
        <v>85</v>
      </c>
      <c r="J139" s="35" t="s">
        <v>85</v>
      </c>
      <c r="K139" s="49" t="s">
        <v>85</v>
      </c>
      <c r="L139" s="49" t="s">
        <v>85</v>
      </c>
      <c r="M139" s="16" t="s">
        <v>542</v>
      </c>
      <c r="N139" s="16" t="s">
        <v>646</v>
      </c>
      <c r="O139" s="16" t="s">
        <v>673</v>
      </c>
      <c r="P139" s="16" t="s">
        <v>674</v>
      </c>
      <c r="Q139" s="16" t="s">
        <v>747</v>
      </c>
      <c r="R139" s="16" t="s">
        <v>549</v>
      </c>
      <c r="S139" s="16" t="s">
        <v>675</v>
      </c>
      <c r="U139" s="16" t="s">
        <v>538</v>
      </c>
    </row>
    <row r="140" spans="1:21" s="16" customFormat="1" ht="16.5" customHeight="1" x14ac:dyDescent="0.25">
      <c r="A140" s="17" t="s">
        <v>91</v>
      </c>
      <c r="B140" s="8" t="s">
        <v>321</v>
      </c>
      <c r="C140" s="16" t="s">
        <v>338</v>
      </c>
      <c r="D140" s="17" t="s">
        <v>125</v>
      </c>
      <c r="E140" s="16" t="s">
        <v>121</v>
      </c>
      <c r="F140" s="16" t="s">
        <v>247</v>
      </c>
      <c r="G140" s="25">
        <v>1.02E-4</v>
      </c>
      <c r="H140" s="35" t="s">
        <v>85</v>
      </c>
      <c r="I140" s="35" t="s">
        <v>85</v>
      </c>
      <c r="J140" s="35" t="s">
        <v>85</v>
      </c>
      <c r="K140" s="49" t="s">
        <v>85</v>
      </c>
      <c r="L140" s="49" t="s">
        <v>85</v>
      </c>
      <c r="M140" s="16" t="s">
        <v>542</v>
      </c>
      <c r="N140" s="16" t="s">
        <v>647</v>
      </c>
      <c r="O140" s="16" t="s">
        <v>673</v>
      </c>
      <c r="P140" s="16" t="s">
        <v>674</v>
      </c>
      <c r="Q140" s="16" t="s">
        <v>747</v>
      </c>
      <c r="R140" s="16" t="s">
        <v>549</v>
      </c>
      <c r="S140" s="16" t="s">
        <v>675</v>
      </c>
      <c r="U140" s="16" t="s">
        <v>538</v>
      </c>
    </row>
    <row r="141" spans="1:21" s="16" customFormat="1" ht="16.5" customHeight="1" x14ac:dyDescent="0.25">
      <c r="A141" s="17" t="s">
        <v>91</v>
      </c>
      <c r="B141" s="8" t="s">
        <v>322</v>
      </c>
      <c r="C141" s="16" t="s">
        <v>338</v>
      </c>
      <c r="D141" s="17" t="s">
        <v>125</v>
      </c>
      <c r="E141" s="16" t="s">
        <v>121</v>
      </c>
      <c r="F141" s="16" t="s">
        <v>247</v>
      </c>
      <c r="G141" s="25">
        <v>9.9999999999999995E-7</v>
      </c>
      <c r="H141" s="35" t="s">
        <v>85</v>
      </c>
      <c r="I141" s="35" t="s">
        <v>85</v>
      </c>
      <c r="J141" s="35" t="s">
        <v>85</v>
      </c>
      <c r="K141" s="49" t="s">
        <v>85</v>
      </c>
      <c r="L141" s="49" t="s">
        <v>85</v>
      </c>
      <c r="M141" s="16" t="s">
        <v>542</v>
      </c>
      <c r="N141" s="16" t="s">
        <v>648</v>
      </c>
      <c r="O141" s="16" t="s">
        <v>673</v>
      </c>
      <c r="P141" s="16" t="s">
        <v>674</v>
      </c>
      <c r="Q141" s="16" t="s">
        <v>747</v>
      </c>
      <c r="R141" s="16" t="s">
        <v>549</v>
      </c>
      <c r="S141" s="16" t="s">
        <v>675</v>
      </c>
      <c r="U141" s="16" t="s">
        <v>538</v>
      </c>
    </row>
    <row r="142" spans="1:21" s="16" customFormat="1" ht="16.5" customHeight="1" x14ac:dyDescent="0.25">
      <c r="A142" s="17" t="s">
        <v>91</v>
      </c>
      <c r="B142" s="8" t="s">
        <v>323</v>
      </c>
      <c r="C142" s="16" t="s">
        <v>338</v>
      </c>
      <c r="D142" s="17" t="s">
        <v>125</v>
      </c>
      <c r="E142" s="16" t="s">
        <v>121</v>
      </c>
      <c r="F142" s="16" t="s">
        <v>247</v>
      </c>
      <c r="G142" s="25">
        <v>4.0000000000000003E-5</v>
      </c>
      <c r="H142" s="35" t="s">
        <v>85</v>
      </c>
      <c r="I142" s="35" t="s">
        <v>85</v>
      </c>
      <c r="J142" s="35" t="s">
        <v>85</v>
      </c>
      <c r="K142" s="49" t="s">
        <v>85</v>
      </c>
      <c r="L142" s="49" t="s">
        <v>85</v>
      </c>
      <c r="M142" s="16" t="s">
        <v>542</v>
      </c>
      <c r="N142" s="16" t="s">
        <v>214</v>
      </c>
      <c r="O142" s="16" t="s">
        <v>673</v>
      </c>
      <c r="P142" s="16" t="s">
        <v>674</v>
      </c>
      <c r="Q142" s="16" t="s">
        <v>747</v>
      </c>
      <c r="R142" s="16" t="s">
        <v>549</v>
      </c>
      <c r="S142" s="16" t="s">
        <v>675</v>
      </c>
      <c r="U142" s="16" t="s">
        <v>538</v>
      </c>
    </row>
    <row r="143" spans="1:21" s="16" customFormat="1" ht="16.5" customHeight="1" x14ac:dyDescent="0.25">
      <c r="A143" s="17" t="s">
        <v>91</v>
      </c>
      <c r="B143" s="8" t="s">
        <v>324</v>
      </c>
      <c r="C143" s="16" t="s">
        <v>338</v>
      </c>
      <c r="D143" s="17" t="s">
        <v>125</v>
      </c>
      <c r="E143" s="16" t="s">
        <v>121</v>
      </c>
      <c r="F143" s="16" t="s">
        <v>247</v>
      </c>
      <c r="G143" s="25">
        <v>6.0000000000000002E-5</v>
      </c>
      <c r="H143" s="35" t="s">
        <v>85</v>
      </c>
      <c r="I143" s="35" t="s">
        <v>85</v>
      </c>
      <c r="J143" s="35" t="s">
        <v>85</v>
      </c>
      <c r="K143" s="49" t="s">
        <v>85</v>
      </c>
      <c r="L143" s="49" t="s">
        <v>85</v>
      </c>
      <c r="M143" s="16" t="s">
        <v>542</v>
      </c>
      <c r="N143" s="16" t="s">
        <v>215</v>
      </c>
      <c r="O143" s="16" t="s">
        <v>673</v>
      </c>
      <c r="P143" s="16" t="s">
        <v>674</v>
      </c>
      <c r="Q143" s="16" t="s">
        <v>747</v>
      </c>
      <c r="R143" s="16" t="s">
        <v>549</v>
      </c>
      <c r="S143" s="16" t="s">
        <v>675</v>
      </c>
      <c r="U143" s="16" t="s">
        <v>538</v>
      </c>
    </row>
    <row r="144" spans="1:21" s="16" customFormat="1" ht="16.5" customHeight="1" x14ac:dyDescent="0.25">
      <c r="A144" s="17" t="s">
        <v>91</v>
      </c>
      <c r="B144" s="8" t="s">
        <v>325</v>
      </c>
      <c r="C144" s="16" t="s">
        <v>338</v>
      </c>
      <c r="D144" s="17" t="s">
        <v>125</v>
      </c>
      <c r="E144" s="16" t="s">
        <v>121</v>
      </c>
      <c r="F144" s="16" t="s">
        <v>247</v>
      </c>
      <c r="G144" s="25">
        <v>5.6000000000000004E-7</v>
      </c>
      <c r="H144" s="35" t="s">
        <v>85</v>
      </c>
      <c r="I144" s="35" t="s">
        <v>85</v>
      </c>
      <c r="J144" s="35" t="s">
        <v>85</v>
      </c>
      <c r="K144" s="49" t="s">
        <v>85</v>
      </c>
      <c r="L144" s="49" t="s">
        <v>85</v>
      </c>
      <c r="M144" s="16" t="s">
        <v>542</v>
      </c>
      <c r="N144" s="16" t="s">
        <v>649</v>
      </c>
      <c r="O144" s="16" t="s">
        <v>673</v>
      </c>
      <c r="P144" s="16" t="s">
        <v>674</v>
      </c>
      <c r="Q144" s="16" t="s">
        <v>747</v>
      </c>
      <c r="R144" s="16" t="s">
        <v>549</v>
      </c>
      <c r="S144" s="16" t="s">
        <v>675</v>
      </c>
      <c r="U144" s="16" t="s">
        <v>538</v>
      </c>
    </row>
    <row r="145" spans="1:21" s="29" customFormat="1" ht="16.5" customHeight="1" x14ac:dyDescent="0.25">
      <c r="A145" s="30" t="s">
        <v>91</v>
      </c>
      <c r="B145" s="27" t="s">
        <v>326</v>
      </c>
      <c r="C145" s="29" t="s">
        <v>338</v>
      </c>
      <c r="D145" s="30" t="s">
        <v>125</v>
      </c>
      <c r="E145" s="29" t="s">
        <v>121</v>
      </c>
      <c r="F145" s="29" t="s">
        <v>247</v>
      </c>
      <c r="G145" s="28">
        <v>4.6000000000000002E-8</v>
      </c>
      <c r="H145" s="41" t="s">
        <v>85</v>
      </c>
      <c r="I145" s="41" t="s">
        <v>85</v>
      </c>
      <c r="J145" s="41" t="s">
        <v>85</v>
      </c>
      <c r="K145" s="50" t="s">
        <v>85</v>
      </c>
      <c r="L145" s="50" t="s">
        <v>85</v>
      </c>
      <c r="M145" s="29" t="s">
        <v>542</v>
      </c>
      <c r="N145" s="29" t="s">
        <v>650</v>
      </c>
      <c r="O145" s="29" t="s">
        <v>673</v>
      </c>
      <c r="P145" s="29" t="s">
        <v>674</v>
      </c>
      <c r="Q145" s="29" t="s">
        <v>747</v>
      </c>
      <c r="R145" s="29" t="s">
        <v>549</v>
      </c>
      <c r="S145" s="29" t="s">
        <v>675</v>
      </c>
      <c r="U145" s="29" t="s">
        <v>538</v>
      </c>
    </row>
    <row r="146" spans="1:21" s="16" customFormat="1" ht="16.5" customHeight="1" x14ac:dyDescent="0.25">
      <c r="A146" s="17" t="s">
        <v>624</v>
      </c>
      <c r="B146" s="8" t="s">
        <v>339</v>
      </c>
      <c r="C146" s="16" t="s">
        <v>338</v>
      </c>
      <c r="D146" s="17" t="s">
        <v>85</v>
      </c>
      <c r="E146" s="16" t="s">
        <v>101</v>
      </c>
      <c r="F146" s="16" t="s">
        <v>551</v>
      </c>
      <c r="G146" s="16">
        <v>1</v>
      </c>
      <c r="H146" s="16">
        <v>0.25</v>
      </c>
      <c r="I146" s="16">
        <v>0.01</v>
      </c>
      <c r="J146" s="16">
        <v>1.99</v>
      </c>
      <c r="K146" s="16">
        <f>VLOOKUP(B146,Tabelle1!$A$1:$C$351,2,FALSE)</f>
        <v>1.0291226606799799</v>
      </c>
      <c r="L146" s="16">
        <f>VLOOKUP(B146,Tabelle1!$A$1:$C$351,3,FALSE)</f>
        <v>0.24980601262844401</v>
      </c>
      <c r="M146" s="16" t="s">
        <v>548</v>
      </c>
      <c r="N146" s="35" t="s">
        <v>85</v>
      </c>
      <c r="O146" s="35" t="s">
        <v>85</v>
      </c>
      <c r="P146" s="35" t="s">
        <v>85</v>
      </c>
      <c r="Q146" s="35" t="s">
        <v>85</v>
      </c>
      <c r="R146" s="16" t="s">
        <v>550</v>
      </c>
      <c r="S146" s="35" t="s">
        <v>85</v>
      </c>
      <c r="T146" s="35" t="s">
        <v>85</v>
      </c>
      <c r="U146" s="16" t="s">
        <v>91</v>
      </c>
    </row>
    <row r="147" spans="1:21" s="16" customFormat="1" ht="16.5" customHeight="1" x14ac:dyDescent="0.25">
      <c r="A147" s="17" t="s">
        <v>624</v>
      </c>
      <c r="B147" s="8" t="s">
        <v>340</v>
      </c>
      <c r="C147" s="16" t="s">
        <v>338</v>
      </c>
      <c r="D147" s="17" t="s">
        <v>85</v>
      </c>
      <c r="E147" s="16" t="s">
        <v>101</v>
      </c>
      <c r="F147" s="16" t="s">
        <v>551</v>
      </c>
      <c r="G147" s="16">
        <v>1</v>
      </c>
      <c r="H147" s="16">
        <v>0.25</v>
      </c>
      <c r="I147" s="16">
        <v>0.01</v>
      </c>
      <c r="J147" s="16">
        <v>1.99</v>
      </c>
      <c r="K147" s="16">
        <f>VLOOKUP(B147,Tabelle1!$A$1:$C$351,2,FALSE)</f>
        <v>0.99957588411957299</v>
      </c>
      <c r="L147" s="16">
        <f>VLOOKUP(B147,Tabelle1!$A$1:$C$351,3,FALSE)</f>
        <v>0.24328826582326901</v>
      </c>
      <c r="M147" s="16" t="s">
        <v>548</v>
      </c>
      <c r="N147" s="35" t="s">
        <v>85</v>
      </c>
      <c r="O147" s="35" t="s">
        <v>85</v>
      </c>
      <c r="P147" s="35" t="s">
        <v>85</v>
      </c>
      <c r="Q147" s="35" t="s">
        <v>85</v>
      </c>
      <c r="R147" s="16" t="s">
        <v>550</v>
      </c>
      <c r="S147" s="35" t="s">
        <v>85</v>
      </c>
      <c r="T147" s="35" t="s">
        <v>85</v>
      </c>
      <c r="U147" s="16" t="s">
        <v>91</v>
      </c>
    </row>
    <row r="148" spans="1:21" s="16" customFormat="1" ht="16.5" customHeight="1" x14ac:dyDescent="0.25">
      <c r="A148" s="17" t="s">
        <v>624</v>
      </c>
      <c r="B148" s="8" t="s">
        <v>341</v>
      </c>
      <c r="C148" s="16" t="s">
        <v>338</v>
      </c>
      <c r="D148" s="17" t="s">
        <v>85</v>
      </c>
      <c r="E148" s="16" t="s">
        <v>101</v>
      </c>
      <c r="F148" s="16" t="s">
        <v>551</v>
      </c>
      <c r="G148" s="16">
        <v>1</v>
      </c>
      <c r="H148" s="16">
        <v>0.25</v>
      </c>
      <c r="I148" s="16">
        <v>0.01</v>
      </c>
      <c r="J148" s="16">
        <v>1.99</v>
      </c>
      <c r="K148" s="16">
        <f>VLOOKUP(B148,Tabelle1!$A$1:$C$351,2,FALSE)</f>
        <v>0.97392693450218604</v>
      </c>
      <c r="L148" s="16">
        <f>VLOOKUP(B148,Tabelle1!$A$1:$C$351,3,FALSE)</f>
        <v>0.251098540329107</v>
      </c>
      <c r="M148" s="16" t="s">
        <v>548</v>
      </c>
      <c r="N148" s="35" t="s">
        <v>85</v>
      </c>
      <c r="O148" s="35" t="s">
        <v>85</v>
      </c>
      <c r="P148" s="35" t="s">
        <v>85</v>
      </c>
      <c r="Q148" s="35" t="s">
        <v>85</v>
      </c>
      <c r="R148" s="16" t="s">
        <v>550</v>
      </c>
      <c r="S148" s="35" t="s">
        <v>85</v>
      </c>
      <c r="T148" s="35" t="s">
        <v>85</v>
      </c>
      <c r="U148" s="16" t="s">
        <v>91</v>
      </c>
    </row>
    <row r="149" spans="1:21" s="16" customFormat="1" ht="16.5" customHeight="1" x14ac:dyDescent="0.25">
      <c r="A149" s="17" t="s">
        <v>624</v>
      </c>
      <c r="B149" s="8" t="s">
        <v>342</v>
      </c>
      <c r="C149" s="16" t="s">
        <v>338</v>
      </c>
      <c r="D149" s="17" t="s">
        <v>85</v>
      </c>
      <c r="E149" s="16" t="s">
        <v>101</v>
      </c>
      <c r="F149" s="16" t="s">
        <v>551</v>
      </c>
      <c r="G149" s="16">
        <v>1</v>
      </c>
      <c r="H149" s="16">
        <v>0.25</v>
      </c>
      <c r="I149" s="16">
        <v>0.01</v>
      </c>
      <c r="J149" s="16">
        <v>1.99</v>
      </c>
      <c r="K149" s="16">
        <f>VLOOKUP(B149,Tabelle1!$A$1:$C$351,2,FALSE)</f>
        <v>0.98887165472094896</v>
      </c>
      <c r="L149" s="16">
        <f>VLOOKUP(B149,Tabelle1!$A$1:$C$351,3,FALSE)</f>
        <v>0.23547895040856301</v>
      </c>
      <c r="M149" s="16" t="s">
        <v>548</v>
      </c>
      <c r="N149" s="35" t="s">
        <v>85</v>
      </c>
      <c r="O149" s="35" t="s">
        <v>85</v>
      </c>
      <c r="P149" s="35" t="s">
        <v>85</v>
      </c>
      <c r="Q149" s="35" t="s">
        <v>85</v>
      </c>
      <c r="R149" s="16" t="s">
        <v>550</v>
      </c>
      <c r="S149" s="35" t="s">
        <v>85</v>
      </c>
      <c r="T149" s="35" t="s">
        <v>85</v>
      </c>
      <c r="U149" s="16" t="s">
        <v>91</v>
      </c>
    </row>
    <row r="150" spans="1:21" s="16" customFormat="1" ht="16.5" customHeight="1" x14ac:dyDescent="0.25">
      <c r="A150" s="17" t="s">
        <v>624</v>
      </c>
      <c r="B150" s="8" t="s">
        <v>343</v>
      </c>
      <c r="C150" s="16" t="s">
        <v>338</v>
      </c>
      <c r="D150" s="17" t="s">
        <v>85</v>
      </c>
      <c r="E150" s="16" t="s">
        <v>101</v>
      </c>
      <c r="F150" s="16" t="s">
        <v>551</v>
      </c>
      <c r="G150" s="16">
        <v>1</v>
      </c>
      <c r="H150" s="16">
        <v>0.25</v>
      </c>
      <c r="I150" s="16">
        <v>0.01</v>
      </c>
      <c r="J150" s="16">
        <v>1.99</v>
      </c>
      <c r="K150" s="16">
        <f>VLOOKUP(B150,Tabelle1!$A$1:$C$351,2,FALSE)</f>
        <v>1.01188890050896</v>
      </c>
      <c r="L150" s="16">
        <f>VLOOKUP(B150,Tabelle1!$A$1:$C$351,3,FALSE)</f>
        <v>0.26651790930385499</v>
      </c>
      <c r="M150" s="16" t="s">
        <v>548</v>
      </c>
      <c r="N150" s="35" t="s">
        <v>85</v>
      </c>
      <c r="O150" s="35" t="s">
        <v>85</v>
      </c>
      <c r="P150" s="35" t="s">
        <v>85</v>
      </c>
      <c r="Q150" s="35" t="s">
        <v>85</v>
      </c>
      <c r="R150" s="16" t="s">
        <v>550</v>
      </c>
      <c r="S150" s="35" t="s">
        <v>85</v>
      </c>
      <c r="T150" s="35" t="s">
        <v>85</v>
      </c>
      <c r="U150" s="16" t="s">
        <v>91</v>
      </c>
    </row>
    <row r="151" spans="1:21" s="16" customFormat="1" ht="16.5" customHeight="1" x14ac:dyDescent="0.25">
      <c r="A151" s="17" t="s">
        <v>624</v>
      </c>
      <c r="B151" s="8" t="s">
        <v>344</v>
      </c>
      <c r="C151" s="16" t="s">
        <v>338</v>
      </c>
      <c r="D151" s="17" t="s">
        <v>85</v>
      </c>
      <c r="E151" s="16" t="s">
        <v>101</v>
      </c>
      <c r="F151" s="16" t="s">
        <v>551</v>
      </c>
      <c r="G151" s="16">
        <v>1</v>
      </c>
      <c r="H151" s="16">
        <v>0.25</v>
      </c>
      <c r="I151" s="16">
        <v>0.01</v>
      </c>
      <c r="J151" s="16">
        <v>1.99</v>
      </c>
      <c r="K151" s="16">
        <f>VLOOKUP(B151,Tabelle1!$A$1:$C$351,2,FALSE)</f>
        <v>0.97767144437682996</v>
      </c>
      <c r="L151" s="16">
        <f>VLOOKUP(B151,Tabelle1!$A$1:$C$351,3,FALSE)</f>
        <v>0.21865044181382701</v>
      </c>
      <c r="M151" s="16" t="s">
        <v>548</v>
      </c>
      <c r="N151" s="35" t="s">
        <v>85</v>
      </c>
      <c r="O151" s="35" t="s">
        <v>85</v>
      </c>
      <c r="P151" s="35" t="s">
        <v>85</v>
      </c>
      <c r="Q151" s="35" t="s">
        <v>85</v>
      </c>
      <c r="R151" s="16" t="s">
        <v>550</v>
      </c>
      <c r="S151" s="35" t="s">
        <v>85</v>
      </c>
      <c r="T151" s="35" t="s">
        <v>85</v>
      </c>
      <c r="U151" s="16" t="s">
        <v>91</v>
      </c>
    </row>
    <row r="152" spans="1:21" s="16" customFormat="1" ht="16.5" customHeight="1" x14ac:dyDescent="0.25">
      <c r="A152" s="17" t="s">
        <v>624</v>
      </c>
      <c r="B152" s="8" t="s">
        <v>345</v>
      </c>
      <c r="C152" s="16" t="s">
        <v>338</v>
      </c>
      <c r="D152" s="17" t="s">
        <v>85</v>
      </c>
      <c r="E152" s="16" t="s">
        <v>101</v>
      </c>
      <c r="F152" s="16" t="s">
        <v>551</v>
      </c>
      <c r="G152" s="16">
        <v>1</v>
      </c>
      <c r="H152" s="16">
        <v>0.25</v>
      </c>
      <c r="I152" s="16">
        <v>0.01</v>
      </c>
      <c r="J152" s="16">
        <v>1.99</v>
      </c>
      <c r="K152" s="16">
        <f>VLOOKUP(B152,Tabelle1!$A$1:$C$351,2,FALSE)</f>
        <v>0.92612947197691498</v>
      </c>
      <c r="L152" s="16">
        <f>VLOOKUP(B152,Tabelle1!$A$1:$C$351,3,FALSE)</f>
        <v>0.281936075721126</v>
      </c>
      <c r="M152" s="16" t="s">
        <v>548</v>
      </c>
      <c r="N152" s="35" t="s">
        <v>85</v>
      </c>
      <c r="O152" s="35" t="s">
        <v>85</v>
      </c>
      <c r="P152" s="35" t="s">
        <v>85</v>
      </c>
      <c r="Q152" s="35" t="s">
        <v>85</v>
      </c>
      <c r="R152" s="16" t="s">
        <v>550</v>
      </c>
      <c r="S152" s="35" t="s">
        <v>85</v>
      </c>
      <c r="T152" s="35" t="s">
        <v>85</v>
      </c>
      <c r="U152" s="16" t="s">
        <v>91</v>
      </c>
    </row>
    <row r="153" spans="1:21" s="29" customFormat="1" ht="16.5" customHeight="1" x14ac:dyDescent="0.25">
      <c r="A153" s="30" t="s">
        <v>624</v>
      </c>
      <c r="B153" s="27" t="s">
        <v>346</v>
      </c>
      <c r="C153" s="29" t="s">
        <v>338</v>
      </c>
      <c r="D153" s="30" t="s">
        <v>85</v>
      </c>
      <c r="E153" s="29" t="s">
        <v>101</v>
      </c>
      <c r="F153" s="29" t="s">
        <v>551</v>
      </c>
      <c r="G153" s="29">
        <v>1</v>
      </c>
      <c r="H153" s="29">
        <v>0.25</v>
      </c>
      <c r="I153" s="29">
        <v>0.01</v>
      </c>
      <c r="J153" s="29">
        <v>1.99</v>
      </c>
      <c r="K153" s="29">
        <f>VLOOKUP(B153,Tabelle1!$A$1:$C$351,2,FALSE)</f>
        <v>0.97641112317364098</v>
      </c>
      <c r="L153" s="29">
        <f>VLOOKUP(B153,Tabelle1!$A$1:$C$351,3,FALSE)</f>
        <v>0.278612338280321</v>
      </c>
      <c r="M153" s="29" t="s">
        <v>548</v>
      </c>
      <c r="N153" s="41" t="s">
        <v>85</v>
      </c>
      <c r="O153" s="41" t="s">
        <v>85</v>
      </c>
      <c r="P153" s="41" t="s">
        <v>85</v>
      </c>
      <c r="Q153" s="41" t="s">
        <v>85</v>
      </c>
      <c r="R153" s="29" t="s">
        <v>550</v>
      </c>
      <c r="S153" s="41" t="s">
        <v>85</v>
      </c>
      <c r="T153" s="41" t="s">
        <v>85</v>
      </c>
      <c r="U153" s="29" t="s">
        <v>91</v>
      </c>
    </row>
    <row r="154" spans="1:21" ht="16.5" customHeight="1" x14ac:dyDescent="0.25">
      <c r="A154" s="17" t="s">
        <v>625</v>
      </c>
      <c r="B154" s="8" t="s">
        <v>358</v>
      </c>
      <c r="C154" s="16" t="s">
        <v>338</v>
      </c>
      <c r="D154" s="17" t="s">
        <v>85</v>
      </c>
      <c r="E154" s="16" t="s">
        <v>122</v>
      </c>
      <c r="F154" s="16" t="s">
        <v>551</v>
      </c>
      <c r="G154" s="16">
        <v>1</v>
      </c>
      <c r="H154" s="16">
        <v>0.25</v>
      </c>
      <c r="I154" s="16">
        <v>0.01</v>
      </c>
      <c r="J154" s="16">
        <v>1.99</v>
      </c>
      <c r="K154" s="16">
        <f>VLOOKUP(B154,Tabelle1!$A$1:$C$351,2,FALSE)</f>
        <v>1.00903497377855</v>
      </c>
      <c r="L154" s="16">
        <f>VLOOKUP(B154,Tabelle1!$A$1:$C$351,3,FALSE)</f>
        <v>0.28068384806424801</v>
      </c>
      <c r="M154" s="16" t="s">
        <v>548</v>
      </c>
      <c r="N154" s="35" t="s">
        <v>85</v>
      </c>
      <c r="O154" s="35" t="s">
        <v>85</v>
      </c>
      <c r="P154" s="35" t="s">
        <v>85</v>
      </c>
      <c r="Q154" s="35" t="s">
        <v>85</v>
      </c>
      <c r="R154" s="16" t="s">
        <v>550</v>
      </c>
      <c r="S154" s="35" t="s">
        <v>85</v>
      </c>
      <c r="T154" s="35" t="s">
        <v>85</v>
      </c>
      <c r="U154" s="16" t="s">
        <v>91</v>
      </c>
    </row>
    <row r="155" spans="1:21" ht="16.5" customHeight="1" x14ac:dyDescent="0.25">
      <c r="A155" s="17" t="s">
        <v>625</v>
      </c>
      <c r="B155" s="8" t="s">
        <v>359</v>
      </c>
      <c r="C155" s="16" t="s">
        <v>338</v>
      </c>
      <c r="D155" s="17" t="s">
        <v>85</v>
      </c>
      <c r="E155" s="16" t="s">
        <v>122</v>
      </c>
      <c r="F155" s="16" t="s">
        <v>551</v>
      </c>
      <c r="G155" s="16">
        <v>1</v>
      </c>
      <c r="H155" s="16">
        <v>0.25</v>
      </c>
      <c r="I155" s="16">
        <v>0.01</v>
      </c>
      <c r="J155" s="16">
        <v>1.99</v>
      </c>
      <c r="K155" s="16">
        <f>VLOOKUP(B155,Tabelle1!$A$1:$C$351,2,FALSE)</f>
        <v>0.98146481482329195</v>
      </c>
      <c r="L155" s="16">
        <f>VLOOKUP(B155,Tabelle1!$A$1:$C$351,3,FALSE)</f>
        <v>0.26966243049854699</v>
      </c>
      <c r="M155" s="16" t="s">
        <v>548</v>
      </c>
      <c r="N155" s="35" t="s">
        <v>85</v>
      </c>
      <c r="O155" s="35" t="s">
        <v>85</v>
      </c>
      <c r="P155" s="35" t="s">
        <v>85</v>
      </c>
      <c r="Q155" s="35" t="s">
        <v>85</v>
      </c>
      <c r="R155" s="16" t="s">
        <v>550</v>
      </c>
      <c r="S155" s="35" t="s">
        <v>85</v>
      </c>
      <c r="T155" s="35" t="s">
        <v>85</v>
      </c>
      <c r="U155" s="16" t="s">
        <v>91</v>
      </c>
    </row>
    <row r="156" spans="1:21" ht="16.5" customHeight="1" x14ac:dyDescent="0.25">
      <c r="A156" s="17" t="s">
        <v>625</v>
      </c>
      <c r="B156" s="8" t="s">
        <v>360</v>
      </c>
      <c r="C156" s="16" t="s">
        <v>338</v>
      </c>
      <c r="D156" s="17" t="s">
        <v>85</v>
      </c>
      <c r="E156" s="16" t="s">
        <v>122</v>
      </c>
      <c r="F156" s="16" t="s">
        <v>551</v>
      </c>
      <c r="G156" s="16">
        <v>1</v>
      </c>
      <c r="H156" s="16">
        <v>0.25</v>
      </c>
      <c r="I156" s="16">
        <v>0.01</v>
      </c>
      <c r="J156" s="16">
        <v>1.99</v>
      </c>
      <c r="K156" s="16">
        <f>VLOOKUP(B156,Tabelle1!$A$1:$C$351,2,FALSE)</f>
        <v>0.98080419313515099</v>
      </c>
      <c r="L156" s="16">
        <f>VLOOKUP(B156,Tabelle1!$A$1:$C$351,3,FALSE)</f>
        <v>0.25992436082352199</v>
      </c>
      <c r="M156" s="16" t="s">
        <v>548</v>
      </c>
      <c r="N156" s="35" t="s">
        <v>85</v>
      </c>
      <c r="O156" s="35" t="s">
        <v>85</v>
      </c>
      <c r="P156" s="35" t="s">
        <v>85</v>
      </c>
      <c r="Q156" s="35" t="s">
        <v>85</v>
      </c>
      <c r="R156" s="16" t="s">
        <v>550</v>
      </c>
      <c r="S156" s="35" t="s">
        <v>85</v>
      </c>
      <c r="T156" s="35" t="s">
        <v>85</v>
      </c>
      <c r="U156" s="16" t="s">
        <v>91</v>
      </c>
    </row>
    <row r="157" spans="1:21" ht="16.5" customHeight="1" x14ac:dyDescent="0.25">
      <c r="A157" s="17" t="s">
        <v>625</v>
      </c>
      <c r="B157" s="8" t="s">
        <v>361</v>
      </c>
      <c r="C157" s="16" t="s">
        <v>338</v>
      </c>
      <c r="D157" s="17" t="s">
        <v>85</v>
      </c>
      <c r="E157" s="16" t="s">
        <v>122</v>
      </c>
      <c r="F157" s="16" t="s">
        <v>551</v>
      </c>
      <c r="G157" s="16">
        <v>1</v>
      </c>
      <c r="H157" s="16">
        <v>0.25</v>
      </c>
      <c r="I157" s="16">
        <v>0.01</v>
      </c>
      <c r="J157" s="16">
        <v>1.99</v>
      </c>
      <c r="K157" s="16">
        <f>VLOOKUP(B157,Tabelle1!$A$1:$C$351,2,FALSE)</f>
        <v>1.01454353594325</v>
      </c>
      <c r="L157" s="16">
        <f>VLOOKUP(B157,Tabelle1!$A$1:$C$351,3,FALSE)</f>
        <v>0.268709829218721</v>
      </c>
      <c r="M157" s="16" t="s">
        <v>548</v>
      </c>
      <c r="N157" s="35" t="s">
        <v>85</v>
      </c>
      <c r="O157" s="35" t="s">
        <v>85</v>
      </c>
      <c r="P157" s="35" t="s">
        <v>85</v>
      </c>
      <c r="Q157" s="35" t="s">
        <v>85</v>
      </c>
      <c r="R157" s="16" t="s">
        <v>550</v>
      </c>
      <c r="S157" s="35" t="s">
        <v>85</v>
      </c>
      <c r="T157" s="35" t="s">
        <v>85</v>
      </c>
      <c r="U157" s="16" t="s">
        <v>91</v>
      </c>
    </row>
    <row r="158" spans="1:21" ht="16.5" customHeight="1" x14ac:dyDescent="0.25">
      <c r="A158" s="17" t="s">
        <v>625</v>
      </c>
      <c r="B158" s="8" t="s">
        <v>362</v>
      </c>
      <c r="C158" s="16" t="s">
        <v>338</v>
      </c>
      <c r="D158" s="17" t="s">
        <v>85</v>
      </c>
      <c r="E158" s="16" t="s">
        <v>122</v>
      </c>
      <c r="F158" s="16" t="s">
        <v>551</v>
      </c>
      <c r="G158" s="16">
        <v>1</v>
      </c>
      <c r="H158" s="16">
        <v>0.25</v>
      </c>
      <c r="I158" s="16">
        <v>0.01</v>
      </c>
      <c r="J158" s="16">
        <v>1.99</v>
      </c>
      <c r="K158" s="16">
        <f>VLOOKUP(B158,Tabelle1!$A$1:$C$351,2,FALSE)</f>
        <v>1.0204370787564101</v>
      </c>
      <c r="L158" s="16">
        <f>VLOOKUP(B158,Tabelle1!$A$1:$C$351,3,FALSE)</f>
        <v>0.25658443667631298</v>
      </c>
      <c r="M158" s="16" t="s">
        <v>548</v>
      </c>
      <c r="N158" s="35" t="s">
        <v>85</v>
      </c>
      <c r="O158" s="35" t="s">
        <v>85</v>
      </c>
      <c r="P158" s="35" t="s">
        <v>85</v>
      </c>
      <c r="Q158" s="35" t="s">
        <v>85</v>
      </c>
      <c r="R158" s="16" t="s">
        <v>550</v>
      </c>
      <c r="S158" s="35" t="s">
        <v>85</v>
      </c>
      <c r="T158" s="35" t="s">
        <v>85</v>
      </c>
      <c r="U158" s="16" t="s">
        <v>91</v>
      </c>
    </row>
    <row r="159" spans="1:21" ht="16.5" customHeight="1" x14ac:dyDescent="0.25">
      <c r="A159" s="17" t="s">
        <v>625</v>
      </c>
      <c r="B159" s="8" t="s">
        <v>363</v>
      </c>
      <c r="C159" s="16" t="s">
        <v>338</v>
      </c>
      <c r="D159" s="17" t="s">
        <v>85</v>
      </c>
      <c r="E159" s="16" t="s">
        <v>122</v>
      </c>
      <c r="F159" s="16" t="s">
        <v>551</v>
      </c>
      <c r="G159" s="16">
        <v>1</v>
      </c>
      <c r="H159" s="16">
        <v>0.25</v>
      </c>
      <c r="I159" s="16">
        <v>0.01</v>
      </c>
      <c r="J159" s="16">
        <v>1.99</v>
      </c>
      <c r="K159" s="16">
        <f>VLOOKUP(B159,Tabelle1!$A$1:$C$351,2,FALSE)</f>
        <v>1.0172665416950599</v>
      </c>
      <c r="L159" s="16">
        <f>VLOOKUP(B159,Tabelle1!$A$1:$C$351,3,FALSE)</f>
        <v>0.240135958175278</v>
      </c>
      <c r="M159" s="16" t="s">
        <v>548</v>
      </c>
      <c r="N159" s="35" t="s">
        <v>85</v>
      </c>
      <c r="O159" s="35" t="s">
        <v>85</v>
      </c>
      <c r="P159" s="35" t="s">
        <v>85</v>
      </c>
      <c r="Q159" s="35" t="s">
        <v>85</v>
      </c>
      <c r="R159" s="16" t="s">
        <v>550</v>
      </c>
      <c r="S159" s="35" t="s">
        <v>85</v>
      </c>
      <c r="T159" s="35" t="s">
        <v>85</v>
      </c>
      <c r="U159" s="16" t="s">
        <v>91</v>
      </c>
    </row>
    <row r="160" spans="1:21" ht="16.5" customHeight="1" x14ac:dyDescent="0.25">
      <c r="A160" s="17" t="s">
        <v>625</v>
      </c>
      <c r="B160" s="8" t="s">
        <v>364</v>
      </c>
      <c r="C160" s="16" t="s">
        <v>338</v>
      </c>
      <c r="D160" s="17" t="s">
        <v>85</v>
      </c>
      <c r="E160" s="16" t="s">
        <v>122</v>
      </c>
      <c r="F160" s="16" t="s">
        <v>551</v>
      </c>
      <c r="G160" s="16">
        <v>1</v>
      </c>
      <c r="H160" s="16">
        <v>0.25</v>
      </c>
      <c r="I160" s="16">
        <v>0.01</v>
      </c>
      <c r="J160" s="16">
        <v>1.99</v>
      </c>
      <c r="K160" s="16">
        <f>VLOOKUP(B160,Tabelle1!$A$1:$C$351,2,FALSE)</f>
        <v>1.01873711124658</v>
      </c>
      <c r="L160" s="16">
        <f>VLOOKUP(B160,Tabelle1!$A$1:$C$351,3,FALSE)</f>
        <v>0.23321910422495601</v>
      </c>
      <c r="M160" s="16" t="s">
        <v>548</v>
      </c>
      <c r="N160" s="35" t="s">
        <v>85</v>
      </c>
      <c r="O160" s="35" t="s">
        <v>85</v>
      </c>
      <c r="P160" s="35" t="s">
        <v>85</v>
      </c>
      <c r="Q160" s="35" t="s">
        <v>85</v>
      </c>
      <c r="R160" s="16" t="s">
        <v>550</v>
      </c>
      <c r="S160" s="35" t="s">
        <v>85</v>
      </c>
      <c r="T160" s="35" t="s">
        <v>85</v>
      </c>
      <c r="U160" s="16" t="s">
        <v>91</v>
      </c>
    </row>
    <row r="161" spans="1:21" s="27" customFormat="1" ht="16.5" customHeight="1" x14ac:dyDescent="0.25">
      <c r="A161" s="30" t="s">
        <v>625</v>
      </c>
      <c r="B161" s="27" t="s">
        <v>365</v>
      </c>
      <c r="C161" s="29" t="s">
        <v>338</v>
      </c>
      <c r="D161" s="30" t="s">
        <v>85</v>
      </c>
      <c r="E161" s="29" t="s">
        <v>122</v>
      </c>
      <c r="F161" s="29" t="s">
        <v>551</v>
      </c>
      <c r="G161" s="29">
        <v>1</v>
      </c>
      <c r="H161" s="29">
        <v>0.25</v>
      </c>
      <c r="I161" s="29">
        <v>0.01</v>
      </c>
      <c r="J161" s="29">
        <v>1.99</v>
      </c>
      <c r="K161" s="29">
        <f>VLOOKUP(B161,Tabelle1!$A$1:$C$351,2,FALSE)</f>
        <v>0.93805831980342302</v>
      </c>
      <c r="L161" s="29">
        <f>VLOOKUP(B161,Tabelle1!$A$1:$C$351,3,FALSE)</f>
        <v>0.26850285617560998</v>
      </c>
      <c r="M161" s="29" t="s">
        <v>548</v>
      </c>
      <c r="N161" s="41" t="s">
        <v>85</v>
      </c>
      <c r="O161" s="41" t="s">
        <v>85</v>
      </c>
      <c r="P161" s="41" t="s">
        <v>85</v>
      </c>
      <c r="Q161" s="41" t="s">
        <v>85</v>
      </c>
      <c r="R161" s="29" t="s">
        <v>550</v>
      </c>
      <c r="S161" s="41" t="s">
        <v>85</v>
      </c>
      <c r="T161" s="41" t="s">
        <v>85</v>
      </c>
      <c r="U161" s="29" t="s">
        <v>91</v>
      </c>
    </row>
    <row r="162" spans="1:21" ht="16.5" customHeight="1" x14ac:dyDescent="0.25">
      <c r="A162" s="17" t="s">
        <v>626</v>
      </c>
      <c r="B162" s="8" t="s">
        <v>377</v>
      </c>
      <c r="C162" s="16" t="s">
        <v>338</v>
      </c>
      <c r="D162" s="17" t="s">
        <v>589</v>
      </c>
      <c r="E162" s="16" t="s">
        <v>123</v>
      </c>
      <c r="F162" s="17" t="s">
        <v>302</v>
      </c>
      <c r="G162" s="16">
        <v>1</v>
      </c>
      <c r="H162" s="16">
        <v>1</v>
      </c>
      <c r="I162" s="46" t="s">
        <v>85</v>
      </c>
      <c r="J162" s="46" t="s">
        <v>85</v>
      </c>
      <c r="K162" s="16">
        <f>VLOOKUP(B162,Tabelle1!$A$1:$C$351,2,FALSE)</f>
        <v>0.99297831463461905</v>
      </c>
      <c r="L162" s="16">
        <f>VLOOKUP(B162,Tabelle1!$A$1:$C$351,3,FALSE)</f>
        <v>1.0602827148101599</v>
      </c>
      <c r="M162" s="19" t="s">
        <v>644</v>
      </c>
      <c r="N162" s="42" t="s">
        <v>85</v>
      </c>
      <c r="O162" s="42" t="s">
        <v>85</v>
      </c>
      <c r="P162" s="42" t="s">
        <v>85</v>
      </c>
      <c r="Q162" s="42" t="s">
        <v>85</v>
      </c>
      <c r="R162" s="16" t="s">
        <v>550</v>
      </c>
      <c r="S162" s="42" t="s">
        <v>85</v>
      </c>
      <c r="T162" s="42" t="s">
        <v>85</v>
      </c>
      <c r="U162" s="8" t="s">
        <v>91</v>
      </c>
    </row>
    <row r="163" spans="1:21" ht="16.5" customHeight="1" x14ac:dyDescent="0.25">
      <c r="A163" s="17" t="s">
        <v>626</v>
      </c>
      <c r="B163" s="8" t="s">
        <v>378</v>
      </c>
      <c r="C163" s="16" t="s">
        <v>338</v>
      </c>
      <c r="D163" s="17" t="s">
        <v>589</v>
      </c>
      <c r="E163" s="16" t="s">
        <v>123</v>
      </c>
      <c r="F163" s="17" t="s">
        <v>302</v>
      </c>
      <c r="G163" s="16">
        <v>1</v>
      </c>
      <c r="H163" s="16">
        <v>1</v>
      </c>
      <c r="I163" s="46" t="s">
        <v>85</v>
      </c>
      <c r="J163" s="46" t="s">
        <v>85</v>
      </c>
      <c r="K163" s="16">
        <f>VLOOKUP(B163,Tabelle1!$A$1:$C$351,2,FALSE)</f>
        <v>1.04505617299596</v>
      </c>
      <c r="L163" s="16">
        <f>VLOOKUP(B163,Tabelle1!$A$1:$C$351,3,FALSE)</f>
        <v>0.93820061520025799</v>
      </c>
      <c r="M163" s="19" t="s">
        <v>644</v>
      </c>
      <c r="N163" s="42" t="s">
        <v>85</v>
      </c>
      <c r="O163" s="42" t="s">
        <v>85</v>
      </c>
      <c r="P163" s="42" t="s">
        <v>85</v>
      </c>
      <c r="Q163" s="42" t="s">
        <v>85</v>
      </c>
      <c r="R163" s="16" t="s">
        <v>550</v>
      </c>
      <c r="S163" s="42" t="s">
        <v>85</v>
      </c>
      <c r="T163" s="42" t="s">
        <v>85</v>
      </c>
      <c r="U163" s="8" t="s">
        <v>91</v>
      </c>
    </row>
    <row r="164" spans="1:21" ht="16.5" customHeight="1" x14ac:dyDescent="0.25">
      <c r="A164" s="17" t="s">
        <v>626</v>
      </c>
      <c r="B164" s="8" t="s">
        <v>379</v>
      </c>
      <c r="C164" s="16" t="s">
        <v>338</v>
      </c>
      <c r="D164" s="17" t="s">
        <v>589</v>
      </c>
      <c r="E164" s="16" t="s">
        <v>123</v>
      </c>
      <c r="F164" s="17" t="s">
        <v>302</v>
      </c>
      <c r="G164" s="16">
        <v>1</v>
      </c>
      <c r="H164" s="16">
        <v>1</v>
      </c>
      <c r="I164" s="46" t="s">
        <v>85</v>
      </c>
      <c r="J164" s="46" t="s">
        <v>85</v>
      </c>
      <c r="K164" s="16">
        <f>VLOOKUP(B164,Tabelle1!$A$1:$C$351,2,FALSE)</f>
        <v>0.90876126515974998</v>
      </c>
      <c r="L164" s="16">
        <f>VLOOKUP(B164,Tabelle1!$A$1:$C$351,3,FALSE)</f>
        <v>0.72012179920937502</v>
      </c>
      <c r="M164" s="19" t="s">
        <v>644</v>
      </c>
      <c r="N164" s="42" t="s">
        <v>85</v>
      </c>
      <c r="O164" s="42" t="s">
        <v>85</v>
      </c>
      <c r="P164" s="42" t="s">
        <v>85</v>
      </c>
      <c r="Q164" s="42" t="s">
        <v>85</v>
      </c>
      <c r="R164" s="16" t="s">
        <v>550</v>
      </c>
      <c r="S164" s="42" t="s">
        <v>85</v>
      </c>
      <c r="T164" s="42" t="s">
        <v>85</v>
      </c>
      <c r="U164" s="8" t="s">
        <v>91</v>
      </c>
    </row>
    <row r="165" spans="1:21" ht="16.5" customHeight="1" x14ac:dyDescent="0.25">
      <c r="A165" s="17" t="s">
        <v>626</v>
      </c>
      <c r="B165" s="8" t="s">
        <v>380</v>
      </c>
      <c r="C165" s="16" t="s">
        <v>338</v>
      </c>
      <c r="D165" s="17" t="s">
        <v>589</v>
      </c>
      <c r="E165" s="16" t="s">
        <v>123</v>
      </c>
      <c r="F165" s="17" t="s">
        <v>302</v>
      </c>
      <c r="G165" s="16">
        <v>1</v>
      </c>
      <c r="H165" s="16">
        <v>1</v>
      </c>
      <c r="I165" s="46" t="s">
        <v>85</v>
      </c>
      <c r="J165" s="46" t="s">
        <v>85</v>
      </c>
      <c r="K165" s="16">
        <f>VLOOKUP(B165,Tabelle1!$A$1:$C$351,2,FALSE)</f>
        <v>1.0205207740654501</v>
      </c>
      <c r="L165" s="16">
        <f>VLOOKUP(B165,Tabelle1!$A$1:$C$351,3,FALSE)</f>
        <v>0.97615024431173403</v>
      </c>
      <c r="M165" s="19" t="s">
        <v>644</v>
      </c>
      <c r="N165" s="42" t="s">
        <v>85</v>
      </c>
      <c r="O165" s="42" t="s">
        <v>85</v>
      </c>
      <c r="P165" s="42" t="s">
        <v>85</v>
      </c>
      <c r="Q165" s="42" t="s">
        <v>85</v>
      </c>
      <c r="R165" s="16" t="s">
        <v>550</v>
      </c>
      <c r="S165" s="42" t="s">
        <v>85</v>
      </c>
      <c r="T165" s="42" t="s">
        <v>85</v>
      </c>
      <c r="U165" s="8" t="s">
        <v>91</v>
      </c>
    </row>
    <row r="166" spans="1:21" ht="16.5" customHeight="1" x14ac:dyDescent="0.25">
      <c r="A166" s="17" t="s">
        <v>626</v>
      </c>
      <c r="B166" s="8" t="s">
        <v>381</v>
      </c>
      <c r="C166" s="16" t="s">
        <v>338</v>
      </c>
      <c r="D166" s="17" t="s">
        <v>589</v>
      </c>
      <c r="E166" s="16" t="s">
        <v>123</v>
      </c>
      <c r="F166" s="17" t="s">
        <v>302</v>
      </c>
      <c r="G166" s="16">
        <v>1</v>
      </c>
      <c r="H166" s="16">
        <v>1</v>
      </c>
      <c r="I166" s="46" t="s">
        <v>85</v>
      </c>
      <c r="J166" s="46" t="s">
        <v>85</v>
      </c>
      <c r="K166" s="16">
        <f>VLOOKUP(B166,Tabelle1!$A$1:$C$351,2,FALSE)</f>
        <v>1.0895228216197601</v>
      </c>
      <c r="L166" s="16">
        <f>VLOOKUP(B166,Tabelle1!$A$1:$C$351,3,FALSE)</f>
        <v>1.04668204688221</v>
      </c>
      <c r="M166" s="19" t="s">
        <v>644</v>
      </c>
      <c r="N166" s="42" t="s">
        <v>85</v>
      </c>
      <c r="O166" s="42" t="s">
        <v>85</v>
      </c>
      <c r="P166" s="42" t="s">
        <v>85</v>
      </c>
      <c r="Q166" s="42" t="s">
        <v>85</v>
      </c>
      <c r="R166" s="16" t="s">
        <v>550</v>
      </c>
      <c r="S166" s="42" t="s">
        <v>85</v>
      </c>
      <c r="T166" s="42" t="s">
        <v>85</v>
      </c>
      <c r="U166" s="8" t="s">
        <v>91</v>
      </c>
    </row>
    <row r="167" spans="1:21" ht="16.5" customHeight="1" x14ac:dyDescent="0.25">
      <c r="A167" s="17" t="s">
        <v>626</v>
      </c>
      <c r="B167" s="8" t="s">
        <v>382</v>
      </c>
      <c r="C167" s="16" t="s">
        <v>338</v>
      </c>
      <c r="D167" s="17" t="s">
        <v>589</v>
      </c>
      <c r="E167" s="16" t="s">
        <v>123</v>
      </c>
      <c r="F167" s="17" t="s">
        <v>302</v>
      </c>
      <c r="G167" s="16">
        <v>1</v>
      </c>
      <c r="H167" s="16">
        <v>1</v>
      </c>
      <c r="I167" s="46" t="s">
        <v>85</v>
      </c>
      <c r="J167" s="46" t="s">
        <v>85</v>
      </c>
      <c r="K167" s="16">
        <f>VLOOKUP(B167,Tabelle1!$A$1:$C$351,2,FALSE)</f>
        <v>1.0461416679931399</v>
      </c>
      <c r="L167" s="16">
        <f>VLOOKUP(B167,Tabelle1!$A$1:$C$351,3,FALSE)</f>
        <v>0.98899860488500202</v>
      </c>
      <c r="M167" s="19" t="s">
        <v>644</v>
      </c>
      <c r="N167" s="42" t="s">
        <v>85</v>
      </c>
      <c r="O167" s="42" t="s">
        <v>85</v>
      </c>
      <c r="P167" s="42" t="s">
        <v>85</v>
      </c>
      <c r="Q167" s="42" t="s">
        <v>85</v>
      </c>
      <c r="R167" s="16" t="s">
        <v>550</v>
      </c>
      <c r="S167" s="42" t="s">
        <v>85</v>
      </c>
      <c r="T167" s="42" t="s">
        <v>85</v>
      </c>
      <c r="U167" s="8" t="s">
        <v>91</v>
      </c>
    </row>
    <row r="168" spans="1:21" ht="16.5" customHeight="1" x14ac:dyDescent="0.25">
      <c r="A168" s="17" t="s">
        <v>626</v>
      </c>
      <c r="B168" s="8" t="s">
        <v>383</v>
      </c>
      <c r="C168" s="16" t="s">
        <v>338</v>
      </c>
      <c r="D168" s="17" t="s">
        <v>589</v>
      </c>
      <c r="E168" s="16" t="s">
        <v>123</v>
      </c>
      <c r="F168" s="17" t="s">
        <v>302</v>
      </c>
      <c r="G168" s="16">
        <v>1</v>
      </c>
      <c r="H168" s="16">
        <v>1</v>
      </c>
      <c r="I168" s="46" t="s">
        <v>85</v>
      </c>
      <c r="J168" s="46" t="s">
        <v>85</v>
      </c>
      <c r="K168" s="16">
        <f>VLOOKUP(B168,Tabelle1!$A$1:$C$351,2,FALSE)</f>
        <v>0.92115179855039497</v>
      </c>
      <c r="L168" s="16">
        <f>VLOOKUP(B168,Tabelle1!$A$1:$C$351,3,FALSE)</f>
        <v>0.89142062053777904</v>
      </c>
      <c r="M168" s="19" t="s">
        <v>644</v>
      </c>
      <c r="N168" s="42" t="s">
        <v>85</v>
      </c>
      <c r="O168" s="42" t="s">
        <v>85</v>
      </c>
      <c r="P168" s="42" t="s">
        <v>85</v>
      </c>
      <c r="Q168" s="42" t="s">
        <v>85</v>
      </c>
      <c r="R168" s="16" t="s">
        <v>550</v>
      </c>
      <c r="S168" s="42" t="s">
        <v>85</v>
      </c>
      <c r="T168" s="42" t="s">
        <v>85</v>
      </c>
      <c r="U168" s="8" t="s">
        <v>91</v>
      </c>
    </row>
    <row r="169" spans="1:21" s="27" customFormat="1" ht="16.5" customHeight="1" x14ac:dyDescent="0.25">
      <c r="A169" s="30" t="s">
        <v>626</v>
      </c>
      <c r="B169" s="27" t="s">
        <v>384</v>
      </c>
      <c r="C169" s="29" t="s">
        <v>338</v>
      </c>
      <c r="D169" s="30" t="s">
        <v>589</v>
      </c>
      <c r="E169" s="29" t="s">
        <v>123</v>
      </c>
      <c r="F169" s="30" t="s">
        <v>302</v>
      </c>
      <c r="G169" s="29">
        <v>1</v>
      </c>
      <c r="H169" s="29">
        <v>1</v>
      </c>
      <c r="I169" s="47" t="s">
        <v>85</v>
      </c>
      <c r="J169" s="47" t="s">
        <v>85</v>
      </c>
      <c r="K169" s="29">
        <f>VLOOKUP(B169,Tabelle1!$A$1:$C$351,2,FALSE)</f>
        <v>0.84428561560863002</v>
      </c>
      <c r="L169" s="29">
        <f>VLOOKUP(B169,Tabelle1!$A$1:$C$351,3,FALSE)</f>
        <v>0.81429184301392699</v>
      </c>
      <c r="M169" s="21" t="s">
        <v>644</v>
      </c>
      <c r="N169" s="43" t="s">
        <v>85</v>
      </c>
      <c r="O169" s="43" t="s">
        <v>85</v>
      </c>
      <c r="P169" s="43" t="s">
        <v>85</v>
      </c>
      <c r="Q169" s="43" t="s">
        <v>85</v>
      </c>
      <c r="R169" s="29" t="s">
        <v>550</v>
      </c>
      <c r="S169" s="43" t="s">
        <v>85</v>
      </c>
      <c r="T169" s="43" t="s">
        <v>85</v>
      </c>
      <c r="U169" s="27" t="s">
        <v>91</v>
      </c>
    </row>
    <row r="170" spans="1:21" s="16" customFormat="1" ht="16.5" customHeight="1" x14ac:dyDescent="0.25">
      <c r="A170" s="17" t="s">
        <v>627</v>
      </c>
      <c r="B170" s="8" t="s">
        <v>396</v>
      </c>
      <c r="C170" s="16" t="s">
        <v>338</v>
      </c>
      <c r="D170" s="17" t="s">
        <v>589</v>
      </c>
      <c r="E170" s="16" t="s">
        <v>124</v>
      </c>
      <c r="F170" s="17" t="s">
        <v>302</v>
      </c>
      <c r="G170" s="16">
        <v>1</v>
      </c>
      <c r="H170" s="16">
        <v>1</v>
      </c>
      <c r="I170" s="46" t="s">
        <v>85</v>
      </c>
      <c r="J170" s="46" t="s">
        <v>85</v>
      </c>
      <c r="K170" s="16">
        <f>VLOOKUP(B170,Tabelle1!$A$1:$C$351,2,FALSE)</f>
        <v>0.91873174675403202</v>
      </c>
      <c r="L170" s="16">
        <f>VLOOKUP(B170,Tabelle1!$A$1:$C$351,3,FALSE)</f>
        <v>0.83691111229266602</v>
      </c>
      <c r="M170" s="16" t="s">
        <v>548</v>
      </c>
      <c r="N170" s="35" t="s">
        <v>85</v>
      </c>
      <c r="O170" s="35" t="s">
        <v>85</v>
      </c>
      <c r="P170" s="35" t="s">
        <v>85</v>
      </c>
      <c r="Q170" s="35" t="s">
        <v>85</v>
      </c>
      <c r="R170" s="16" t="s">
        <v>550</v>
      </c>
      <c r="S170" s="35" t="s">
        <v>85</v>
      </c>
      <c r="T170" s="35" t="s">
        <v>85</v>
      </c>
      <c r="U170" s="16" t="s">
        <v>91</v>
      </c>
    </row>
    <row r="171" spans="1:21" s="16" customFormat="1" ht="16.5" customHeight="1" x14ac:dyDescent="0.25">
      <c r="A171" s="17" t="s">
        <v>627</v>
      </c>
      <c r="B171" s="8" t="s">
        <v>397</v>
      </c>
      <c r="C171" s="16" t="s">
        <v>338</v>
      </c>
      <c r="D171" s="17" t="s">
        <v>589</v>
      </c>
      <c r="E171" s="16" t="s">
        <v>124</v>
      </c>
      <c r="F171" s="17" t="s">
        <v>302</v>
      </c>
      <c r="G171" s="16">
        <v>1</v>
      </c>
      <c r="H171" s="16">
        <v>1</v>
      </c>
      <c r="I171" s="46" t="s">
        <v>85</v>
      </c>
      <c r="J171" s="46" t="s">
        <v>85</v>
      </c>
      <c r="K171" s="16">
        <f>VLOOKUP(B171,Tabelle1!$A$1:$C$351,2,FALSE)</f>
        <v>1.0578887768127501</v>
      </c>
      <c r="L171" s="16">
        <f>VLOOKUP(B171,Tabelle1!$A$1:$C$351,3,FALSE)</f>
        <v>1.1735424589221799</v>
      </c>
      <c r="M171" s="16" t="s">
        <v>548</v>
      </c>
      <c r="N171" s="35" t="s">
        <v>85</v>
      </c>
      <c r="O171" s="35" t="s">
        <v>85</v>
      </c>
      <c r="P171" s="35" t="s">
        <v>85</v>
      </c>
      <c r="Q171" s="35" t="s">
        <v>85</v>
      </c>
      <c r="R171" s="16" t="s">
        <v>550</v>
      </c>
      <c r="S171" s="35" t="s">
        <v>85</v>
      </c>
      <c r="T171" s="35" t="s">
        <v>85</v>
      </c>
      <c r="U171" s="16" t="s">
        <v>91</v>
      </c>
    </row>
    <row r="172" spans="1:21" s="16" customFormat="1" ht="16.5" customHeight="1" x14ac:dyDescent="0.25">
      <c r="A172" s="17" t="s">
        <v>627</v>
      </c>
      <c r="B172" s="8" t="s">
        <v>398</v>
      </c>
      <c r="C172" s="16" t="s">
        <v>338</v>
      </c>
      <c r="D172" s="17" t="s">
        <v>589</v>
      </c>
      <c r="E172" s="16" t="s">
        <v>124</v>
      </c>
      <c r="F172" s="17" t="s">
        <v>302</v>
      </c>
      <c r="G172" s="16">
        <v>1</v>
      </c>
      <c r="H172" s="16">
        <v>1</v>
      </c>
      <c r="I172" s="46" t="s">
        <v>85</v>
      </c>
      <c r="J172" s="46" t="s">
        <v>85</v>
      </c>
      <c r="K172" s="16">
        <f>VLOOKUP(B172,Tabelle1!$A$1:$C$351,2,FALSE)</f>
        <v>1.1248857217441901</v>
      </c>
      <c r="L172" s="16">
        <f>VLOOKUP(B172,Tabelle1!$A$1:$C$351,3,FALSE)</f>
        <v>1.32398159089652</v>
      </c>
      <c r="M172" s="16" t="s">
        <v>548</v>
      </c>
      <c r="N172" s="35" t="s">
        <v>85</v>
      </c>
      <c r="O172" s="35" t="s">
        <v>85</v>
      </c>
      <c r="P172" s="35" t="s">
        <v>85</v>
      </c>
      <c r="Q172" s="35" t="s">
        <v>85</v>
      </c>
      <c r="R172" s="16" t="s">
        <v>550</v>
      </c>
      <c r="S172" s="35" t="s">
        <v>85</v>
      </c>
      <c r="T172" s="35" t="s">
        <v>85</v>
      </c>
      <c r="U172" s="16" t="s">
        <v>91</v>
      </c>
    </row>
    <row r="173" spans="1:21" s="16" customFormat="1" ht="16.5" customHeight="1" x14ac:dyDescent="0.25">
      <c r="A173" s="17" t="s">
        <v>627</v>
      </c>
      <c r="B173" s="8" t="s">
        <v>399</v>
      </c>
      <c r="C173" s="16" t="s">
        <v>338</v>
      </c>
      <c r="D173" s="17" t="s">
        <v>589</v>
      </c>
      <c r="E173" s="16" t="s">
        <v>124</v>
      </c>
      <c r="F173" s="17" t="s">
        <v>302</v>
      </c>
      <c r="G173" s="16">
        <v>1</v>
      </c>
      <c r="H173" s="16">
        <v>1</v>
      </c>
      <c r="I173" s="46" t="s">
        <v>85</v>
      </c>
      <c r="J173" s="46" t="s">
        <v>85</v>
      </c>
      <c r="K173" s="16">
        <f>VLOOKUP(B173,Tabelle1!$A$1:$C$351,2,FALSE)</f>
        <v>0.98854226566633796</v>
      </c>
      <c r="L173" s="16">
        <f>VLOOKUP(B173,Tabelle1!$A$1:$C$351,3,FALSE)</f>
        <v>0.976442196711509</v>
      </c>
      <c r="M173" s="16" t="s">
        <v>548</v>
      </c>
      <c r="N173" s="35" t="s">
        <v>85</v>
      </c>
      <c r="O173" s="35" t="s">
        <v>85</v>
      </c>
      <c r="P173" s="35" t="s">
        <v>85</v>
      </c>
      <c r="Q173" s="35" t="s">
        <v>85</v>
      </c>
      <c r="R173" s="16" t="s">
        <v>550</v>
      </c>
      <c r="S173" s="35" t="s">
        <v>85</v>
      </c>
      <c r="T173" s="35" t="s">
        <v>85</v>
      </c>
      <c r="U173" s="16" t="s">
        <v>91</v>
      </c>
    </row>
    <row r="174" spans="1:21" s="16" customFormat="1" ht="16.5" customHeight="1" x14ac:dyDescent="0.25">
      <c r="A174" s="17" t="s">
        <v>627</v>
      </c>
      <c r="B174" s="8" t="s">
        <v>400</v>
      </c>
      <c r="C174" s="16" t="s">
        <v>338</v>
      </c>
      <c r="D174" s="17" t="s">
        <v>589</v>
      </c>
      <c r="E174" s="16" t="s">
        <v>124</v>
      </c>
      <c r="F174" s="17" t="s">
        <v>302</v>
      </c>
      <c r="G174" s="16">
        <v>1</v>
      </c>
      <c r="H174" s="16">
        <v>1</v>
      </c>
      <c r="I174" s="46" t="s">
        <v>85</v>
      </c>
      <c r="J174" s="46" t="s">
        <v>85</v>
      </c>
      <c r="K174" s="16">
        <f>VLOOKUP(B174,Tabelle1!$A$1:$C$351,2,FALSE)</f>
        <v>1.01321477246891</v>
      </c>
      <c r="L174" s="16">
        <f>VLOOKUP(B174,Tabelle1!$A$1:$C$351,3,FALSE)</f>
        <v>1.0485151587988999</v>
      </c>
      <c r="M174" s="16" t="s">
        <v>548</v>
      </c>
      <c r="N174" s="35" t="s">
        <v>85</v>
      </c>
      <c r="O174" s="35" t="s">
        <v>85</v>
      </c>
      <c r="P174" s="35" t="s">
        <v>85</v>
      </c>
      <c r="Q174" s="35" t="s">
        <v>85</v>
      </c>
      <c r="R174" s="16" t="s">
        <v>550</v>
      </c>
      <c r="S174" s="35" t="s">
        <v>85</v>
      </c>
      <c r="T174" s="35" t="s">
        <v>85</v>
      </c>
      <c r="U174" s="16" t="s">
        <v>91</v>
      </c>
    </row>
    <row r="175" spans="1:21" s="16" customFormat="1" ht="16.5" customHeight="1" x14ac:dyDescent="0.25">
      <c r="A175" s="17" t="s">
        <v>627</v>
      </c>
      <c r="B175" s="8" t="s">
        <v>401</v>
      </c>
      <c r="C175" s="16" t="s">
        <v>338</v>
      </c>
      <c r="D175" s="17" t="s">
        <v>589</v>
      </c>
      <c r="E175" s="16" t="s">
        <v>124</v>
      </c>
      <c r="F175" s="17" t="s">
        <v>302</v>
      </c>
      <c r="G175" s="16">
        <v>1</v>
      </c>
      <c r="H175" s="16">
        <v>1</v>
      </c>
      <c r="I175" s="46" t="s">
        <v>85</v>
      </c>
      <c r="J175" s="46" t="s">
        <v>85</v>
      </c>
      <c r="K175" s="16">
        <f>VLOOKUP(B175,Tabelle1!$A$1:$C$351,2,FALSE)</f>
        <v>0.97656077607368896</v>
      </c>
      <c r="L175" s="16">
        <f>VLOOKUP(B175,Tabelle1!$A$1:$C$351,3,FALSE)</f>
        <v>1.14175561265263</v>
      </c>
      <c r="M175" s="16" t="s">
        <v>548</v>
      </c>
      <c r="N175" s="35" t="s">
        <v>85</v>
      </c>
      <c r="O175" s="35" t="s">
        <v>85</v>
      </c>
      <c r="P175" s="35" t="s">
        <v>85</v>
      </c>
      <c r="Q175" s="35" t="s">
        <v>85</v>
      </c>
      <c r="R175" s="16" t="s">
        <v>550</v>
      </c>
      <c r="S175" s="35" t="s">
        <v>85</v>
      </c>
      <c r="T175" s="35" t="s">
        <v>85</v>
      </c>
      <c r="U175" s="16" t="s">
        <v>91</v>
      </c>
    </row>
    <row r="176" spans="1:21" s="16" customFormat="1" ht="16.5" customHeight="1" x14ac:dyDescent="0.25">
      <c r="A176" s="17" t="s">
        <v>627</v>
      </c>
      <c r="B176" s="8" t="s">
        <v>402</v>
      </c>
      <c r="C176" s="16" t="s">
        <v>338</v>
      </c>
      <c r="D176" s="17" t="s">
        <v>589</v>
      </c>
      <c r="E176" s="16" t="s">
        <v>124</v>
      </c>
      <c r="F176" s="17" t="s">
        <v>302</v>
      </c>
      <c r="G176" s="16">
        <v>1</v>
      </c>
      <c r="H176" s="16">
        <v>1</v>
      </c>
      <c r="I176" s="46" t="s">
        <v>85</v>
      </c>
      <c r="J176" s="46" t="s">
        <v>85</v>
      </c>
      <c r="K176" s="16">
        <f>VLOOKUP(B176,Tabelle1!$A$1:$C$351,2,FALSE)</f>
        <v>0.96351299301330096</v>
      </c>
      <c r="L176" s="16">
        <f>VLOOKUP(B176,Tabelle1!$A$1:$C$351,3,FALSE)</f>
        <v>0.88733400442786603</v>
      </c>
      <c r="M176" s="16" t="s">
        <v>548</v>
      </c>
      <c r="N176" s="35" t="s">
        <v>85</v>
      </c>
      <c r="O176" s="35" t="s">
        <v>85</v>
      </c>
      <c r="P176" s="35" t="s">
        <v>85</v>
      </c>
      <c r="Q176" s="35" t="s">
        <v>85</v>
      </c>
      <c r="R176" s="16" t="s">
        <v>550</v>
      </c>
      <c r="S176" s="35" t="s">
        <v>85</v>
      </c>
      <c r="T176" s="35" t="s">
        <v>85</v>
      </c>
      <c r="U176" s="16" t="s">
        <v>91</v>
      </c>
    </row>
    <row r="177" spans="1:21" s="29" customFormat="1" ht="16.5" customHeight="1" x14ac:dyDescent="0.25">
      <c r="A177" s="30" t="s">
        <v>627</v>
      </c>
      <c r="B177" s="27" t="s">
        <v>403</v>
      </c>
      <c r="C177" s="29" t="s">
        <v>338</v>
      </c>
      <c r="D177" s="30" t="s">
        <v>589</v>
      </c>
      <c r="E177" s="29" t="s">
        <v>124</v>
      </c>
      <c r="F177" s="30" t="s">
        <v>302</v>
      </c>
      <c r="G177" s="29">
        <v>1</v>
      </c>
      <c r="H177" s="29">
        <v>1</v>
      </c>
      <c r="I177" s="47" t="s">
        <v>85</v>
      </c>
      <c r="J177" s="47" t="s">
        <v>85</v>
      </c>
      <c r="K177" s="29">
        <f>VLOOKUP(B177,Tabelle1!$A$1:$C$351,2,FALSE)</f>
        <v>1.05458494214245</v>
      </c>
      <c r="L177" s="29">
        <f>VLOOKUP(B177,Tabelle1!$A$1:$C$351,3,FALSE)</f>
        <v>0.97489744326954897</v>
      </c>
      <c r="M177" s="29" t="s">
        <v>548</v>
      </c>
      <c r="N177" s="41" t="s">
        <v>85</v>
      </c>
      <c r="O177" s="41" t="s">
        <v>85</v>
      </c>
      <c r="P177" s="41" t="s">
        <v>85</v>
      </c>
      <c r="Q177" s="41" t="s">
        <v>85</v>
      </c>
      <c r="R177" s="29" t="s">
        <v>550</v>
      </c>
      <c r="S177" s="41" t="s">
        <v>85</v>
      </c>
      <c r="T177" s="41" t="s">
        <v>85</v>
      </c>
      <c r="U177" s="29" t="s">
        <v>91</v>
      </c>
    </row>
    <row r="178" spans="1:21" s="16" customFormat="1" ht="16.5" customHeight="1" x14ac:dyDescent="0.25">
      <c r="A178" s="17" t="s">
        <v>601</v>
      </c>
      <c r="B178" s="8" t="s">
        <v>427</v>
      </c>
      <c r="C178" s="19" t="s">
        <v>338</v>
      </c>
      <c r="D178" s="24" t="s">
        <v>585</v>
      </c>
      <c r="E178" s="19" t="s">
        <v>491</v>
      </c>
      <c r="F178" s="17" t="s">
        <v>302</v>
      </c>
      <c r="G178" s="8">
        <v>0</v>
      </c>
      <c r="H178" s="8">
        <v>0</v>
      </c>
      <c r="I178" s="42" t="s">
        <v>85</v>
      </c>
      <c r="J178" s="42" t="s">
        <v>85</v>
      </c>
      <c r="K178" s="8" t="str">
        <f>VLOOKUP(B178,Tabelle1!$A$1:$C$351,2,FALSE)</f>
        <v>NA</v>
      </c>
      <c r="L178" s="8" t="str">
        <f>VLOOKUP(B178,Tabelle1!$A$1:$C$351,3,FALSE)</f>
        <v>NA</v>
      </c>
      <c r="M178" s="19" t="s">
        <v>285</v>
      </c>
      <c r="N178" s="16" t="s">
        <v>666</v>
      </c>
      <c r="O178" s="19" t="s">
        <v>545</v>
      </c>
      <c r="P178" s="19" t="s">
        <v>546</v>
      </c>
      <c r="Q178" s="19" t="s">
        <v>652</v>
      </c>
      <c r="R178" s="8" t="s">
        <v>550</v>
      </c>
      <c r="S178" s="19" t="s">
        <v>547</v>
      </c>
      <c r="T178" s="18" t="s">
        <v>653</v>
      </c>
      <c r="U178" s="16" t="s">
        <v>538</v>
      </c>
    </row>
    <row r="179" spans="1:21" s="16" customFormat="1" ht="16.5" customHeight="1" x14ac:dyDescent="0.25">
      <c r="A179" s="17" t="s">
        <v>601</v>
      </c>
      <c r="B179" s="8" t="s">
        <v>428</v>
      </c>
      <c r="C179" s="19" t="s">
        <v>338</v>
      </c>
      <c r="D179" s="24" t="s">
        <v>585</v>
      </c>
      <c r="E179" s="19" t="s">
        <v>491</v>
      </c>
      <c r="F179" s="17" t="s">
        <v>302</v>
      </c>
      <c r="G179" s="8">
        <v>3.0607499999999999E-2</v>
      </c>
      <c r="H179" s="8">
        <v>3.0607500000000001E-3</v>
      </c>
      <c r="I179" s="42" t="s">
        <v>85</v>
      </c>
      <c r="J179" s="42" t="s">
        <v>85</v>
      </c>
      <c r="K179" s="8">
        <f>VLOOKUP(B179,Tabelle1!$A$1:$C$351,2,FALSE)</f>
        <v>3.0885382915247998E-2</v>
      </c>
      <c r="L179" s="8">
        <f>VLOOKUP(B179,Tabelle1!$A$1:$C$351,3,FALSE)</f>
        <v>3.23013465987418E-3</v>
      </c>
      <c r="M179" s="19" t="s">
        <v>285</v>
      </c>
      <c r="N179" s="16" t="s">
        <v>666</v>
      </c>
      <c r="O179" s="19" t="s">
        <v>545</v>
      </c>
      <c r="P179" s="19" t="s">
        <v>546</v>
      </c>
      <c r="Q179" s="19" t="s">
        <v>652</v>
      </c>
      <c r="R179" s="8" t="s">
        <v>550</v>
      </c>
      <c r="S179" s="19" t="s">
        <v>547</v>
      </c>
      <c r="T179" s="18" t="s">
        <v>653</v>
      </c>
      <c r="U179" s="16" t="s">
        <v>538</v>
      </c>
    </row>
    <row r="180" spans="1:21" s="16" customFormat="1" ht="16.5" customHeight="1" x14ac:dyDescent="0.25">
      <c r="A180" s="17" t="s">
        <v>601</v>
      </c>
      <c r="B180" s="8" t="s">
        <v>429</v>
      </c>
      <c r="C180" s="19" t="s">
        <v>338</v>
      </c>
      <c r="D180" s="24" t="s">
        <v>585</v>
      </c>
      <c r="E180" s="19" t="s">
        <v>491</v>
      </c>
      <c r="F180" s="17" t="s">
        <v>302</v>
      </c>
      <c r="G180" s="8">
        <v>1.2474000000000001E-3</v>
      </c>
      <c r="H180" s="8">
        <v>1.2474E-4</v>
      </c>
      <c r="I180" s="42" t="s">
        <v>85</v>
      </c>
      <c r="J180" s="42" t="s">
        <v>85</v>
      </c>
      <c r="K180" s="8">
        <f>VLOOKUP(B180,Tabelle1!$A$1:$C$351,2,FALSE)</f>
        <v>1.24490834317288E-3</v>
      </c>
      <c r="L180" s="8">
        <f>VLOOKUP(B180,Tabelle1!$A$1:$C$351,3,FALSE)</f>
        <v>1.2469284101149499E-4</v>
      </c>
      <c r="M180" s="19" t="s">
        <v>285</v>
      </c>
      <c r="N180" s="16" t="s">
        <v>666</v>
      </c>
      <c r="O180" s="19" t="s">
        <v>545</v>
      </c>
      <c r="P180" s="19" t="s">
        <v>546</v>
      </c>
      <c r="Q180" s="19" t="s">
        <v>652</v>
      </c>
      <c r="R180" s="8" t="s">
        <v>550</v>
      </c>
      <c r="S180" s="19" t="s">
        <v>547</v>
      </c>
      <c r="T180" s="18" t="s">
        <v>653</v>
      </c>
      <c r="U180" s="16" t="s">
        <v>538</v>
      </c>
    </row>
    <row r="181" spans="1:21" s="16" customFormat="1" ht="16.5" customHeight="1" x14ac:dyDescent="0.25">
      <c r="A181" s="17" t="s">
        <v>601</v>
      </c>
      <c r="B181" s="8" t="s">
        <v>430</v>
      </c>
      <c r="C181" s="19" t="s">
        <v>338</v>
      </c>
      <c r="D181" s="24" t="s">
        <v>585</v>
      </c>
      <c r="E181" s="19" t="s">
        <v>491</v>
      </c>
      <c r="F181" s="17" t="s">
        <v>302</v>
      </c>
      <c r="G181" s="8">
        <v>1.5839999999999999E-3</v>
      </c>
      <c r="H181" s="8">
        <v>1.584E-4</v>
      </c>
      <c r="I181" s="42" t="s">
        <v>85</v>
      </c>
      <c r="J181" s="42" t="s">
        <v>85</v>
      </c>
      <c r="K181" s="8">
        <f>VLOOKUP(B181,Tabelle1!$A$1:$C$351,2,FALSE)</f>
        <v>1.5765003516011501E-3</v>
      </c>
      <c r="L181" s="8">
        <f>VLOOKUP(B181,Tabelle1!$A$1:$C$351,3,FALSE)</f>
        <v>1.6494328621632001E-4</v>
      </c>
      <c r="M181" s="19" t="s">
        <v>285</v>
      </c>
      <c r="N181" s="16" t="s">
        <v>666</v>
      </c>
      <c r="O181" s="19" t="s">
        <v>545</v>
      </c>
      <c r="P181" s="19" t="s">
        <v>546</v>
      </c>
      <c r="Q181" s="19" t="s">
        <v>652</v>
      </c>
      <c r="R181" s="8" t="s">
        <v>550</v>
      </c>
      <c r="S181" s="19" t="s">
        <v>547</v>
      </c>
      <c r="T181" s="18" t="s">
        <v>653</v>
      </c>
      <c r="U181" s="16" t="s">
        <v>538</v>
      </c>
    </row>
    <row r="182" spans="1:21" s="16" customFormat="1" ht="16.5" customHeight="1" x14ac:dyDescent="0.25">
      <c r="A182" s="17" t="s">
        <v>601</v>
      </c>
      <c r="B182" s="8" t="s">
        <v>431</v>
      </c>
      <c r="C182" s="19" t="s">
        <v>338</v>
      </c>
      <c r="D182" s="24" t="s">
        <v>585</v>
      </c>
      <c r="E182" s="19" t="s">
        <v>491</v>
      </c>
      <c r="F182" s="17" t="s">
        <v>302</v>
      </c>
      <c r="G182" s="8">
        <v>4.2991669999999996E-3</v>
      </c>
      <c r="H182" s="8">
        <v>4.2991699999999998E-4</v>
      </c>
      <c r="I182" s="42" t="s">
        <v>85</v>
      </c>
      <c r="J182" s="42" t="s">
        <v>85</v>
      </c>
      <c r="K182" s="8">
        <f>VLOOKUP(B182,Tabelle1!$A$1:$C$351,2,FALSE)</f>
        <v>4.3083992469888002E-3</v>
      </c>
      <c r="L182" s="8">
        <f>VLOOKUP(B182,Tabelle1!$A$1:$C$351,3,FALSE)</f>
        <v>4.33290470266662E-4</v>
      </c>
      <c r="M182" s="19" t="s">
        <v>285</v>
      </c>
      <c r="N182" s="16" t="s">
        <v>667</v>
      </c>
      <c r="O182" s="19" t="s">
        <v>545</v>
      </c>
      <c r="P182" s="19" t="s">
        <v>546</v>
      </c>
      <c r="Q182" s="19" t="s">
        <v>652</v>
      </c>
      <c r="R182" s="8" t="s">
        <v>550</v>
      </c>
      <c r="S182" s="19" t="s">
        <v>547</v>
      </c>
      <c r="T182" s="18" t="s">
        <v>653</v>
      </c>
      <c r="U182" s="16" t="s">
        <v>538</v>
      </c>
    </row>
    <row r="183" spans="1:21" s="16" customFormat="1" ht="16.5" customHeight="1" x14ac:dyDescent="0.25">
      <c r="A183" s="17" t="s">
        <v>601</v>
      </c>
      <c r="B183" s="8" t="s">
        <v>432</v>
      </c>
      <c r="C183" s="19" t="s">
        <v>338</v>
      </c>
      <c r="D183" s="24" t="s">
        <v>585</v>
      </c>
      <c r="E183" s="19" t="s">
        <v>491</v>
      </c>
      <c r="F183" s="17" t="s">
        <v>302</v>
      </c>
      <c r="G183" s="8">
        <v>0.13065781700000001</v>
      </c>
      <c r="H183" s="8">
        <v>1.3065782E-2</v>
      </c>
      <c r="I183" s="42" t="s">
        <v>85</v>
      </c>
      <c r="J183" s="42" t="s">
        <v>85</v>
      </c>
      <c r="K183" s="8">
        <f>VLOOKUP(B183,Tabelle1!$A$1:$C$351,2,FALSE)</f>
        <v>0.13097066037428501</v>
      </c>
      <c r="L183" s="8">
        <f>VLOOKUP(B183,Tabelle1!$A$1:$C$351,3,FALSE)</f>
        <v>1.3772588902653E-2</v>
      </c>
      <c r="M183" s="19" t="s">
        <v>285</v>
      </c>
      <c r="N183" s="16" t="s">
        <v>667</v>
      </c>
      <c r="O183" s="19" t="s">
        <v>545</v>
      </c>
      <c r="P183" s="19" t="s">
        <v>546</v>
      </c>
      <c r="Q183" s="19" t="s">
        <v>652</v>
      </c>
      <c r="R183" s="8" t="s">
        <v>550</v>
      </c>
      <c r="S183" s="19" t="s">
        <v>547</v>
      </c>
      <c r="T183" s="18" t="s">
        <v>653</v>
      </c>
      <c r="U183" s="16" t="s">
        <v>538</v>
      </c>
    </row>
    <row r="184" spans="1:21" s="16" customFormat="1" ht="16.5" customHeight="1" x14ac:dyDescent="0.25">
      <c r="A184" s="17" t="s">
        <v>601</v>
      </c>
      <c r="B184" s="8" t="s">
        <v>433</v>
      </c>
      <c r="C184" s="19" t="s">
        <v>338</v>
      </c>
      <c r="D184" s="24" t="s">
        <v>585</v>
      </c>
      <c r="E184" s="19" t="s">
        <v>491</v>
      </c>
      <c r="F184" s="17" t="s">
        <v>302</v>
      </c>
      <c r="G184" s="8">
        <v>6.9956039999999997E-2</v>
      </c>
      <c r="H184" s="8">
        <v>6.9956039999999999E-3</v>
      </c>
      <c r="I184" s="42" t="s">
        <v>85</v>
      </c>
      <c r="J184" s="42" t="s">
        <v>85</v>
      </c>
      <c r="K184" s="8">
        <f>VLOOKUP(B184,Tabelle1!$A$1:$C$351,2,FALSE)</f>
        <v>6.9584340594451496E-2</v>
      </c>
      <c r="L184" s="8">
        <f>VLOOKUP(B184,Tabelle1!$A$1:$C$351,3,FALSE)</f>
        <v>7.2285385036948199E-3</v>
      </c>
      <c r="M184" s="19" t="s">
        <v>285</v>
      </c>
      <c r="N184" s="16" t="s">
        <v>667</v>
      </c>
      <c r="O184" s="19" t="s">
        <v>545</v>
      </c>
      <c r="P184" s="19" t="s">
        <v>546</v>
      </c>
      <c r="Q184" s="19" t="s">
        <v>652</v>
      </c>
      <c r="R184" s="8" t="s">
        <v>550</v>
      </c>
      <c r="S184" s="19" t="s">
        <v>547</v>
      </c>
      <c r="T184" s="18" t="s">
        <v>653</v>
      </c>
      <c r="U184" s="16" t="s">
        <v>538</v>
      </c>
    </row>
    <row r="185" spans="1:21" s="16" customFormat="1" ht="16.5" customHeight="1" x14ac:dyDescent="0.25">
      <c r="A185" s="17" t="s">
        <v>601</v>
      </c>
      <c r="B185" s="8" t="s">
        <v>434</v>
      </c>
      <c r="C185" s="19" t="s">
        <v>338</v>
      </c>
      <c r="D185" s="24" t="s">
        <v>585</v>
      </c>
      <c r="E185" s="19" t="s">
        <v>491</v>
      </c>
      <c r="F185" s="17" t="s">
        <v>302</v>
      </c>
      <c r="G185" s="8">
        <v>9.7705139999999992E-3</v>
      </c>
      <c r="H185" s="8">
        <v>9.7705100000000005E-4</v>
      </c>
      <c r="I185" s="42" t="s">
        <v>85</v>
      </c>
      <c r="J185" s="42" t="s">
        <v>85</v>
      </c>
      <c r="K185" s="8">
        <f>VLOOKUP(B185,Tabelle1!$A$1:$C$351,2,FALSE)</f>
        <v>9.7560945247757696E-3</v>
      </c>
      <c r="L185" s="8">
        <f>VLOOKUP(B185,Tabelle1!$A$1:$C$351,3,FALSE)</f>
        <v>1.06254495650323E-3</v>
      </c>
      <c r="M185" s="19" t="s">
        <v>285</v>
      </c>
      <c r="N185" s="16" t="s">
        <v>667</v>
      </c>
      <c r="O185" s="19" t="s">
        <v>545</v>
      </c>
      <c r="P185" s="19" t="s">
        <v>546</v>
      </c>
      <c r="Q185" s="19" t="s">
        <v>652</v>
      </c>
      <c r="R185" s="8" t="s">
        <v>550</v>
      </c>
      <c r="S185" s="19" t="s">
        <v>547</v>
      </c>
      <c r="T185" s="18" t="s">
        <v>653</v>
      </c>
      <c r="U185" s="16" t="s">
        <v>538</v>
      </c>
    </row>
    <row r="186" spans="1:21" s="16" customFormat="1" ht="16.5" customHeight="1" x14ac:dyDescent="0.25">
      <c r="A186" s="17" t="s">
        <v>601</v>
      </c>
      <c r="B186" s="8" t="s">
        <v>439</v>
      </c>
      <c r="C186" s="19" t="s">
        <v>338</v>
      </c>
      <c r="D186" s="24" t="s">
        <v>585</v>
      </c>
      <c r="E186" s="19" t="s">
        <v>491</v>
      </c>
      <c r="F186" s="17" t="s">
        <v>302</v>
      </c>
      <c r="G186" s="8">
        <v>0</v>
      </c>
      <c r="H186" s="8">
        <v>0</v>
      </c>
      <c r="I186" s="42" t="s">
        <v>85</v>
      </c>
      <c r="J186" s="42" t="s">
        <v>85</v>
      </c>
      <c r="K186" s="8" t="str">
        <f>VLOOKUP(B186,Tabelle1!$A$1:$C$351,2,FALSE)</f>
        <v>NA</v>
      </c>
      <c r="L186" s="8" t="str">
        <f>VLOOKUP(B186,Tabelle1!$A$1:$C$351,3,FALSE)</f>
        <v>NA</v>
      </c>
      <c r="M186" s="19" t="s">
        <v>285</v>
      </c>
      <c r="N186" s="16" t="s">
        <v>668</v>
      </c>
      <c r="O186" s="19" t="s">
        <v>545</v>
      </c>
      <c r="P186" s="19" t="s">
        <v>546</v>
      </c>
      <c r="Q186" s="19" t="s">
        <v>652</v>
      </c>
      <c r="R186" s="8" t="s">
        <v>550</v>
      </c>
      <c r="S186" s="19" t="s">
        <v>547</v>
      </c>
      <c r="T186" s="18" t="s">
        <v>653</v>
      </c>
      <c r="U186" s="16" t="s">
        <v>538</v>
      </c>
    </row>
    <row r="187" spans="1:21" s="16" customFormat="1" ht="16.5" customHeight="1" x14ac:dyDescent="0.25">
      <c r="A187" s="17" t="s">
        <v>601</v>
      </c>
      <c r="B187" s="8" t="s">
        <v>440</v>
      </c>
      <c r="C187" s="19" t="s">
        <v>338</v>
      </c>
      <c r="D187" s="24" t="s">
        <v>585</v>
      </c>
      <c r="E187" s="19" t="s">
        <v>491</v>
      </c>
      <c r="F187" s="17" t="s">
        <v>302</v>
      </c>
      <c r="G187" s="8">
        <v>0</v>
      </c>
      <c r="H187" s="8">
        <v>0</v>
      </c>
      <c r="I187" s="42" t="s">
        <v>85</v>
      </c>
      <c r="J187" s="42" t="s">
        <v>85</v>
      </c>
      <c r="K187" s="8" t="str">
        <f>VLOOKUP(B187,Tabelle1!$A$1:$C$351,2,FALSE)</f>
        <v>NA</v>
      </c>
      <c r="L187" s="8" t="str">
        <f>VLOOKUP(B187,Tabelle1!$A$1:$C$351,3,FALSE)</f>
        <v>NA</v>
      </c>
      <c r="M187" s="19" t="s">
        <v>285</v>
      </c>
      <c r="N187" s="16" t="s">
        <v>668</v>
      </c>
      <c r="O187" s="19" t="s">
        <v>545</v>
      </c>
      <c r="P187" s="19" t="s">
        <v>546</v>
      </c>
      <c r="Q187" s="19" t="s">
        <v>652</v>
      </c>
      <c r="R187" s="8" t="s">
        <v>550</v>
      </c>
      <c r="S187" s="19" t="s">
        <v>547</v>
      </c>
      <c r="T187" s="18" t="s">
        <v>653</v>
      </c>
      <c r="U187" s="16" t="s">
        <v>538</v>
      </c>
    </row>
    <row r="188" spans="1:21" s="16" customFormat="1" ht="16.5" customHeight="1" x14ac:dyDescent="0.25">
      <c r="A188" s="17" t="s">
        <v>601</v>
      </c>
      <c r="B188" s="8" t="s">
        <v>441</v>
      </c>
      <c r="C188" s="19" t="s">
        <v>338</v>
      </c>
      <c r="D188" s="24" t="s">
        <v>585</v>
      </c>
      <c r="E188" s="19" t="s">
        <v>491</v>
      </c>
      <c r="F188" s="17" t="s">
        <v>302</v>
      </c>
      <c r="G188" s="8">
        <v>1.2117599999999999E-2</v>
      </c>
      <c r="H188" s="8">
        <v>1.2117600000000001E-3</v>
      </c>
      <c r="I188" s="42" t="s">
        <v>85</v>
      </c>
      <c r="J188" s="42" t="s">
        <v>85</v>
      </c>
      <c r="K188" s="8">
        <f>VLOOKUP(B188,Tabelle1!$A$1:$C$351,2,FALSE)</f>
        <v>1.2137761372409E-2</v>
      </c>
      <c r="L188" s="8">
        <f>VLOOKUP(B188,Tabelle1!$A$1:$C$351,3,FALSE)</f>
        <v>1.2252439109941499E-3</v>
      </c>
      <c r="M188" s="19" t="s">
        <v>285</v>
      </c>
      <c r="N188" s="16" t="s">
        <v>668</v>
      </c>
      <c r="O188" s="19" t="s">
        <v>545</v>
      </c>
      <c r="P188" s="19" t="s">
        <v>546</v>
      </c>
      <c r="Q188" s="19" t="s">
        <v>652</v>
      </c>
      <c r="R188" s="8" t="s">
        <v>550</v>
      </c>
      <c r="S188" s="19" t="s">
        <v>547</v>
      </c>
      <c r="T188" s="18" t="s">
        <v>653</v>
      </c>
      <c r="U188" s="16" t="s">
        <v>538</v>
      </c>
    </row>
    <row r="189" spans="1:21" s="16" customFormat="1" ht="16.5" customHeight="1" x14ac:dyDescent="0.25">
      <c r="A189" s="17" t="s">
        <v>601</v>
      </c>
      <c r="B189" s="8" t="s">
        <v>442</v>
      </c>
      <c r="C189" s="19" t="s">
        <v>338</v>
      </c>
      <c r="D189" s="24" t="s">
        <v>585</v>
      </c>
      <c r="E189" s="19" t="s">
        <v>491</v>
      </c>
      <c r="F189" s="17" t="s">
        <v>302</v>
      </c>
      <c r="G189" s="8">
        <v>0</v>
      </c>
      <c r="H189" s="8">
        <v>0</v>
      </c>
      <c r="I189" s="42" t="s">
        <v>85</v>
      </c>
      <c r="J189" s="42" t="s">
        <v>85</v>
      </c>
      <c r="K189" s="8" t="str">
        <f>VLOOKUP(B189,Tabelle1!$A$1:$C$351,2,FALSE)</f>
        <v>NA</v>
      </c>
      <c r="L189" s="8" t="str">
        <f>VLOOKUP(B189,Tabelle1!$A$1:$C$351,3,FALSE)</f>
        <v>NA</v>
      </c>
      <c r="M189" s="19" t="s">
        <v>285</v>
      </c>
      <c r="N189" s="16" t="s">
        <v>668</v>
      </c>
      <c r="O189" s="19" t="s">
        <v>545</v>
      </c>
      <c r="P189" s="19" t="s">
        <v>546</v>
      </c>
      <c r="Q189" s="19" t="s">
        <v>652</v>
      </c>
      <c r="R189" s="8" t="s">
        <v>550</v>
      </c>
      <c r="S189" s="19" t="s">
        <v>547</v>
      </c>
      <c r="T189" s="18" t="s">
        <v>653</v>
      </c>
      <c r="U189" s="16" t="s">
        <v>538</v>
      </c>
    </row>
    <row r="190" spans="1:21" s="16" customFormat="1" ht="16.5" customHeight="1" x14ac:dyDescent="0.25">
      <c r="A190" s="17" t="s">
        <v>601</v>
      </c>
      <c r="B190" s="8" t="s">
        <v>443</v>
      </c>
      <c r="C190" s="19" t="s">
        <v>338</v>
      </c>
      <c r="D190" s="24" t="s">
        <v>585</v>
      </c>
      <c r="E190" s="19" t="s">
        <v>491</v>
      </c>
      <c r="F190" s="17" t="s">
        <v>302</v>
      </c>
      <c r="G190" s="8">
        <v>0.123278833</v>
      </c>
      <c r="H190" s="8">
        <v>1.2327883E-2</v>
      </c>
      <c r="I190" s="42" t="s">
        <v>85</v>
      </c>
      <c r="J190" s="42" t="s">
        <v>85</v>
      </c>
      <c r="K190" s="8">
        <f>VLOOKUP(B190,Tabelle1!$A$1:$C$351,2,FALSE)</f>
        <v>0.122852988390759</v>
      </c>
      <c r="L190" s="8">
        <f>VLOOKUP(B190,Tabelle1!$A$1:$C$351,3,FALSE)</f>
        <v>1.26141634249252E-2</v>
      </c>
      <c r="M190" s="19" t="s">
        <v>285</v>
      </c>
      <c r="N190" s="16" t="s">
        <v>669</v>
      </c>
      <c r="O190" s="19" t="s">
        <v>545</v>
      </c>
      <c r="P190" s="19" t="s">
        <v>546</v>
      </c>
      <c r="Q190" s="19" t="s">
        <v>652</v>
      </c>
      <c r="R190" s="8" t="s">
        <v>550</v>
      </c>
      <c r="S190" s="19" t="s">
        <v>547</v>
      </c>
      <c r="T190" s="18" t="s">
        <v>653</v>
      </c>
      <c r="U190" s="16" t="s">
        <v>538</v>
      </c>
    </row>
    <row r="191" spans="1:21" s="16" customFormat="1" ht="16.5" customHeight="1" x14ac:dyDescent="0.25">
      <c r="A191" s="17" t="s">
        <v>601</v>
      </c>
      <c r="B191" s="8" t="s">
        <v>444</v>
      </c>
      <c r="C191" s="19" t="s">
        <v>338</v>
      </c>
      <c r="D191" s="24" t="s">
        <v>585</v>
      </c>
      <c r="E191" s="19" t="s">
        <v>491</v>
      </c>
      <c r="F191" s="17" t="s">
        <v>302</v>
      </c>
      <c r="G191" s="8">
        <v>8.2410167000000006E-2</v>
      </c>
      <c r="H191" s="8">
        <v>8.2410169999999998E-3</v>
      </c>
      <c r="I191" s="42" t="s">
        <v>85</v>
      </c>
      <c r="J191" s="42" t="s">
        <v>85</v>
      </c>
      <c r="K191" s="8">
        <f>VLOOKUP(B191,Tabelle1!$A$1:$C$351,2,FALSE)</f>
        <v>8.2784190417014597E-2</v>
      </c>
      <c r="L191" s="8">
        <f>VLOOKUP(B191,Tabelle1!$A$1:$C$351,3,FALSE)</f>
        <v>8.0282909781627596E-3</v>
      </c>
      <c r="M191" s="19" t="s">
        <v>285</v>
      </c>
      <c r="N191" s="16" t="s">
        <v>669</v>
      </c>
      <c r="O191" s="19" t="s">
        <v>545</v>
      </c>
      <c r="P191" s="19" t="s">
        <v>546</v>
      </c>
      <c r="Q191" s="19" t="s">
        <v>652</v>
      </c>
      <c r="R191" s="8" t="s">
        <v>550</v>
      </c>
      <c r="S191" s="19" t="s">
        <v>547</v>
      </c>
      <c r="T191" s="18" t="s">
        <v>653</v>
      </c>
      <c r="U191" s="16" t="s">
        <v>538</v>
      </c>
    </row>
    <row r="192" spans="1:21" s="16" customFormat="1" ht="16.5" customHeight="1" x14ac:dyDescent="0.25">
      <c r="A192" s="17" t="s">
        <v>601</v>
      </c>
      <c r="B192" s="8" t="s">
        <v>445</v>
      </c>
      <c r="C192" s="19" t="s">
        <v>338</v>
      </c>
      <c r="D192" s="24" t="s">
        <v>585</v>
      </c>
      <c r="E192" s="19" t="s">
        <v>491</v>
      </c>
      <c r="F192" s="17" t="s">
        <v>302</v>
      </c>
      <c r="G192" s="8">
        <v>0.4346584</v>
      </c>
      <c r="H192" s="8">
        <v>4.3465839999999999E-2</v>
      </c>
      <c r="I192" s="42" t="s">
        <v>85</v>
      </c>
      <c r="J192" s="42" t="s">
        <v>85</v>
      </c>
      <c r="K192" s="8">
        <f>VLOOKUP(B192,Tabelle1!$A$1:$C$351,2,FALSE)</f>
        <v>0.430904243614885</v>
      </c>
      <c r="L192" s="8">
        <f>VLOOKUP(B192,Tabelle1!$A$1:$C$351,3,FALSE)</f>
        <v>4.2244765609760003E-2</v>
      </c>
      <c r="M192" s="19" t="s">
        <v>285</v>
      </c>
      <c r="N192" s="16" t="s">
        <v>669</v>
      </c>
      <c r="O192" s="19" t="s">
        <v>545</v>
      </c>
      <c r="P192" s="19" t="s">
        <v>546</v>
      </c>
      <c r="Q192" s="19" t="s">
        <v>652</v>
      </c>
      <c r="R192" s="8" t="s">
        <v>550</v>
      </c>
      <c r="S192" s="19" t="s">
        <v>547</v>
      </c>
      <c r="T192" s="18" t="s">
        <v>653</v>
      </c>
      <c r="U192" s="16" t="s">
        <v>538</v>
      </c>
    </row>
    <row r="193" spans="1:21" s="16" customFormat="1" ht="16.5" customHeight="1" x14ac:dyDescent="0.25">
      <c r="A193" s="17" t="s">
        <v>601</v>
      </c>
      <c r="B193" s="8" t="s">
        <v>446</v>
      </c>
      <c r="C193" s="19" t="s">
        <v>338</v>
      </c>
      <c r="D193" s="24" t="s">
        <v>585</v>
      </c>
      <c r="E193" s="19" t="s">
        <v>491</v>
      </c>
      <c r="F193" s="17" t="s">
        <v>302</v>
      </c>
      <c r="G193" s="8">
        <v>5.7426286E-2</v>
      </c>
      <c r="H193" s="8">
        <v>5.742629E-3</v>
      </c>
      <c r="I193" s="42" t="s">
        <v>85</v>
      </c>
      <c r="J193" s="42" t="s">
        <v>85</v>
      </c>
      <c r="K193" s="8">
        <f>VLOOKUP(B193,Tabelle1!$A$1:$C$351,2,FALSE)</f>
        <v>5.7570259577803699E-2</v>
      </c>
      <c r="L193" s="8">
        <f>VLOOKUP(B193,Tabelle1!$A$1:$C$351,3,FALSE)</f>
        <v>5.7763893764656996E-3</v>
      </c>
      <c r="M193" s="19" t="s">
        <v>285</v>
      </c>
      <c r="N193" s="16" t="s">
        <v>669</v>
      </c>
      <c r="O193" s="19" t="s">
        <v>545</v>
      </c>
      <c r="P193" s="19" t="s">
        <v>546</v>
      </c>
      <c r="Q193" s="19" t="s">
        <v>652</v>
      </c>
      <c r="R193" s="8" t="s">
        <v>550</v>
      </c>
      <c r="S193" s="19" t="s">
        <v>547</v>
      </c>
      <c r="T193" s="18" t="s">
        <v>653</v>
      </c>
      <c r="U193" s="16" t="s">
        <v>538</v>
      </c>
    </row>
    <row r="194" spans="1:21" s="16" customFormat="1" ht="16.5" customHeight="1" x14ac:dyDescent="0.25">
      <c r="A194" s="17" t="s">
        <v>601</v>
      </c>
      <c r="B194" s="8" t="s">
        <v>447</v>
      </c>
      <c r="C194" s="19" t="s">
        <v>338</v>
      </c>
      <c r="D194" s="24" t="s">
        <v>585</v>
      </c>
      <c r="E194" s="19" t="s">
        <v>491</v>
      </c>
      <c r="F194" s="17" t="s">
        <v>302</v>
      </c>
      <c r="G194" s="8">
        <v>0</v>
      </c>
      <c r="H194" s="8">
        <v>0</v>
      </c>
      <c r="I194" s="42" t="s">
        <v>85</v>
      </c>
      <c r="J194" s="42" t="s">
        <v>85</v>
      </c>
      <c r="K194" s="8" t="str">
        <f>VLOOKUP(B194,Tabelle1!$A$1:$C$351,2,FALSE)</f>
        <v>NA</v>
      </c>
      <c r="L194" s="8" t="str">
        <f>VLOOKUP(B194,Tabelle1!$A$1:$C$351,3,FALSE)</f>
        <v>NA</v>
      </c>
      <c r="M194" s="19" t="s">
        <v>285</v>
      </c>
      <c r="N194" s="16" t="s">
        <v>670</v>
      </c>
      <c r="O194" s="19" t="s">
        <v>545</v>
      </c>
      <c r="P194" s="19" t="s">
        <v>546</v>
      </c>
      <c r="Q194" s="19" t="s">
        <v>652</v>
      </c>
      <c r="R194" s="8" t="s">
        <v>550</v>
      </c>
      <c r="S194" s="19" t="s">
        <v>547</v>
      </c>
      <c r="T194" s="18" t="s">
        <v>653</v>
      </c>
      <c r="U194" s="16" t="s">
        <v>538</v>
      </c>
    </row>
    <row r="195" spans="1:21" s="16" customFormat="1" ht="16.5" customHeight="1" x14ac:dyDescent="0.25">
      <c r="A195" s="17" t="s">
        <v>601</v>
      </c>
      <c r="B195" s="8" t="s">
        <v>448</v>
      </c>
      <c r="C195" s="19" t="s">
        <v>338</v>
      </c>
      <c r="D195" s="24" t="s">
        <v>585</v>
      </c>
      <c r="E195" s="19" t="s">
        <v>491</v>
      </c>
      <c r="F195" s="17" t="s">
        <v>302</v>
      </c>
      <c r="G195" s="8">
        <v>1.0274733330000001</v>
      </c>
      <c r="H195" s="8">
        <v>0.102747333</v>
      </c>
      <c r="I195" s="42" t="s">
        <v>85</v>
      </c>
      <c r="J195" s="42" t="s">
        <v>85</v>
      </c>
      <c r="K195" s="8">
        <f>VLOOKUP(B195,Tabelle1!$A$1:$C$351,2,FALSE)</f>
        <v>1.02290386574782</v>
      </c>
      <c r="L195" s="8">
        <f>VLOOKUP(B195,Tabelle1!$A$1:$C$351,3,FALSE)</f>
        <v>9.5848895159174302E-2</v>
      </c>
      <c r="M195" s="19" t="s">
        <v>285</v>
      </c>
      <c r="N195" s="16" t="s">
        <v>670</v>
      </c>
      <c r="O195" s="19" t="s">
        <v>545</v>
      </c>
      <c r="P195" s="19" t="s">
        <v>546</v>
      </c>
      <c r="Q195" s="19" t="s">
        <v>652</v>
      </c>
      <c r="R195" s="8" t="s">
        <v>550</v>
      </c>
      <c r="S195" s="19" t="s">
        <v>547</v>
      </c>
      <c r="T195" s="18" t="s">
        <v>653</v>
      </c>
      <c r="U195" s="16" t="s">
        <v>538</v>
      </c>
    </row>
    <row r="196" spans="1:21" s="16" customFormat="1" ht="16.5" customHeight="1" x14ac:dyDescent="0.25">
      <c r="A196" s="17" t="s">
        <v>601</v>
      </c>
      <c r="B196" s="8" t="s">
        <v>449</v>
      </c>
      <c r="C196" s="19" t="s">
        <v>338</v>
      </c>
      <c r="D196" s="24" t="s">
        <v>585</v>
      </c>
      <c r="E196" s="19" t="s">
        <v>491</v>
      </c>
      <c r="F196" s="17" t="s">
        <v>302</v>
      </c>
      <c r="G196" s="8">
        <v>0.28608800000000001</v>
      </c>
      <c r="H196" s="8">
        <v>2.86088E-2</v>
      </c>
      <c r="I196" s="42" t="s">
        <v>85</v>
      </c>
      <c r="J196" s="42" t="s">
        <v>85</v>
      </c>
      <c r="K196" s="8">
        <f>VLOOKUP(B196,Tabelle1!$A$1:$C$351,2,FALSE)</f>
        <v>0.286934559213192</v>
      </c>
      <c r="L196" s="8">
        <f>VLOOKUP(B196,Tabelle1!$A$1:$C$351,3,FALSE)</f>
        <v>2.7456955358134801E-2</v>
      </c>
      <c r="M196" s="19" t="s">
        <v>285</v>
      </c>
      <c r="N196" s="16" t="s">
        <v>670</v>
      </c>
      <c r="O196" s="19" t="s">
        <v>545</v>
      </c>
      <c r="P196" s="19" t="s">
        <v>546</v>
      </c>
      <c r="Q196" s="19" t="s">
        <v>652</v>
      </c>
      <c r="R196" s="8" t="s">
        <v>550</v>
      </c>
      <c r="S196" s="19" t="s">
        <v>547</v>
      </c>
      <c r="T196" s="18" t="s">
        <v>653</v>
      </c>
      <c r="U196" s="16" t="s">
        <v>538</v>
      </c>
    </row>
    <row r="197" spans="1:21" s="16" customFormat="1" ht="16.5" customHeight="1" x14ac:dyDescent="0.25">
      <c r="A197" s="17" t="s">
        <v>601</v>
      </c>
      <c r="B197" s="8" t="s">
        <v>450</v>
      </c>
      <c r="C197" s="19" t="s">
        <v>338</v>
      </c>
      <c r="D197" s="24" t="s">
        <v>585</v>
      </c>
      <c r="E197" s="19" t="s">
        <v>491</v>
      </c>
      <c r="F197" s="17" t="s">
        <v>302</v>
      </c>
      <c r="G197" s="8">
        <v>0.28390476199999998</v>
      </c>
      <c r="H197" s="8">
        <v>2.8390476000000001E-2</v>
      </c>
      <c r="I197" s="42" t="s">
        <v>85</v>
      </c>
      <c r="J197" s="42" t="s">
        <v>85</v>
      </c>
      <c r="K197" s="8">
        <f>VLOOKUP(B197,Tabelle1!$A$1:$C$351,2,FALSE)</f>
        <v>0.288261157018178</v>
      </c>
      <c r="L197" s="8">
        <f>VLOOKUP(B197,Tabelle1!$A$1:$C$351,3,FALSE)</f>
        <v>2.5851906979507702E-2</v>
      </c>
      <c r="M197" s="19" t="s">
        <v>285</v>
      </c>
      <c r="N197" s="16" t="s">
        <v>670</v>
      </c>
      <c r="O197" s="19" t="s">
        <v>545</v>
      </c>
      <c r="P197" s="19" t="s">
        <v>546</v>
      </c>
      <c r="Q197" s="19" t="s">
        <v>652</v>
      </c>
      <c r="R197" s="8" t="s">
        <v>550</v>
      </c>
      <c r="S197" s="19" t="s">
        <v>547</v>
      </c>
      <c r="T197" s="18" t="s">
        <v>653</v>
      </c>
      <c r="U197" s="16" t="s">
        <v>538</v>
      </c>
    </row>
    <row r="198" spans="1:21" s="16" customFormat="1" ht="16.5" customHeight="1" x14ac:dyDescent="0.25">
      <c r="A198" s="17" t="s">
        <v>601</v>
      </c>
      <c r="B198" s="8" t="s">
        <v>475</v>
      </c>
      <c r="C198" s="19" t="s">
        <v>338</v>
      </c>
      <c r="D198" s="24" t="s">
        <v>585</v>
      </c>
      <c r="E198" s="19" t="s">
        <v>491</v>
      </c>
      <c r="F198" s="17" t="s">
        <v>302</v>
      </c>
      <c r="G198" s="8">
        <v>3.8728947E-2</v>
      </c>
      <c r="H198" s="8">
        <v>3.8728949999999999E-3</v>
      </c>
      <c r="I198" s="42" t="s">
        <v>85</v>
      </c>
      <c r="J198" s="42" t="s">
        <v>85</v>
      </c>
      <c r="K198" s="8">
        <f>VLOOKUP(B198,Tabelle1!$A$1:$C$351,2,FALSE)</f>
        <v>3.9108266548368797E-2</v>
      </c>
      <c r="L198" s="8">
        <f>VLOOKUP(B198,Tabelle1!$A$1:$C$351,3,FALSE)</f>
        <v>4.0162746615349599E-3</v>
      </c>
      <c r="M198" s="19" t="s">
        <v>285</v>
      </c>
      <c r="N198" s="16" t="s">
        <v>671</v>
      </c>
      <c r="O198" s="19" t="s">
        <v>545</v>
      </c>
      <c r="P198" s="19" t="s">
        <v>546</v>
      </c>
      <c r="Q198" s="19" t="s">
        <v>652</v>
      </c>
      <c r="R198" s="8" t="s">
        <v>550</v>
      </c>
      <c r="S198" s="19" t="s">
        <v>547</v>
      </c>
      <c r="T198" s="18" t="s">
        <v>653</v>
      </c>
      <c r="U198" s="16" t="s">
        <v>538</v>
      </c>
    </row>
    <row r="199" spans="1:21" s="16" customFormat="1" ht="16.5" customHeight="1" x14ac:dyDescent="0.25">
      <c r="A199" s="17" t="s">
        <v>601</v>
      </c>
      <c r="B199" s="8" t="s">
        <v>476</v>
      </c>
      <c r="C199" s="19" t="s">
        <v>338</v>
      </c>
      <c r="D199" s="24" t="s">
        <v>585</v>
      </c>
      <c r="E199" s="19" t="s">
        <v>491</v>
      </c>
      <c r="F199" s="17" t="s">
        <v>302</v>
      </c>
      <c r="G199" s="8">
        <v>5.0715280000000001E-2</v>
      </c>
      <c r="H199" s="8">
        <v>5.0715279999999996E-3</v>
      </c>
      <c r="I199" s="42" t="s">
        <v>85</v>
      </c>
      <c r="J199" s="42" t="s">
        <v>85</v>
      </c>
      <c r="K199" s="8">
        <f>VLOOKUP(B199,Tabelle1!$A$1:$C$351,2,FALSE)</f>
        <v>5.1163508362684802E-2</v>
      </c>
      <c r="L199" s="8">
        <f>VLOOKUP(B199,Tabelle1!$A$1:$C$351,3,FALSE)</f>
        <v>5.4176579926825197E-3</v>
      </c>
      <c r="M199" s="19" t="s">
        <v>285</v>
      </c>
      <c r="N199" s="16" t="s">
        <v>671</v>
      </c>
      <c r="O199" s="19" t="s">
        <v>545</v>
      </c>
      <c r="P199" s="19" t="s">
        <v>546</v>
      </c>
      <c r="Q199" s="19" t="s">
        <v>652</v>
      </c>
      <c r="R199" s="8" t="s">
        <v>550</v>
      </c>
      <c r="S199" s="19" t="s">
        <v>547</v>
      </c>
      <c r="T199" s="18" t="s">
        <v>653</v>
      </c>
      <c r="U199" s="16" t="s">
        <v>538</v>
      </c>
    </row>
    <row r="200" spans="1:21" s="16" customFormat="1" ht="16.5" customHeight="1" x14ac:dyDescent="0.25">
      <c r="A200" s="17" t="s">
        <v>601</v>
      </c>
      <c r="B200" s="8" t="s">
        <v>477</v>
      </c>
      <c r="C200" s="19" t="s">
        <v>338</v>
      </c>
      <c r="D200" s="24" t="s">
        <v>585</v>
      </c>
      <c r="E200" s="19" t="s">
        <v>491</v>
      </c>
      <c r="F200" s="17" t="s">
        <v>302</v>
      </c>
      <c r="G200" s="8">
        <v>5.1541952000000002E-2</v>
      </c>
      <c r="H200" s="8">
        <v>5.1541950000000003E-3</v>
      </c>
      <c r="I200" s="42" t="s">
        <v>85</v>
      </c>
      <c r="J200" s="42" t="s">
        <v>85</v>
      </c>
      <c r="K200" s="8">
        <f>VLOOKUP(B200,Tabelle1!$A$1:$C$351,2,FALSE)</f>
        <v>5.1913110170748601E-2</v>
      </c>
      <c r="L200" s="8">
        <f>VLOOKUP(B200,Tabelle1!$A$1:$C$351,3,FALSE)</f>
        <v>5.2763659395098699E-3</v>
      </c>
      <c r="M200" s="19" t="s">
        <v>285</v>
      </c>
      <c r="N200" s="16" t="s">
        <v>671</v>
      </c>
      <c r="O200" s="19" t="s">
        <v>545</v>
      </c>
      <c r="P200" s="19" t="s">
        <v>546</v>
      </c>
      <c r="Q200" s="19" t="s">
        <v>652</v>
      </c>
      <c r="R200" s="8" t="s">
        <v>550</v>
      </c>
      <c r="S200" s="19" t="s">
        <v>547</v>
      </c>
      <c r="T200" s="18" t="s">
        <v>653</v>
      </c>
      <c r="U200" s="16" t="s">
        <v>538</v>
      </c>
    </row>
    <row r="201" spans="1:21" s="16" customFormat="1" ht="16.5" customHeight="1" x14ac:dyDescent="0.25">
      <c r="A201" s="17" t="s">
        <v>601</v>
      </c>
      <c r="B201" s="8" t="s">
        <v>478</v>
      </c>
      <c r="C201" s="19" t="s">
        <v>338</v>
      </c>
      <c r="D201" s="24" t="s">
        <v>585</v>
      </c>
      <c r="E201" s="19" t="s">
        <v>491</v>
      </c>
      <c r="F201" s="17" t="s">
        <v>302</v>
      </c>
      <c r="G201" s="8">
        <v>0.26703776000000001</v>
      </c>
      <c r="H201" s="8">
        <v>2.6703775999999999E-2</v>
      </c>
      <c r="I201" s="42" t="s">
        <v>85</v>
      </c>
      <c r="J201" s="42" t="s">
        <v>85</v>
      </c>
      <c r="K201" s="8">
        <f>VLOOKUP(B201,Tabelle1!$A$1:$C$351,2,FALSE)</f>
        <v>0.26912913154093299</v>
      </c>
      <c r="L201" s="8">
        <f>VLOOKUP(B201,Tabelle1!$A$1:$C$351,3,FALSE)</f>
        <v>2.8642672825621E-2</v>
      </c>
      <c r="M201" s="19" t="s">
        <v>285</v>
      </c>
      <c r="N201" s="16" t="s">
        <v>671</v>
      </c>
      <c r="O201" s="19" t="s">
        <v>545</v>
      </c>
      <c r="P201" s="19" t="s">
        <v>546</v>
      </c>
      <c r="Q201" s="19" t="s">
        <v>652</v>
      </c>
      <c r="R201" s="8" t="s">
        <v>550</v>
      </c>
      <c r="S201" s="19" t="s">
        <v>547</v>
      </c>
      <c r="T201" s="18" t="s">
        <v>653</v>
      </c>
      <c r="U201" s="16" t="s">
        <v>538</v>
      </c>
    </row>
    <row r="202" spans="1:21" s="16" customFormat="1" ht="16.5" customHeight="1" x14ac:dyDescent="0.25">
      <c r="A202" s="17" t="s">
        <v>601</v>
      </c>
      <c r="B202" s="8" t="s">
        <v>479</v>
      </c>
      <c r="C202" s="19" t="s">
        <v>338</v>
      </c>
      <c r="D202" s="24" t="s">
        <v>585</v>
      </c>
      <c r="E202" s="19" t="s">
        <v>491</v>
      </c>
      <c r="F202" s="17" t="s">
        <v>302</v>
      </c>
      <c r="G202" s="8">
        <v>3.1292726999999999E-2</v>
      </c>
      <c r="H202" s="8">
        <v>3.1292730000000001E-3</v>
      </c>
      <c r="I202" s="42" t="s">
        <v>85</v>
      </c>
      <c r="J202" s="42" t="s">
        <v>85</v>
      </c>
      <c r="K202" s="8">
        <f>VLOOKUP(B202,Tabelle1!$A$1:$C$351,2,FALSE)</f>
        <v>3.1160943803133102E-2</v>
      </c>
      <c r="L202" s="8">
        <f>VLOOKUP(B202,Tabelle1!$A$1:$C$351,3,FALSE)</f>
        <v>3.2028043771566098E-3</v>
      </c>
      <c r="M202" s="19" t="s">
        <v>285</v>
      </c>
      <c r="N202" s="16" t="s">
        <v>672</v>
      </c>
      <c r="O202" s="19" t="s">
        <v>545</v>
      </c>
      <c r="P202" s="19" t="s">
        <v>546</v>
      </c>
      <c r="Q202" s="19" t="s">
        <v>652</v>
      </c>
      <c r="R202" s="8" t="s">
        <v>550</v>
      </c>
      <c r="S202" s="19" t="s">
        <v>547</v>
      </c>
      <c r="T202" s="18" t="s">
        <v>653</v>
      </c>
      <c r="U202" s="16" t="s">
        <v>538</v>
      </c>
    </row>
    <row r="203" spans="1:21" s="16" customFormat="1" ht="16.5" customHeight="1" x14ac:dyDescent="0.25">
      <c r="A203" s="17" t="s">
        <v>601</v>
      </c>
      <c r="B203" s="8" t="s">
        <v>480</v>
      </c>
      <c r="C203" s="19" t="s">
        <v>338</v>
      </c>
      <c r="D203" s="24" t="s">
        <v>585</v>
      </c>
      <c r="E203" s="19" t="s">
        <v>491</v>
      </c>
      <c r="F203" s="17" t="s">
        <v>302</v>
      </c>
      <c r="G203" s="8">
        <v>3.4126242000000001E-2</v>
      </c>
      <c r="H203" s="8">
        <v>3.412624E-3</v>
      </c>
      <c r="I203" s="42" t="s">
        <v>85</v>
      </c>
      <c r="J203" s="42" t="s">
        <v>85</v>
      </c>
      <c r="K203" s="8">
        <f>VLOOKUP(B203,Tabelle1!$A$1:$C$351,2,FALSE)</f>
        <v>3.4161592426799101E-2</v>
      </c>
      <c r="L203" s="8">
        <f>VLOOKUP(B203,Tabelle1!$A$1:$C$351,3,FALSE)</f>
        <v>3.17506808877962E-3</v>
      </c>
      <c r="M203" s="19" t="s">
        <v>285</v>
      </c>
      <c r="N203" s="16" t="s">
        <v>672</v>
      </c>
      <c r="O203" s="19" t="s">
        <v>545</v>
      </c>
      <c r="P203" s="19" t="s">
        <v>546</v>
      </c>
      <c r="Q203" s="19" t="s">
        <v>652</v>
      </c>
      <c r="R203" s="8" t="s">
        <v>550</v>
      </c>
      <c r="S203" s="19" t="s">
        <v>547</v>
      </c>
      <c r="T203" s="18" t="s">
        <v>653</v>
      </c>
      <c r="U203" s="16" t="s">
        <v>538</v>
      </c>
    </row>
    <row r="204" spans="1:21" s="16" customFormat="1" ht="16.5" customHeight="1" x14ac:dyDescent="0.25">
      <c r="A204" s="17" t="s">
        <v>601</v>
      </c>
      <c r="B204" s="8" t="s">
        <v>481</v>
      </c>
      <c r="C204" s="19" t="s">
        <v>338</v>
      </c>
      <c r="D204" s="24" t="s">
        <v>585</v>
      </c>
      <c r="E204" s="19" t="s">
        <v>491</v>
      </c>
      <c r="F204" s="17" t="s">
        <v>302</v>
      </c>
      <c r="G204" s="8">
        <v>5.5879098000000002E-2</v>
      </c>
      <c r="H204" s="8">
        <v>5.5879099999999998E-3</v>
      </c>
      <c r="I204" s="42" t="s">
        <v>85</v>
      </c>
      <c r="J204" s="42" t="s">
        <v>85</v>
      </c>
      <c r="K204" s="8">
        <f>VLOOKUP(B204,Tabelle1!$A$1:$C$351,2,FALSE)</f>
        <v>5.5095532384254201E-2</v>
      </c>
      <c r="L204" s="8">
        <f>VLOOKUP(B204,Tabelle1!$A$1:$C$351,3,FALSE)</f>
        <v>5.3986775642422902E-3</v>
      </c>
      <c r="M204" s="19" t="s">
        <v>285</v>
      </c>
      <c r="N204" s="16" t="s">
        <v>672</v>
      </c>
      <c r="O204" s="19" t="s">
        <v>545</v>
      </c>
      <c r="P204" s="19" t="s">
        <v>546</v>
      </c>
      <c r="Q204" s="19" t="s">
        <v>652</v>
      </c>
      <c r="R204" s="8" t="s">
        <v>550</v>
      </c>
      <c r="S204" s="19" t="s">
        <v>547</v>
      </c>
      <c r="T204" s="18" t="s">
        <v>653</v>
      </c>
      <c r="U204" s="16" t="s">
        <v>538</v>
      </c>
    </row>
    <row r="205" spans="1:21" s="29" customFormat="1" ht="16.5" customHeight="1" x14ac:dyDescent="0.25">
      <c r="A205" s="30" t="s">
        <v>601</v>
      </c>
      <c r="B205" s="27" t="s">
        <v>482</v>
      </c>
      <c r="C205" s="21" t="s">
        <v>338</v>
      </c>
      <c r="D205" s="26" t="s">
        <v>585</v>
      </c>
      <c r="E205" s="21" t="s">
        <v>491</v>
      </c>
      <c r="F205" s="30" t="s">
        <v>302</v>
      </c>
      <c r="G205" s="27">
        <v>4.7496653999999999E-2</v>
      </c>
      <c r="H205" s="27">
        <v>4.7496650000000001E-3</v>
      </c>
      <c r="I205" s="43" t="s">
        <v>85</v>
      </c>
      <c r="J205" s="43" t="s">
        <v>85</v>
      </c>
      <c r="K205" s="27">
        <f>VLOOKUP(B205,Tabelle1!$A$1:$C$351,2,FALSE)</f>
        <v>4.7696933744004598E-2</v>
      </c>
      <c r="L205" s="27">
        <f>VLOOKUP(B205,Tabelle1!$A$1:$C$351,3,FALSE)</f>
        <v>4.63389243022665E-3</v>
      </c>
      <c r="M205" s="21" t="s">
        <v>285</v>
      </c>
      <c r="N205" s="29" t="s">
        <v>672</v>
      </c>
      <c r="O205" s="21" t="s">
        <v>545</v>
      </c>
      <c r="P205" s="21" t="s">
        <v>546</v>
      </c>
      <c r="Q205" s="21" t="s">
        <v>652</v>
      </c>
      <c r="R205" s="27" t="s">
        <v>550</v>
      </c>
      <c r="S205" s="21" t="s">
        <v>547</v>
      </c>
      <c r="T205" s="23" t="s">
        <v>653</v>
      </c>
      <c r="U205" s="29" t="s">
        <v>538</v>
      </c>
    </row>
    <row r="206" spans="1:21" s="16" customFormat="1" ht="16.5" customHeight="1" x14ac:dyDescent="0.25">
      <c r="A206" s="17" t="s">
        <v>597</v>
      </c>
      <c r="B206" s="8" t="s">
        <v>492</v>
      </c>
      <c r="C206" s="19" t="s">
        <v>338</v>
      </c>
      <c r="D206" s="24" t="s">
        <v>628</v>
      </c>
      <c r="E206" s="33" t="s">
        <v>182</v>
      </c>
      <c r="F206" s="24" t="s">
        <v>247</v>
      </c>
      <c r="G206" s="16">
        <v>0</v>
      </c>
      <c r="H206" s="35" t="s">
        <v>85</v>
      </c>
      <c r="I206" s="35" t="s">
        <v>85</v>
      </c>
      <c r="J206" s="35" t="s">
        <v>85</v>
      </c>
      <c r="K206" s="49" t="s">
        <v>85</v>
      </c>
      <c r="L206" s="49" t="s">
        <v>85</v>
      </c>
      <c r="M206" s="16" t="s">
        <v>676</v>
      </c>
      <c r="N206" s="35" t="s">
        <v>85</v>
      </c>
      <c r="O206" s="35" t="s">
        <v>85</v>
      </c>
      <c r="P206" s="35" t="s">
        <v>85</v>
      </c>
      <c r="Q206" s="35" t="s">
        <v>85</v>
      </c>
      <c r="R206" s="24" t="s">
        <v>549</v>
      </c>
      <c r="S206" s="35" t="s">
        <v>85</v>
      </c>
      <c r="T206" s="35" t="s">
        <v>85</v>
      </c>
      <c r="U206" s="16" t="s">
        <v>538</v>
      </c>
    </row>
    <row r="207" spans="1:21" s="16" customFormat="1" ht="16.5" customHeight="1" x14ac:dyDescent="0.25">
      <c r="A207" s="17" t="s">
        <v>597</v>
      </c>
      <c r="B207" s="8" t="s">
        <v>493</v>
      </c>
      <c r="C207" s="19" t="s">
        <v>338</v>
      </c>
      <c r="D207" s="24" t="s">
        <v>628</v>
      </c>
      <c r="E207" s="33" t="s">
        <v>182</v>
      </c>
      <c r="F207" s="24" t="s">
        <v>247</v>
      </c>
      <c r="G207" s="16">
        <v>0</v>
      </c>
      <c r="H207" s="35" t="s">
        <v>85</v>
      </c>
      <c r="I207" s="35" t="s">
        <v>85</v>
      </c>
      <c r="J207" s="35" t="s">
        <v>85</v>
      </c>
      <c r="K207" s="49" t="s">
        <v>85</v>
      </c>
      <c r="L207" s="49" t="s">
        <v>85</v>
      </c>
      <c r="M207" s="16" t="s">
        <v>676</v>
      </c>
      <c r="N207" s="35" t="s">
        <v>85</v>
      </c>
      <c r="O207" s="35" t="s">
        <v>85</v>
      </c>
      <c r="P207" s="35" t="s">
        <v>85</v>
      </c>
      <c r="Q207" s="35" t="s">
        <v>85</v>
      </c>
      <c r="R207" s="24" t="s">
        <v>549</v>
      </c>
      <c r="S207" s="35" t="s">
        <v>85</v>
      </c>
      <c r="T207" s="35" t="s">
        <v>85</v>
      </c>
      <c r="U207" s="16" t="s">
        <v>538</v>
      </c>
    </row>
    <row r="208" spans="1:21" s="16" customFormat="1" ht="16.5" customHeight="1" x14ac:dyDescent="0.25">
      <c r="A208" s="17" t="s">
        <v>597</v>
      </c>
      <c r="B208" s="8" t="s">
        <v>494</v>
      </c>
      <c r="C208" s="19" t="s">
        <v>338</v>
      </c>
      <c r="D208" s="24" t="s">
        <v>628</v>
      </c>
      <c r="E208" s="33" t="s">
        <v>182</v>
      </c>
      <c r="F208" s="24" t="s">
        <v>247</v>
      </c>
      <c r="G208" s="16">
        <v>0</v>
      </c>
      <c r="H208" s="35" t="s">
        <v>85</v>
      </c>
      <c r="I208" s="35" t="s">
        <v>85</v>
      </c>
      <c r="J208" s="35" t="s">
        <v>85</v>
      </c>
      <c r="K208" s="49" t="s">
        <v>85</v>
      </c>
      <c r="L208" s="49" t="s">
        <v>85</v>
      </c>
      <c r="M208" s="16" t="s">
        <v>676</v>
      </c>
      <c r="N208" s="35" t="s">
        <v>85</v>
      </c>
      <c r="O208" s="35" t="s">
        <v>85</v>
      </c>
      <c r="P208" s="35" t="s">
        <v>85</v>
      </c>
      <c r="Q208" s="35" t="s">
        <v>85</v>
      </c>
      <c r="R208" s="24" t="s">
        <v>549</v>
      </c>
      <c r="S208" s="35" t="s">
        <v>85</v>
      </c>
      <c r="T208" s="35" t="s">
        <v>85</v>
      </c>
      <c r="U208" s="16" t="s">
        <v>538</v>
      </c>
    </row>
    <row r="209" spans="1:21" s="16" customFormat="1" ht="16.5" customHeight="1" x14ac:dyDescent="0.25">
      <c r="A209" s="17" t="s">
        <v>597</v>
      </c>
      <c r="B209" s="8" t="s">
        <v>495</v>
      </c>
      <c r="C209" s="19" t="s">
        <v>338</v>
      </c>
      <c r="D209" s="24" t="s">
        <v>628</v>
      </c>
      <c r="E209" s="33" t="s">
        <v>182</v>
      </c>
      <c r="F209" s="24" t="s">
        <v>247</v>
      </c>
      <c r="G209" s="16">
        <v>0</v>
      </c>
      <c r="H209" s="35" t="s">
        <v>85</v>
      </c>
      <c r="I209" s="35" t="s">
        <v>85</v>
      </c>
      <c r="J209" s="35" t="s">
        <v>85</v>
      </c>
      <c r="K209" s="49" t="s">
        <v>85</v>
      </c>
      <c r="L209" s="49" t="s">
        <v>85</v>
      </c>
      <c r="M209" s="16" t="s">
        <v>676</v>
      </c>
      <c r="N209" s="35" t="s">
        <v>85</v>
      </c>
      <c r="O209" s="35" t="s">
        <v>85</v>
      </c>
      <c r="P209" s="35" t="s">
        <v>85</v>
      </c>
      <c r="Q209" s="35" t="s">
        <v>85</v>
      </c>
      <c r="R209" s="24" t="s">
        <v>549</v>
      </c>
      <c r="S209" s="35" t="s">
        <v>85</v>
      </c>
      <c r="T209" s="35" t="s">
        <v>85</v>
      </c>
      <c r="U209" s="16" t="s">
        <v>538</v>
      </c>
    </row>
    <row r="210" spans="1:21" s="16" customFormat="1" ht="16.5" customHeight="1" x14ac:dyDescent="0.25">
      <c r="A210" s="17" t="s">
        <v>597</v>
      </c>
      <c r="B210" s="8" t="s">
        <v>496</v>
      </c>
      <c r="C210" s="19" t="s">
        <v>338</v>
      </c>
      <c r="D210" s="24" t="s">
        <v>628</v>
      </c>
      <c r="E210" s="33" t="s">
        <v>182</v>
      </c>
      <c r="F210" s="24" t="s">
        <v>247</v>
      </c>
      <c r="G210" s="16">
        <v>0</v>
      </c>
      <c r="H210" s="35" t="s">
        <v>85</v>
      </c>
      <c r="I210" s="35" t="s">
        <v>85</v>
      </c>
      <c r="J210" s="35" t="s">
        <v>85</v>
      </c>
      <c r="K210" s="49" t="s">
        <v>85</v>
      </c>
      <c r="L210" s="49" t="s">
        <v>85</v>
      </c>
      <c r="M210" s="16" t="s">
        <v>676</v>
      </c>
      <c r="N210" s="35" t="s">
        <v>85</v>
      </c>
      <c r="O210" s="35" t="s">
        <v>85</v>
      </c>
      <c r="P210" s="35" t="s">
        <v>85</v>
      </c>
      <c r="Q210" s="35" t="s">
        <v>85</v>
      </c>
      <c r="R210" s="24" t="s">
        <v>549</v>
      </c>
      <c r="S210" s="35" t="s">
        <v>85</v>
      </c>
      <c r="T210" s="35" t="s">
        <v>85</v>
      </c>
      <c r="U210" s="16" t="s">
        <v>538</v>
      </c>
    </row>
    <row r="211" spans="1:21" s="16" customFormat="1" ht="16.5" customHeight="1" x14ac:dyDescent="0.25">
      <c r="A211" s="17" t="s">
        <v>597</v>
      </c>
      <c r="B211" s="8" t="s">
        <v>497</v>
      </c>
      <c r="C211" s="19" t="s">
        <v>338</v>
      </c>
      <c r="D211" s="24" t="s">
        <v>628</v>
      </c>
      <c r="E211" s="33" t="s">
        <v>182</v>
      </c>
      <c r="F211" s="24" t="s">
        <v>247</v>
      </c>
      <c r="G211" s="16">
        <v>0</v>
      </c>
      <c r="H211" s="35" t="s">
        <v>85</v>
      </c>
      <c r="I211" s="35" t="s">
        <v>85</v>
      </c>
      <c r="J211" s="35" t="s">
        <v>85</v>
      </c>
      <c r="K211" s="49" t="s">
        <v>85</v>
      </c>
      <c r="L211" s="49" t="s">
        <v>85</v>
      </c>
      <c r="M211" s="16" t="s">
        <v>676</v>
      </c>
      <c r="N211" s="35" t="s">
        <v>85</v>
      </c>
      <c r="O211" s="35" t="s">
        <v>85</v>
      </c>
      <c r="P211" s="35" t="s">
        <v>85</v>
      </c>
      <c r="Q211" s="35" t="s">
        <v>85</v>
      </c>
      <c r="R211" s="24" t="s">
        <v>549</v>
      </c>
      <c r="S211" s="35" t="s">
        <v>85</v>
      </c>
      <c r="T211" s="35" t="s">
        <v>85</v>
      </c>
      <c r="U211" s="16" t="s">
        <v>538</v>
      </c>
    </row>
    <row r="212" spans="1:21" s="16" customFormat="1" ht="16.5" customHeight="1" x14ac:dyDescent="0.25">
      <c r="A212" s="17" t="s">
        <v>597</v>
      </c>
      <c r="B212" s="8" t="s">
        <v>498</v>
      </c>
      <c r="C212" s="19" t="s">
        <v>338</v>
      </c>
      <c r="D212" s="24" t="s">
        <v>628</v>
      </c>
      <c r="E212" s="33" t="s">
        <v>182</v>
      </c>
      <c r="F212" s="24" t="s">
        <v>247</v>
      </c>
      <c r="G212" s="16">
        <v>0</v>
      </c>
      <c r="H212" s="35" t="s">
        <v>85</v>
      </c>
      <c r="I212" s="35" t="s">
        <v>85</v>
      </c>
      <c r="J212" s="35" t="s">
        <v>85</v>
      </c>
      <c r="K212" s="49" t="s">
        <v>85</v>
      </c>
      <c r="L212" s="49" t="s">
        <v>85</v>
      </c>
      <c r="M212" s="16" t="s">
        <v>676</v>
      </c>
      <c r="N212" s="35" t="s">
        <v>85</v>
      </c>
      <c r="O212" s="35" t="s">
        <v>85</v>
      </c>
      <c r="P212" s="35" t="s">
        <v>85</v>
      </c>
      <c r="Q212" s="35" t="s">
        <v>85</v>
      </c>
      <c r="R212" s="24" t="s">
        <v>549</v>
      </c>
      <c r="S212" s="35" t="s">
        <v>85</v>
      </c>
      <c r="T212" s="35" t="s">
        <v>85</v>
      </c>
      <c r="U212" s="16" t="s">
        <v>538</v>
      </c>
    </row>
    <row r="213" spans="1:21" s="29" customFormat="1" ht="16.5" customHeight="1" x14ac:dyDescent="0.25">
      <c r="A213" s="30" t="s">
        <v>597</v>
      </c>
      <c r="B213" s="27" t="s">
        <v>499</v>
      </c>
      <c r="C213" s="21" t="s">
        <v>338</v>
      </c>
      <c r="D213" s="26" t="s">
        <v>628</v>
      </c>
      <c r="E213" s="34" t="s">
        <v>182</v>
      </c>
      <c r="F213" s="26" t="s">
        <v>247</v>
      </c>
      <c r="G213" s="29">
        <v>0</v>
      </c>
      <c r="H213" s="41" t="s">
        <v>85</v>
      </c>
      <c r="I213" s="41" t="s">
        <v>85</v>
      </c>
      <c r="J213" s="41" t="s">
        <v>85</v>
      </c>
      <c r="K213" s="50" t="s">
        <v>85</v>
      </c>
      <c r="L213" s="50" t="s">
        <v>85</v>
      </c>
      <c r="M213" s="29" t="s">
        <v>676</v>
      </c>
      <c r="N213" s="41" t="s">
        <v>85</v>
      </c>
      <c r="O213" s="41" t="s">
        <v>85</v>
      </c>
      <c r="P213" s="41" t="s">
        <v>85</v>
      </c>
      <c r="Q213" s="41" t="s">
        <v>85</v>
      </c>
      <c r="R213" s="26" t="s">
        <v>549</v>
      </c>
      <c r="S213" s="41" t="s">
        <v>85</v>
      </c>
      <c r="T213" s="41" t="s">
        <v>85</v>
      </c>
      <c r="U213" s="29" t="s">
        <v>538</v>
      </c>
    </row>
    <row r="214" spans="1:21" s="6" customFormat="1" ht="16.5" customHeight="1" x14ac:dyDescent="0.25">
      <c r="A214" s="6" t="s">
        <v>599</v>
      </c>
    </row>
    <row r="215" spans="1:21" s="16" customFormat="1" ht="16.5" customHeight="1" x14ac:dyDescent="0.25">
      <c r="A215" s="17" t="s">
        <v>91</v>
      </c>
      <c r="B215" s="8" t="s">
        <v>327</v>
      </c>
      <c r="C215" s="16" t="s">
        <v>338</v>
      </c>
      <c r="D215" s="17" t="s">
        <v>125</v>
      </c>
      <c r="E215" s="16" t="s">
        <v>121</v>
      </c>
      <c r="F215" s="16" t="s">
        <v>247</v>
      </c>
      <c r="G215" s="25">
        <v>1.41E-3</v>
      </c>
      <c r="H215" s="35" t="s">
        <v>85</v>
      </c>
      <c r="I215" s="35" t="s">
        <v>85</v>
      </c>
      <c r="J215" s="35" t="s">
        <v>85</v>
      </c>
      <c r="K215" s="49" t="s">
        <v>85</v>
      </c>
      <c r="L215" s="49" t="s">
        <v>85</v>
      </c>
      <c r="M215" s="16" t="s">
        <v>542</v>
      </c>
      <c r="N215" s="8" t="s">
        <v>654</v>
      </c>
      <c r="O215" s="16" t="s">
        <v>673</v>
      </c>
      <c r="P215" s="16" t="s">
        <v>674</v>
      </c>
      <c r="Q215" s="16" t="s">
        <v>747</v>
      </c>
      <c r="R215" s="16" t="s">
        <v>549</v>
      </c>
      <c r="S215" s="16" t="s">
        <v>675</v>
      </c>
      <c r="U215" s="16" t="s">
        <v>538</v>
      </c>
    </row>
    <row r="216" spans="1:21" s="16" customFormat="1" ht="16.5" customHeight="1" x14ac:dyDescent="0.25">
      <c r="A216" s="17" t="s">
        <v>91</v>
      </c>
      <c r="B216" s="8" t="s">
        <v>328</v>
      </c>
      <c r="C216" s="16" t="s">
        <v>338</v>
      </c>
      <c r="D216" s="17" t="s">
        <v>125</v>
      </c>
      <c r="E216" s="16" t="s">
        <v>121</v>
      </c>
      <c r="F216" s="16" t="s">
        <v>247</v>
      </c>
      <c r="G216" s="25">
        <v>5.2999999999999998E-4</v>
      </c>
      <c r="H216" s="35" t="s">
        <v>85</v>
      </c>
      <c r="I216" s="35" t="s">
        <v>85</v>
      </c>
      <c r="J216" s="35" t="s">
        <v>85</v>
      </c>
      <c r="K216" s="49" t="s">
        <v>85</v>
      </c>
      <c r="L216" s="49" t="s">
        <v>85</v>
      </c>
      <c r="M216" s="16" t="s">
        <v>542</v>
      </c>
      <c r="N216" s="8" t="s">
        <v>655</v>
      </c>
      <c r="O216" s="16" t="s">
        <v>673</v>
      </c>
      <c r="P216" s="16" t="s">
        <v>674</v>
      </c>
      <c r="Q216" s="16" t="s">
        <v>747</v>
      </c>
      <c r="R216" s="16" t="s">
        <v>549</v>
      </c>
      <c r="S216" s="16" t="s">
        <v>675</v>
      </c>
      <c r="U216" s="16" t="s">
        <v>538</v>
      </c>
    </row>
    <row r="217" spans="1:21" s="16" customFormat="1" ht="16.5" customHeight="1" x14ac:dyDescent="0.25">
      <c r="A217" s="17" t="s">
        <v>91</v>
      </c>
      <c r="B217" s="8" t="s">
        <v>329</v>
      </c>
      <c r="C217" s="16" t="s">
        <v>338</v>
      </c>
      <c r="D217" s="17" t="s">
        <v>125</v>
      </c>
      <c r="E217" s="16" t="s">
        <v>121</v>
      </c>
      <c r="F217" s="16" t="s">
        <v>247</v>
      </c>
      <c r="G217" s="25">
        <v>1.16E-3</v>
      </c>
      <c r="H217" s="35" t="s">
        <v>85</v>
      </c>
      <c r="I217" s="35" t="s">
        <v>85</v>
      </c>
      <c r="J217" s="35" t="s">
        <v>85</v>
      </c>
      <c r="K217" s="49" t="s">
        <v>85</v>
      </c>
      <c r="L217" s="49" t="s">
        <v>85</v>
      </c>
      <c r="M217" s="16" t="s">
        <v>542</v>
      </c>
      <c r="N217" s="8" t="s">
        <v>656</v>
      </c>
      <c r="O217" s="16" t="s">
        <v>673</v>
      </c>
      <c r="P217" s="16" t="s">
        <v>674</v>
      </c>
      <c r="Q217" s="16" t="s">
        <v>747</v>
      </c>
      <c r="R217" s="16" t="s">
        <v>549</v>
      </c>
      <c r="S217" s="16" t="s">
        <v>675</v>
      </c>
      <c r="U217" s="16" t="s">
        <v>538</v>
      </c>
    </row>
    <row r="218" spans="1:21" s="16" customFormat="1" ht="16.5" customHeight="1" x14ac:dyDescent="0.25">
      <c r="A218" s="17" t="s">
        <v>91</v>
      </c>
      <c r="B218" s="8" t="s">
        <v>330</v>
      </c>
      <c r="C218" s="16" t="s">
        <v>338</v>
      </c>
      <c r="D218" s="17" t="s">
        <v>125</v>
      </c>
      <c r="E218" s="16" t="s">
        <v>121</v>
      </c>
      <c r="F218" s="16" t="s">
        <v>247</v>
      </c>
      <c r="G218" s="25">
        <v>5.8E-4</v>
      </c>
      <c r="H218" s="35" t="s">
        <v>85</v>
      </c>
      <c r="I218" s="35" t="s">
        <v>85</v>
      </c>
      <c r="J218" s="35" t="s">
        <v>85</v>
      </c>
      <c r="K218" s="49" t="s">
        <v>85</v>
      </c>
      <c r="L218" s="49" t="s">
        <v>85</v>
      </c>
      <c r="M218" s="16" t="s">
        <v>542</v>
      </c>
      <c r="N218" s="8" t="s">
        <v>657</v>
      </c>
      <c r="O218" s="16" t="s">
        <v>673</v>
      </c>
      <c r="P218" s="16" t="s">
        <v>674</v>
      </c>
      <c r="Q218" s="16" t="s">
        <v>747</v>
      </c>
      <c r="R218" s="16" t="s">
        <v>549</v>
      </c>
      <c r="S218" s="16" t="s">
        <v>675</v>
      </c>
      <c r="U218" s="16" t="s">
        <v>538</v>
      </c>
    </row>
    <row r="219" spans="1:21" s="16" customFormat="1" ht="16.5" customHeight="1" x14ac:dyDescent="0.25">
      <c r="A219" s="17" t="s">
        <v>91</v>
      </c>
      <c r="B219" s="8" t="s">
        <v>331</v>
      </c>
      <c r="C219" s="16" t="s">
        <v>338</v>
      </c>
      <c r="D219" s="17" t="s">
        <v>125</v>
      </c>
      <c r="E219" s="16" t="s">
        <v>121</v>
      </c>
      <c r="F219" s="16" t="s">
        <v>247</v>
      </c>
      <c r="G219" s="25">
        <v>2.2100000000000002E-3</v>
      </c>
      <c r="H219" s="35" t="s">
        <v>85</v>
      </c>
      <c r="I219" s="35" t="s">
        <v>85</v>
      </c>
      <c r="J219" s="35" t="s">
        <v>85</v>
      </c>
      <c r="K219" s="49" t="s">
        <v>85</v>
      </c>
      <c r="L219" s="49" t="s">
        <v>85</v>
      </c>
      <c r="M219" s="16" t="s">
        <v>542</v>
      </c>
      <c r="N219" s="8" t="s">
        <v>658</v>
      </c>
      <c r="O219" s="16" t="s">
        <v>673</v>
      </c>
      <c r="P219" s="16" t="s">
        <v>674</v>
      </c>
      <c r="Q219" s="16" t="s">
        <v>747</v>
      </c>
      <c r="R219" s="16" t="s">
        <v>549</v>
      </c>
      <c r="S219" s="16" t="s">
        <v>675</v>
      </c>
      <c r="U219" s="16" t="s">
        <v>538</v>
      </c>
    </row>
    <row r="220" spans="1:21" s="16" customFormat="1" ht="16.5" customHeight="1" x14ac:dyDescent="0.25">
      <c r="A220" s="17" t="s">
        <v>91</v>
      </c>
      <c r="B220" s="8" t="s">
        <v>332</v>
      </c>
      <c r="C220" s="16" t="s">
        <v>338</v>
      </c>
      <c r="D220" s="17" t="s">
        <v>125</v>
      </c>
      <c r="E220" s="16" t="s">
        <v>121</v>
      </c>
      <c r="F220" s="16" t="s">
        <v>247</v>
      </c>
      <c r="G220" s="25">
        <v>8.5800000000000001E-2</v>
      </c>
      <c r="H220" s="35" t="s">
        <v>85</v>
      </c>
      <c r="I220" s="35" t="s">
        <v>85</v>
      </c>
      <c r="J220" s="35" t="s">
        <v>85</v>
      </c>
      <c r="K220" s="49" t="s">
        <v>85</v>
      </c>
      <c r="L220" s="49" t="s">
        <v>85</v>
      </c>
      <c r="M220" s="16" t="s">
        <v>542</v>
      </c>
      <c r="N220" s="8" t="s">
        <v>659</v>
      </c>
      <c r="O220" s="16" t="s">
        <v>673</v>
      </c>
      <c r="P220" s="16" t="s">
        <v>674</v>
      </c>
      <c r="Q220" s="16" t="s">
        <v>747</v>
      </c>
      <c r="R220" s="16" t="s">
        <v>549</v>
      </c>
      <c r="S220" s="16" t="s">
        <v>675</v>
      </c>
      <c r="U220" s="16" t="s">
        <v>538</v>
      </c>
    </row>
    <row r="221" spans="1:21" s="16" customFormat="1" ht="16.5" customHeight="1" x14ac:dyDescent="0.25">
      <c r="A221" s="17" t="s">
        <v>91</v>
      </c>
      <c r="B221" s="8" t="s">
        <v>333</v>
      </c>
      <c r="C221" s="16" t="s">
        <v>338</v>
      </c>
      <c r="D221" s="17" t="s">
        <v>125</v>
      </c>
      <c r="E221" s="16" t="s">
        <v>121</v>
      </c>
      <c r="F221" s="16" t="s">
        <v>247</v>
      </c>
      <c r="G221" s="25">
        <v>5.3E-3</v>
      </c>
      <c r="H221" s="35" t="s">
        <v>85</v>
      </c>
      <c r="I221" s="35" t="s">
        <v>85</v>
      </c>
      <c r="J221" s="35" t="s">
        <v>85</v>
      </c>
      <c r="K221" s="49" t="s">
        <v>85</v>
      </c>
      <c r="L221" s="49" t="s">
        <v>85</v>
      </c>
      <c r="M221" s="16" t="s">
        <v>542</v>
      </c>
      <c r="N221" s="8" t="s">
        <v>660</v>
      </c>
      <c r="O221" s="16" t="s">
        <v>673</v>
      </c>
      <c r="P221" s="16" t="s">
        <v>674</v>
      </c>
      <c r="Q221" s="16" t="s">
        <v>747</v>
      </c>
      <c r="R221" s="16" t="s">
        <v>549</v>
      </c>
      <c r="S221" s="16" t="s">
        <v>675</v>
      </c>
      <c r="U221" s="16" t="s">
        <v>538</v>
      </c>
    </row>
    <row r="222" spans="1:21" s="16" customFormat="1" ht="16.5" customHeight="1" x14ac:dyDescent="0.25">
      <c r="A222" s="17" t="s">
        <v>91</v>
      </c>
      <c r="B222" s="8" t="s">
        <v>334</v>
      </c>
      <c r="C222" s="16" t="s">
        <v>338</v>
      </c>
      <c r="D222" s="17" t="s">
        <v>125</v>
      </c>
      <c r="E222" s="16" t="s">
        <v>121</v>
      </c>
      <c r="F222" s="16" t="s">
        <v>247</v>
      </c>
      <c r="G222" s="25">
        <v>9.2599999999999991E-3</v>
      </c>
      <c r="H222" s="35" t="s">
        <v>85</v>
      </c>
      <c r="I222" s="35" t="s">
        <v>85</v>
      </c>
      <c r="J222" s="35" t="s">
        <v>85</v>
      </c>
      <c r="K222" s="49" t="s">
        <v>85</v>
      </c>
      <c r="L222" s="49" t="s">
        <v>85</v>
      </c>
      <c r="M222" s="16" t="s">
        <v>542</v>
      </c>
      <c r="N222" s="8" t="s">
        <v>661</v>
      </c>
      <c r="O222" s="16" t="s">
        <v>673</v>
      </c>
      <c r="P222" s="16" t="s">
        <v>674</v>
      </c>
      <c r="Q222" s="16" t="s">
        <v>747</v>
      </c>
      <c r="R222" s="16" t="s">
        <v>549</v>
      </c>
      <c r="S222" s="16" t="s">
        <v>675</v>
      </c>
      <c r="U222" s="16" t="s">
        <v>538</v>
      </c>
    </row>
    <row r="223" spans="1:21" s="16" customFormat="1" ht="16.5" customHeight="1" x14ac:dyDescent="0.25">
      <c r="A223" s="17" t="s">
        <v>91</v>
      </c>
      <c r="B223" s="8" t="s">
        <v>335</v>
      </c>
      <c r="C223" s="16" t="s">
        <v>338</v>
      </c>
      <c r="D223" s="17" t="s">
        <v>125</v>
      </c>
      <c r="E223" s="16" t="s">
        <v>121</v>
      </c>
      <c r="F223" s="16" t="s">
        <v>247</v>
      </c>
      <c r="G223" s="25">
        <v>3.2399999999999998E-3</v>
      </c>
      <c r="H223" s="35" t="s">
        <v>85</v>
      </c>
      <c r="I223" s="35" t="s">
        <v>85</v>
      </c>
      <c r="J223" s="35" t="s">
        <v>85</v>
      </c>
      <c r="K223" s="49" t="s">
        <v>85</v>
      </c>
      <c r="L223" s="49" t="s">
        <v>85</v>
      </c>
      <c r="M223" s="16" t="s">
        <v>542</v>
      </c>
      <c r="N223" s="8" t="s">
        <v>662</v>
      </c>
      <c r="O223" s="16" t="s">
        <v>673</v>
      </c>
      <c r="P223" s="16" t="s">
        <v>674</v>
      </c>
      <c r="Q223" s="16" t="s">
        <v>747</v>
      </c>
      <c r="R223" s="16" t="s">
        <v>549</v>
      </c>
      <c r="S223" s="16" t="s">
        <v>675</v>
      </c>
      <c r="U223" s="16" t="s">
        <v>538</v>
      </c>
    </row>
    <row r="224" spans="1:21" s="16" customFormat="1" ht="16.5" customHeight="1" x14ac:dyDescent="0.25">
      <c r="A224" s="17" t="s">
        <v>91</v>
      </c>
      <c r="B224" s="8" t="s">
        <v>336</v>
      </c>
      <c r="C224" s="16" t="s">
        <v>338</v>
      </c>
      <c r="D224" s="17" t="s">
        <v>125</v>
      </c>
      <c r="E224" s="16" t="s">
        <v>121</v>
      </c>
      <c r="F224" s="16" t="s">
        <v>247</v>
      </c>
      <c r="G224" s="25">
        <v>1.1299999999999999E-3</v>
      </c>
      <c r="H224" s="35" t="s">
        <v>85</v>
      </c>
      <c r="I224" s="35" t="s">
        <v>85</v>
      </c>
      <c r="J224" s="35" t="s">
        <v>85</v>
      </c>
      <c r="K224" s="49" t="s">
        <v>85</v>
      </c>
      <c r="L224" s="49" t="s">
        <v>85</v>
      </c>
      <c r="M224" s="16" t="s">
        <v>542</v>
      </c>
      <c r="N224" s="8" t="s">
        <v>663</v>
      </c>
      <c r="O224" s="16" t="s">
        <v>673</v>
      </c>
      <c r="P224" s="16" t="s">
        <v>674</v>
      </c>
      <c r="Q224" s="16" t="s">
        <v>747</v>
      </c>
      <c r="R224" s="16" t="s">
        <v>549</v>
      </c>
      <c r="S224" s="16" t="s">
        <v>675</v>
      </c>
      <c r="U224" s="16" t="s">
        <v>538</v>
      </c>
    </row>
    <row r="225" spans="1:21" s="29" customFormat="1" ht="16.5" customHeight="1" x14ac:dyDescent="0.25">
      <c r="A225" s="30" t="s">
        <v>91</v>
      </c>
      <c r="B225" s="27" t="s">
        <v>337</v>
      </c>
      <c r="C225" s="29" t="s">
        <v>338</v>
      </c>
      <c r="D225" s="30" t="s">
        <v>125</v>
      </c>
      <c r="E225" s="29" t="s">
        <v>121</v>
      </c>
      <c r="F225" s="29" t="s">
        <v>247</v>
      </c>
      <c r="G225" s="28">
        <v>3.5E-4</v>
      </c>
      <c r="H225" s="41" t="s">
        <v>85</v>
      </c>
      <c r="I225" s="41" t="s">
        <v>85</v>
      </c>
      <c r="J225" s="41" t="s">
        <v>85</v>
      </c>
      <c r="K225" s="50" t="s">
        <v>85</v>
      </c>
      <c r="L225" s="50" t="s">
        <v>85</v>
      </c>
      <c r="M225" s="29" t="s">
        <v>542</v>
      </c>
      <c r="N225" s="27" t="s">
        <v>665</v>
      </c>
      <c r="O225" s="29" t="s">
        <v>673</v>
      </c>
      <c r="P225" s="29" t="s">
        <v>674</v>
      </c>
      <c r="Q225" s="29" t="s">
        <v>747</v>
      </c>
      <c r="R225" s="29" t="s">
        <v>549</v>
      </c>
      <c r="S225" s="29" t="s">
        <v>675</v>
      </c>
      <c r="U225" s="29" t="s">
        <v>538</v>
      </c>
    </row>
    <row r="226" spans="1:21" s="16" customFormat="1" ht="16.5" customHeight="1" x14ac:dyDescent="0.25">
      <c r="A226" s="17" t="s">
        <v>624</v>
      </c>
      <c r="B226" s="8" t="s">
        <v>347</v>
      </c>
      <c r="C226" s="16" t="s">
        <v>338</v>
      </c>
      <c r="D226" s="17" t="s">
        <v>85</v>
      </c>
      <c r="E226" s="16" t="s">
        <v>101</v>
      </c>
      <c r="F226" s="16" t="s">
        <v>551</v>
      </c>
      <c r="G226" s="16">
        <v>1</v>
      </c>
      <c r="H226" s="16">
        <v>0.25</v>
      </c>
      <c r="I226" s="16">
        <v>0.01</v>
      </c>
      <c r="J226" s="16">
        <v>1.99</v>
      </c>
      <c r="K226" s="16">
        <f>VLOOKUP(B226,Tabelle1!$A$1:$C$351,2,FALSE)</f>
        <v>0.97668558660730198</v>
      </c>
      <c r="L226" s="16">
        <f>VLOOKUP(B226,Tabelle1!$A$1:$C$351,3,FALSE)</f>
        <v>0.249935229581356</v>
      </c>
      <c r="M226" s="16" t="s">
        <v>548</v>
      </c>
      <c r="N226" s="8"/>
      <c r="O226" s="42" t="s">
        <v>85</v>
      </c>
      <c r="P226" s="42" t="s">
        <v>85</v>
      </c>
      <c r="Q226" s="42" t="s">
        <v>85</v>
      </c>
      <c r="R226" s="16" t="s">
        <v>550</v>
      </c>
      <c r="S226" s="42" t="s">
        <v>85</v>
      </c>
      <c r="T226" s="42" t="s">
        <v>85</v>
      </c>
      <c r="U226" s="8" t="s">
        <v>91</v>
      </c>
    </row>
    <row r="227" spans="1:21" s="16" customFormat="1" ht="16.5" customHeight="1" x14ac:dyDescent="0.25">
      <c r="A227" s="17" t="s">
        <v>624</v>
      </c>
      <c r="B227" s="8" t="s">
        <v>348</v>
      </c>
      <c r="C227" s="16" t="s">
        <v>338</v>
      </c>
      <c r="D227" s="17" t="s">
        <v>85</v>
      </c>
      <c r="E227" s="16" t="s">
        <v>101</v>
      </c>
      <c r="F227" s="16" t="s">
        <v>551</v>
      </c>
      <c r="G227" s="16">
        <v>1</v>
      </c>
      <c r="H227" s="16">
        <v>0.25</v>
      </c>
      <c r="I227" s="16">
        <v>0.01</v>
      </c>
      <c r="J227" s="16">
        <v>1.99</v>
      </c>
      <c r="K227" s="16">
        <f>VLOOKUP(B227,Tabelle1!$A$1:$C$351,2,FALSE)</f>
        <v>0.94922426556063899</v>
      </c>
      <c r="L227" s="16">
        <f>VLOOKUP(B227,Tabelle1!$A$1:$C$351,3,FALSE)</f>
        <v>0.25503907650626101</v>
      </c>
      <c r="M227" s="16" t="s">
        <v>548</v>
      </c>
      <c r="N227" s="8"/>
      <c r="O227" s="42" t="s">
        <v>85</v>
      </c>
      <c r="P227" s="42" t="s">
        <v>85</v>
      </c>
      <c r="Q227" s="42" t="s">
        <v>85</v>
      </c>
      <c r="R227" s="16" t="s">
        <v>550</v>
      </c>
      <c r="S227" s="42" t="s">
        <v>85</v>
      </c>
      <c r="T227" s="42" t="s">
        <v>85</v>
      </c>
      <c r="U227" s="8" t="s">
        <v>91</v>
      </c>
    </row>
    <row r="228" spans="1:21" s="16" customFormat="1" ht="16.5" customHeight="1" x14ac:dyDescent="0.25">
      <c r="A228" s="17" t="s">
        <v>624</v>
      </c>
      <c r="B228" s="8" t="s">
        <v>349</v>
      </c>
      <c r="C228" s="16" t="s">
        <v>338</v>
      </c>
      <c r="D228" s="17" t="s">
        <v>85</v>
      </c>
      <c r="E228" s="16" t="s">
        <v>101</v>
      </c>
      <c r="F228" s="16" t="s">
        <v>551</v>
      </c>
      <c r="G228" s="16">
        <v>1</v>
      </c>
      <c r="H228" s="16">
        <v>0.25</v>
      </c>
      <c r="I228" s="16">
        <v>0.01</v>
      </c>
      <c r="J228" s="16">
        <v>1.99</v>
      </c>
      <c r="K228" s="16">
        <f>VLOOKUP(B228,Tabelle1!$A$1:$C$351,2,FALSE)</f>
        <v>0.98168331672926001</v>
      </c>
      <c r="L228" s="16">
        <f>VLOOKUP(B228,Tabelle1!$A$1:$C$351,3,FALSE)</f>
        <v>0.25865392489455702</v>
      </c>
      <c r="M228" s="16" t="s">
        <v>548</v>
      </c>
      <c r="N228" s="8"/>
      <c r="O228" s="42" t="s">
        <v>85</v>
      </c>
      <c r="P228" s="42" t="s">
        <v>85</v>
      </c>
      <c r="Q228" s="42" t="s">
        <v>85</v>
      </c>
      <c r="R228" s="16" t="s">
        <v>550</v>
      </c>
      <c r="S228" s="42" t="s">
        <v>85</v>
      </c>
      <c r="T228" s="42" t="s">
        <v>85</v>
      </c>
      <c r="U228" s="8" t="s">
        <v>91</v>
      </c>
    </row>
    <row r="229" spans="1:21" s="16" customFormat="1" ht="16.5" customHeight="1" x14ac:dyDescent="0.25">
      <c r="A229" s="17" t="s">
        <v>624</v>
      </c>
      <c r="B229" s="8" t="s">
        <v>350</v>
      </c>
      <c r="C229" s="16" t="s">
        <v>338</v>
      </c>
      <c r="D229" s="17" t="s">
        <v>85</v>
      </c>
      <c r="E229" s="16" t="s">
        <v>101</v>
      </c>
      <c r="F229" s="16" t="s">
        <v>551</v>
      </c>
      <c r="G229" s="16">
        <v>1</v>
      </c>
      <c r="H229" s="16">
        <v>0.25</v>
      </c>
      <c r="I229" s="16">
        <v>0.01</v>
      </c>
      <c r="J229" s="16">
        <v>1.99</v>
      </c>
      <c r="K229" s="16">
        <f>VLOOKUP(B229,Tabelle1!$A$1:$C$351,2,FALSE)</f>
        <v>0.99930419363488598</v>
      </c>
      <c r="L229" s="16">
        <f>VLOOKUP(B229,Tabelle1!$A$1:$C$351,3,FALSE)</f>
        <v>0.234106827817253</v>
      </c>
      <c r="M229" s="16" t="s">
        <v>548</v>
      </c>
      <c r="N229" s="8"/>
      <c r="O229" s="42" t="s">
        <v>85</v>
      </c>
      <c r="P229" s="42" t="s">
        <v>85</v>
      </c>
      <c r="Q229" s="42" t="s">
        <v>85</v>
      </c>
      <c r="R229" s="16" t="s">
        <v>550</v>
      </c>
      <c r="S229" s="42" t="s">
        <v>85</v>
      </c>
      <c r="T229" s="42" t="s">
        <v>85</v>
      </c>
      <c r="U229" s="8" t="s">
        <v>91</v>
      </c>
    </row>
    <row r="230" spans="1:21" s="16" customFormat="1" ht="16.5" customHeight="1" x14ac:dyDescent="0.25">
      <c r="A230" s="17" t="s">
        <v>624</v>
      </c>
      <c r="B230" s="8" t="s">
        <v>351</v>
      </c>
      <c r="C230" s="16" t="s">
        <v>338</v>
      </c>
      <c r="D230" s="17" t="s">
        <v>85</v>
      </c>
      <c r="E230" s="16" t="s">
        <v>101</v>
      </c>
      <c r="F230" s="16" t="s">
        <v>551</v>
      </c>
      <c r="G230" s="16">
        <v>1</v>
      </c>
      <c r="H230" s="16">
        <v>0.25</v>
      </c>
      <c r="I230" s="16">
        <v>0.01</v>
      </c>
      <c r="J230" s="16">
        <v>1.99</v>
      </c>
      <c r="K230" s="16">
        <f>VLOOKUP(B230,Tabelle1!$A$1:$C$351,2,FALSE)</f>
        <v>0.94989761568141395</v>
      </c>
      <c r="L230" s="16">
        <f>VLOOKUP(B230,Tabelle1!$A$1:$C$351,3,FALSE)</f>
        <v>0.25789592621783802</v>
      </c>
      <c r="M230" s="16" t="s">
        <v>548</v>
      </c>
      <c r="N230" s="8"/>
      <c r="O230" s="42" t="s">
        <v>85</v>
      </c>
      <c r="P230" s="42" t="s">
        <v>85</v>
      </c>
      <c r="Q230" s="42" t="s">
        <v>85</v>
      </c>
      <c r="R230" s="16" t="s">
        <v>550</v>
      </c>
      <c r="S230" s="42" t="s">
        <v>85</v>
      </c>
      <c r="T230" s="42" t="s">
        <v>85</v>
      </c>
      <c r="U230" s="8" t="s">
        <v>91</v>
      </c>
    </row>
    <row r="231" spans="1:21" s="16" customFormat="1" ht="16.5" customHeight="1" x14ac:dyDescent="0.25">
      <c r="A231" s="17" t="s">
        <v>624</v>
      </c>
      <c r="B231" s="8" t="s">
        <v>352</v>
      </c>
      <c r="C231" s="16" t="s">
        <v>338</v>
      </c>
      <c r="D231" s="17" t="s">
        <v>85</v>
      </c>
      <c r="E231" s="16" t="s">
        <v>101</v>
      </c>
      <c r="F231" s="16" t="s">
        <v>551</v>
      </c>
      <c r="G231" s="16">
        <v>1</v>
      </c>
      <c r="H231" s="16">
        <v>0.25</v>
      </c>
      <c r="I231" s="16">
        <v>0.01</v>
      </c>
      <c r="J231" s="16">
        <v>1.99</v>
      </c>
      <c r="K231" s="16">
        <f>VLOOKUP(B231,Tabelle1!$A$1:$C$351,2,FALSE)</f>
        <v>0.95167962964084596</v>
      </c>
      <c r="L231" s="16">
        <f>VLOOKUP(B231,Tabelle1!$A$1:$C$351,3,FALSE)</f>
        <v>0.242710137380757</v>
      </c>
      <c r="M231" s="16" t="s">
        <v>548</v>
      </c>
      <c r="N231" s="8"/>
      <c r="O231" s="42" t="s">
        <v>85</v>
      </c>
      <c r="P231" s="42" t="s">
        <v>85</v>
      </c>
      <c r="Q231" s="42" t="s">
        <v>85</v>
      </c>
      <c r="R231" s="16" t="s">
        <v>550</v>
      </c>
      <c r="S231" s="42" t="s">
        <v>85</v>
      </c>
      <c r="T231" s="42" t="s">
        <v>85</v>
      </c>
      <c r="U231" s="8" t="s">
        <v>91</v>
      </c>
    </row>
    <row r="232" spans="1:21" ht="16.5" customHeight="1" x14ac:dyDescent="0.25">
      <c r="A232" s="17" t="s">
        <v>624</v>
      </c>
      <c r="B232" s="8" t="s">
        <v>353</v>
      </c>
      <c r="C232" s="16" t="s">
        <v>338</v>
      </c>
      <c r="D232" s="17" t="s">
        <v>85</v>
      </c>
      <c r="E232" s="16" t="s">
        <v>101</v>
      </c>
      <c r="F232" s="16" t="s">
        <v>551</v>
      </c>
      <c r="G232" s="16">
        <v>1</v>
      </c>
      <c r="H232" s="16">
        <v>0.25</v>
      </c>
      <c r="I232" s="16">
        <v>0.01</v>
      </c>
      <c r="J232" s="16">
        <v>1.99</v>
      </c>
      <c r="K232" s="16">
        <f>VLOOKUP(B232,Tabelle1!$A$1:$C$351,2,FALSE)</f>
        <v>1.0136687656871299</v>
      </c>
      <c r="L232" s="16">
        <f>VLOOKUP(B232,Tabelle1!$A$1:$C$351,3,FALSE)</f>
        <v>0.25942624549330701</v>
      </c>
      <c r="M232" s="16" t="s">
        <v>548</v>
      </c>
      <c r="O232" s="42" t="s">
        <v>85</v>
      </c>
      <c r="P232" s="42" t="s">
        <v>85</v>
      </c>
      <c r="Q232" s="42" t="s">
        <v>85</v>
      </c>
      <c r="R232" s="16" t="s">
        <v>550</v>
      </c>
      <c r="S232" s="42" t="s">
        <v>85</v>
      </c>
      <c r="T232" s="42" t="s">
        <v>85</v>
      </c>
      <c r="U232" s="8" t="s">
        <v>91</v>
      </c>
    </row>
    <row r="233" spans="1:21" ht="16.5" customHeight="1" x14ac:dyDescent="0.25">
      <c r="A233" s="17" t="s">
        <v>624</v>
      </c>
      <c r="B233" s="8" t="s">
        <v>354</v>
      </c>
      <c r="C233" s="16" t="s">
        <v>338</v>
      </c>
      <c r="D233" s="17" t="s">
        <v>85</v>
      </c>
      <c r="E233" s="16" t="s">
        <v>101</v>
      </c>
      <c r="F233" s="16" t="s">
        <v>551</v>
      </c>
      <c r="G233" s="16">
        <v>1</v>
      </c>
      <c r="H233" s="16">
        <v>0.25</v>
      </c>
      <c r="I233" s="16">
        <v>0.01</v>
      </c>
      <c r="J233" s="16">
        <v>1.99</v>
      </c>
      <c r="K233" s="16">
        <f>VLOOKUP(B233,Tabelle1!$A$1:$C$351,2,FALSE)</f>
        <v>0.99209383915010996</v>
      </c>
      <c r="L233" s="16">
        <f>VLOOKUP(B233,Tabelle1!$A$1:$C$351,3,FALSE)</f>
        <v>0.22326713440544901</v>
      </c>
      <c r="M233" s="16" t="s">
        <v>548</v>
      </c>
      <c r="O233" s="42" t="s">
        <v>85</v>
      </c>
      <c r="P233" s="42" t="s">
        <v>85</v>
      </c>
      <c r="Q233" s="42" t="s">
        <v>85</v>
      </c>
      <c r="R233" s="16" t="s">
        <v>550</v>
      </c>
      <c r="S233" s="42" t="s">
        <v>85</v>
      </c>
      <c r="T233" s="42" t="s">
        <v>85</v>
      </c>
      <c r="U233" s="8" t="s">
        <v>91</v>
      </c>
    </row>
    <row r="234" spans="1:21" ht="16.5" customHeight="1" x14ac:dyDescent="0.25">
      <c r="A234" s="17" t="s">
        <v>624</v>
      </c>
      <c r="B234" s="8" t="s">
        <v>355</v>
      </c>
      <c r="C234" s="16" t="s">
        <v>338</v>
      </c>
      <c r="D234" s="17" t="s">
        <v>85</v>
      </c>
      <c r="E234" s="16" t="s">
        <v>101</v>
      </c>
      <c r="F234" s="16" t="s">
        <v>551</v>
      </c>
      <c r="G234" s="16">
        <v>1</v>
      </c>
      <c r="H234" s="16">
        <v>0.25</v>
      </c>
      <c r="I234" s="16">
        <v>0.01</v>
      </c>
      <c r="J234" s="16">
        <v>1.99</v>
      </c>
      <c r="K234" s="16">
        <f>VLOOKUP(B234,Tabelle1!$A$1:$C$351,2,FALSE)</f>
        <v>0.99619792099230497</v>
      </c>
      <c r="L234" s="16">
        <f>VLOOKUP(B234,Tabelle1!$A$1:$C$351,3,FALSE)</f>
        <v>0.24978655619586501</v>
      </c>
      <c r="M234" s="16" t="s">
        <v>548</v>
      </c>
      <c r="O234" s="42" t="s">
        <v>85</v>
      </c>
      <c r="P234" s="42" t="s">
        <v>85</v>
      </c>
      <c r="Q234" s="42" t="s">
        <v>85</v>
      </c>
      <c r="R234" s="16" t="s">
        <v>550</v>
      </c>
      <c r="S234" s="42" t="s">
        <v>85</v>
      </c>
      <c r="T234" s="42" t="s">
        <v>85</v>
      </c>
      <c r="U234" s="8" t="s">
        <v>91</v>
      </c>
    </row>
    <row r="235" spans="1:21" ht="16.5" customHeight="1" x14ac:dyDescent="0.25">
      <c r="A235" s="17" t="s">
        <v>624</v>
      </c>
      <c r="B235" s="8" t="s">
        <v>356</v>
      </c>
      <c r="C235" s="16" t="s">
        <v>338</v>
      </c>
      <c r="D235" s="17" t="s">
        <v>85</v>
      </c>
      <c r="E235" s="16" t="s">
        <v>101</v>
      </c>
      <c r="F235" s="16" t="s">
        <v>551</v>
      </c>
      <c r="G235" s="16">
        <v>1</v>
      </c>
      <c r="H235" s="16">
        <v>0.25</v>
      </c>
      <c r="I235" s="16">
        <v>0.01</v>
      </c>
      <c r="J235" s="16">
        <v>1.99</v>
      </c>
      <c r="K235" s="16">
        <f>VLOOKUP(B235,Tabelle1!$A$1:$C$351,2,FALSE)</f>
        <v>1.0076064846841299</v>
      </c>
      <c r="L235" s="16">
        <f>VLOOKUP(B235,Tabelle1!$A$1:$C$351,3,FALSE)</f>
        <v>0.239379985500241</v>
      </c>
      <c r="M235" s="16" t="s">
        <v>548</v>
      </c>
      <c r="O235" s="42" t="s">
        <v>85</v>
      </c>
      <c r="P235" s="42" t="s">
        <v>85</v>
      </c>
      <c r="Q235" s="42" t="s">
        <v>85</v>
      </c>
      <c r="R235" s="16" t="s">
        <v>550</v>
      </c>
      <c r="S235" s="42" t="s">
        <v>85</v>
      </c>
      <c r="T235" s="42" t="s">
        <v>85</v>
      </c>
      <c r="U235" s="8" t="s">
        <v>91</v>
      </c>
    </row>
    <row r="236" spans="1:21" s="27" customFormat="1" ht="16.5" customHeight="1" x14ac:dyDescent="0.25">
      <c r="A236" s="30" t="s">
        <v>624</v>
      </c>
      <c r="B236" s="27" t="s">
        <v>357</v>
      </c>
      <c r="C236" s="29" t="s">
        <v>338</v>
      </c>
      <c r="D236" s="30" t="s">
        <v>85</v>
      </c>
      <c r="E236" s="29" t="s">
        <v>101</v>
      </c>
      <c r="F236" s="29" t="s">
        <v>551</v>
      </c>
      <c r="G236" s="29">
        <v>1</v>
      </c>
      <c r="H236" s="29">
        <v>0.25</v>
      </c>
      <c r="I236" s="29">
        <v>0.01</v>
      </c>
      <c r="J236" s="29">
        <v>1.99</v>
      </c>
      <c r="K236" s="29">
        <f>VLOOKUP(B236,Tabelle1!$A$1:$C$351,2,FALSE)</f>
        <v>1.0019496662792799</v>
      </c>
      <c r="L236" s="29">
        <f>VLOOKUP(B236,Tabelle1!$A$1:$C$351,3,FALSE)</f>
        <v>0.26007006587040998</v>
      </c>
      <c r="M236" s="29" t="s">
        <v>548</v>
      </c>
      <c r="O236" s="43" t="s">
        <v>85</v>
      </c>
      <c r="P236" s="43" t="s">
        <v>85</v>
      </c>
      <c r="Q236" s="43" t="s">
        <v>85</v>
      </c>
      <c r="R236" s="29" t="s">
        <v>550</v>
      </c>
      <c r="S236" s="43" t="s">
        <v>85</v>
      </c>
      <c r="T236" s="43" t="s">
        <v>85</v>
      </c>
      <c r="U236" s="27" t="s">
        <v>91</v>
      </c>
    </row>
    <row r="237" spans="1:21" ht="16.5" customHeight="1" x14ac:dyDescent="0.25">
      <c r="A237" s="17" t="s">
        <v>625</v>
      </c>
      <c r="B237" s="8" t="s">
        <v>366</v>
      </c>
      <c r="C237" s="16" t="s">
        <v>338</v>
      </c>
      <c r="D237" s="17" t="s">
        <v>85</v>
      </c>
      <c r="E237" s="16" t="s">
        <v>122</v>
      </c>
      <c r="F237" s="16" t="s">
        <v>551</v>
      </c>
      <c r="G237" s="17">
        <v>1</v>
      </c>
      <c r="H237" s="17">
        <v>0.25</v>
      </c>
      <c r="I237" s="17">
        <v>0.01</v>
      </c>
      <c r="J237" s="17">
        <v>1.99</v>
      </c>
      <c r="K237" s="17">
        <f>VLOOKUP(B237,Tabelle1!$A$1:$C$351,2,FALSE)</f>
        <v>0.97355015307709902</v>
      </c>
      <c r="L237" s="17">
        <f>VLOOKUP(B237,Tabelle1!$A$1:$C$351,3,FALSE)</f>
        <v>0.23297140621797799</v>
      </c>
      <c r="M237" s="16" t="s">
        <v>548</v>
      </c>
      <c r="O237" s="42" t="s">
        <v>85</v>
      </c>
      <c r="P237" s="42" t="s">
        <v>85</v>
      </c>
      <c r="Q237" s="42" t="s">
        <v>85</v>
      </c>
      <c r="R237" s="16" t="s">
        <v>550</v>
      </c>
      <c r="S237" s="42" t="s">
        <v>85</v>
      </c>
      <c r="T237" s="42" t="s">
        <v>85</v>
      </c>
      <c r="U237" s="8" t="s">
        <v>91</v>
      </c>
    </row>
    <row r="238" spans="1:21" ht="16.5" customHeight="1" x14ac:dyDescent="0.25">
      <c r="A238" s="17" t="s">
        <v>625</v>
      </c>
      <c r="B238" s="8" t="s">
        <v>367</v>
      </c>
      <c r="C238" s="16" t="s">
        <v>338</v>
      </c>
      <c r="D238" s="17" t="s">
        <v>85</v>
      </c>
      <c r="E238" s="16" t="s">
        <v>122</v>
      </c>
      <c r="F238" s="16" t="s">
        <v>551</v>
      </c>
      <c r="G238" s="17">
        <v>1</v>
      </c>
      <c r="H238" s="17">
        <v>0.25</v>
      </c>
      <c r="I238" s="17">
        <v>0.01</v>
      </c>
      <c r="J238" s="17">
        <v>1.99</v>
      </c>
      <c r="K238" s="17">
        <f>VLOOKUP(B238,Tabelle1!$A$1:$C$351,2,FALSE)</f>
        <v>1.0201776508467</v>
      </c>
      <c r="L238" s="17">
        <f>VLOOKUP(B238,Tabelle1!$A$1:$C$351,3,FALSE)</f>
        <v>0.26552784700332899</v>
      </c>
      <c r="M238" s="16" t="s">
        <v>548</v>
      </c>
      <c r="O238" s="42" t="s">
        <v>85</v>
      </c>
      <c r="P238" s="42" t="s">
        <v>85</v>
      </c>
      <c r="Q238" s="42" t="s">
        <v>85</v>
      </c>
      <c r="R238" s="16" t="s">
        <v>550</v>
      </c>
      <c r="S238" s="42" t="s">
        <v>85</v>
      </c>
      <c r="T238" s="42" t="s">
        <v>85</v>
      </c>
      <c r="U238" s="8" t="s">
        <v>91</v>
      </c>
    </row>
    <row r="239" spans="1:21" ht="16.5" customHeight="1" x14ac:dyDescent="0.25">
      <c r="A239" s="17" t="s">
        <v>625</v>
      </c>
      <c r="B239" s="8" t="s">
        <v>368</v>
      </c>
      <c r="C239" s="16" t="s">
        <v>338</v>
      </c>
      <c r="D239" s="17" t="s">
        <v>85</v>
      </c>
      <c r="E239" s="16" t="s">
        <v>122</v>
      </c>
      <c r="F239" s="16" t="s">
        <v>551</v>
      </c>
      <c r="G239" s="17">
        <v>1</v>
      </c>
      <c r="H239" s="17">
        <v>0.25</v>
      </c>
      <c r="I239" s="17">
        <v>0.01</v>
      </c>
      <c r="J239" s="17">
        <v>1.99</v>
      </c>
      <c r="K239" s="17">
        <f>VLOOKUP(B239,Tabelle1!$A$1:$C$351,2,FALSE)</f>
        <v>0.936243504767585</v>
      </c>
      <c r="L239" s="17">
        <f>VLOOKUP(B239,Tabelle1!$A$1:$C$351,3,FALSE)</f>
        <v>0.26038392229380902</v>
      </c>
      <c r="M239" s="16" t="s">
        <v>548</v>
      </c>
      <c r="O239" s="42" t="s">
        <v>85</v>
      </c>
      <c r="P239" s="42" t="s">
        <v>85</v>
      </c>
      <c r="Q239" s="42" t="s">
        <v>85</v>
      </c>
      <c r="R239" s="16" t="s">
        <v>550</v>
      </c>
      <c r="S239" s="42" t="s">
        <v>85</v>
      </c>
      <c r="T239" s="42" t="s">
        <v>85</v>
      </c>
      <c r="U239" s="8" t="s">
        <v>91</v>
      </c>
    </row>
    <row r="240" spans="1:21" ht="16.5" customHeight="1" x14ac:dyDescent="0.25">
      <c r="A240" s="17" t="s">
        <v>625</v>
      </c>
      <c r="B240" s="8" t="s">
        <v>369</v>
      </c>
      <c r="C240" s="16" t="s">
        <v>338</v>
      </c>
      <c r="D240" s="17" t="s">
        <v>85</v>
      </c>
      <c r="E240" s="16" t="s">
        <v>122</v>
      </c>
      <c r="F240" s="16" t="s">
        <v>551</v>
      </c>
      <c r="G240" s="17">
        <v>1</v>
      </c>
      <c r="H240" s="17">
        <v>0.25</v>
      </c>
      <c r="I240" s="17">
        <v>0.01</v>
      </c>
      <c r="J240" s="17">
        <v>1.99</v>
      </c>
      <c r="K240" s="17">
        <f>VLOOKUP(B240,Tabelle1!$A$1:$C$351,2,FALSE)</f>
        <v>0.97918963805953896</v>
      </c>
      <c r="L240" s="17">
        <f>VLOOKUP(B240,Tabelle1!$A$1:$C$351,3,FALSE)</f>
        <v>0.24665156370746399</v>
      </c>
      <c r="M240" s="16" t="s">
        <v>548</v>
      </c>
      <c r="O240" s="42" t="s">
        <v>85</v>
      </c>
      <c r="P240" s="42" t="s">
        <v>85</v>
      </c>
      <c r="Q240" s="42" t="s">
        <v>85</v>
      </c>
      <c r="R240" s="16" t="s">
        <v>550</v>
      </c>
      <c r="S240" s="42" t="s">
        <v>85</v>
      </c>
      <c r="T240" s="42" t="s">
        <v>85</v>
      </c>
      <c r="U240" s="8" t="s">
        <v>91</v>
      </c>
    </row>
    <row r="241" spans="1:21" ht="16.5" customHeight="1" x14ac:dyDescent="0.25">
      <c r="A241" s="17" t="s">
        <v>625</v>
      </c>
      <c r="B241" s="8" t="s">
        <v>370</v>
      </c>
      <c r="C241" s="16" t="s">
        <v>338</v>
      </c>
      <c r="D241" s="17" t="s">
        <v>85</v>
      </c>
      <c r="E241" s="16" t="s">
        <v>122</v>
      </c>
      <c r="F241" s="16" t="s">
        <v>551</v>
      </c>
      <c r="G241" s="17">
        <v>1</v>
      </c>
      <c r="H241" s="17">
        <v>0.25</v>
      </c>
      <c r="I241" s="17">
        <v>0.01</v>
      </c>
      <c r="J241" s="17">
        <v>1.99</v>
      </c>
      <c r="K241" s="17">
        <f>VLOOKUP(B241,Tabelle1!$A$1:$C$351,2,FALSE)</f>
        <v>0.92435802972595904</v>
      </c>
      <c r="L241" s="17">
        <f>VLOOKUP(B241,Tabelle1!$A$1:$C$351,3,FALSE)</f>
        <v>0.258706409878527</v>
      </c>
      <c r="M241" s="16" t="s">
        <v>548</v>
      </c>
      <c r="O241" s="42" t="s">
        <v>85</v>
      </c>
      <c r="P241" s="42" t="s">
        <v>85</v>
      </c>
      <c r="Q241" s="42" t="s">
        <v>85</v>
      </c>
      <c r="R241" s="16" t="s">
        <v>550</v>
      </c>
      <c r="S241" s="42" t="s">
        <v>85</v>
      </c>
      <c r="T241" s="42" t="s">
        <v>85</v>
      </c>
      <c r="U241" s="8" t="s">
        <v>91</v>
      </c>
    </row>
    <row r="242" spans="1:21" ht="16.5" customHeight="1" x14ac:dyDescent="0.25">
      <c r="A242" s="17" t="s">
        <v>625</v>
      </c>
      <c r="B242" s="8" t="s">
        <v>371</v>
      </c>
      <c r="C242" s="16" t="s">
        <v>338</v>
      </c>
      <c r="D242" s="17" t="s">
        <v>85</v>
      </c>
      <c r="E242" s="16" t="s">
        <v>122</v>
      </c>
      <c r="F242" s="16" t="s">
        <v>551</v>
      </c>
      <c r="G242" s="17">
        <v>1</v>
      </c>
      <c r="H242" s="17">
        <v>0.25</v>
      </c>
      <c r="I242" s="17">
        <v>0.01</v>
      </c>
      <c r="J242" s="17">
        <v>1.99</v>
      </c>
      <c r="K242" s="17">
        <f>VLOOKUP(B242,Tabelle1!$A$1:$C$351,2,FALSE)</f>
        <v>0.98469626366254204</v>
      </c>
      <c r="L242" s="17">
        <f>VLOOKUP(B242,Tabelle1!$A$1:$C$351,3,FALSE)</f>
        <v>0.27381448211383502</v>
      </c>
      <c r="M242" s="16" t="s">
        <v>548</v>
      </c>
      <c r="O242" s="42" t="s">
        <v>85</v>
      </c>
      <c r="P242" s="42" t="s">
        <v>85</v>
      </c>
      <c r="Q242" s="42" t="s">
        <v>85</v>
      </c>
      <c r="R242" s="16" t="s">
        <v>550</v>
      </c>
      <c r="S242" s="42" t="s">
        <v>85</v>
      </c>
      <c r="T242" s="42" t="s">
        <v>85</v>
      </c>
      <c r="U242" s="8" t="s">
        <v>91</v>
      </c>
    </row>
    <row r="243" spans="1:21" ht="16.5" customHeight="1" x14ac:dyDescent="0.25">
      <c r="A243" s="17" t="s">
        <v>625</v>
      </c>
      <c r="B243" s="8" t="s">
        <v>372</v>
      </c>
      <c r="C243" s="16" t="s">
        <v>338</v>
      </c>
      <c r="D243" s="17" t="s">
        <v>85</v>
      </c>
      <c r="E243" s="16" t="s">
        <v>122</v>
      </c>
      <c r="F243" s="16" t="s">
        <v>551</v>
      </c>
      <c r="G243" s="17">
        <v>1</v>
      </c>
      <c r="H243" s="17">
        <v>0.25</v>
      </c>
      <c r="I243" s="17">
        <v>0.01</v>
      </c>
      <c r="J243" s="17">
        <v>1.99</v>
      </c>
      <c r="K243" s="17">
        <f>VLOOKUP(B243,Tabelle1!$A$1:$C$351,2,FALSE)</f>
        <v>0.99991569470975294</v>
      </c>
      <c r="L243" s="17">
        <f>VLOOKUP(B243,Tabelle1!$A$1:$C$351,3,FALSE)</f>
        <v>0.24707474046692701</v>
      </c>
      <c r="M243" s="16" t="s">
        <v>548</v>
      </c>
      <c r="O243" s="42" t="s">
        <v>85</v>
      </c>
      <c r="P243" s="42" t="s">
        <v>85</v>
      </c>
      <c r="Q243" s="42" t="s">
        <v>85</v>
      </c>
      <c r="R243" s="16" t="s">
        <v>550</v>
      </c>
      <c r="S243" s="42" t="s">
        <v>85</v>
      </c>
      <c r="T243" s="42" t="s">
        <v>85</v>
      </c>
      <c r="U243" s="8" t="s">
        <v>91</v>
      </c>
    </row>
    <row r="244" spans="1:21" ht="16.5" customHeight="1" x14ac:dyDescent="0.25">
      <c r="A244" s="17" t="s">
        <v>625</v>
      </c>
      <c r="B244" s="8" t="s">
        <v>373</v>
      </c>
      <c r="C244" s="16" t="s">
        <v>338</v>
      </c>
      <c r="D244" s="17" t="s">
        <v>85</v>
      </c>
      <c r="E244" s="16" t="s">
        <v>122</v>
      </c>
      <c r="F244" s="16" t="s">
        <v>551</v>
      </c>
      <c r="G244" s="17">
        <v>1</v>
      </c>
      <c r="H244" s="17">
        <v>0.25</v>
      </c>
      <c r="I244" s="17">
        <v>0.01</v>
      </c>
      <c r="J244" s="17">
        <v>1.99</v>
      </c>
      <c r="K244" s="17">
        <f>VLOOKUP(B244,Tabelle1!$A$1:$C$351,2,FALSE)</f>
        <v>0.978605253070158</v>
      </c>
      <c r="L244" s="17">
        <f>VLOOKUP(B244,Tabelle1!$A$1:$C$351,3,FALSE)</f>
        <v>0.26241336418118699</v>
      </c>
      <c r="M244" s="16" t="s">
        <v>548</v>
      </c>
      <c r="O244" s="42" t="s">
        <v>85</v>
      </c>
      <c r="P244" s="42" t="s">
        <v>85</v>
      </c>
      <c r="Q244" s="42" t="s">
        <v>85</v>
      </c>
      <c r="R244" s="16" t="s">
        <v>550</v>
      </c>
      <c r="S244" s="42" t="s">
        <v>85</v>
      </c>
      <c r="T244" s="42" t="s">
        <v>85</v>
      </c>
      <c r="U244" s="8" t="s">
        <v>91</v>
      </c>
    </row>
    <row r="245" spans="1:21" ht="16.5" customHeight="1" x14ac:dyDescent="0.25">
      <c r="A245" s="17" t="s">
        <v>625</v>
      </c>
      <c r="B245" s="8" t="s">
        <v>374</v>
      </c>
      <c r="C245" s="16" t="s">
        <v>338</v>
      </c>
      <c r="D245" s="17" t="s">
        <v>85</v>
      </c>
      <c r="E245" s="16" t="s">
        <v>122</v>
      </c>
      <c r="F245" s="16" t="s">
        <v>551</v>
      </c>
      <c r="G245" s="17">
        <v>1</v>
      </c>
      <c r="H245" s="17">
        <v>0.25</v>
      </c>
      <c r="I245" s="17">
        <v>0.01</v>
      </c>
      <c r="J245" s="17">
        <v>1.99</v>
      </c>
      <c r="K245" s="17">
        <f>VLOOKUP(B245,Tabelle1!$A$1:$C$351,2,FALSE)</f>
        <v>1.0281400059702399</v>
      </c>
      <c r="L245" s="17">
        <f>VLOOKUP(B245,Tabelle1!$A$1:$C$351,3,FALSE)</f>
        <v>0.25338934840930299</v>
      </c>
      <c r="M245" s="16" t="s">
        <v>548</v>
      </c>
      <c r="O245" s="42" t="s">
        <v>85</v>
      </c>
      <c r="P245" s="42" t="s">
        <v>85</v>
      </c>
      <c r="Q245" s="42" t="s">
        <v>85</v>
      </c>
      <c r="R245" s="16" t="s">
        <v>550</v>
      </c>
      <c r="S245" s="42" t="s">
        <v>85</v>
      </c>
      <c r="T245" s="42" t="s">
        <v>85</v>
      </c>
      <c r="U245" s="8" t="s">
        <v>91</v>
      </c>
    </row>
    <row r="246" spans="1:21" ht="16.5" customHeight="1" x14ac:dyDescent="0.25">
      <c r="A246" s="17" t="s">
        <v>625</v>
      </c>
      <c r="B246" s="8" t="s">
        <v>375</v>
      </c>
      <c r="C246" s="16" t="s">
        <v>338</v>
      </c>
      <c r="D246" s="17" t="s">
        <v>85</v>
      </c>
      <c r="E246" s="16" t="s">
        <v>122</v>
      </c>
      <c r="F246" s="16" t="s">
        <v>551</v>
      </c>
      <c r="G246" s="17">
        <v>1</v>
      </c>
      <c r="H246" s="17">
        <v>0.25</v>
      </c>
      <c r="I246" s="17">
        <v>0.01</v>
      </c>
      <c r="J246" s="17">
        <v>1.99</v>
      </c>
      <c r="K246" s="17">
        <f>VLOOKUP(B246,Tabelle1!$A$1:$C$351,2,FALSE)</f>
        <v>0.98519835135856204</v>
      </c>
      <c r="L246" s="17">
        <f>VLOOKUP(B246,Tabelle1!$A$1:$C$351,3,FALSE)</f>
        <v>0.239925875987923</v>
      </c>
      <c r="M246" s="16" t="s">
        <v>548</v>
      </c>
      <c r="O246" s="42" t="s">
        <v>85</v>
      </c>
      <c r="P246" s="42" t="s">
        <v>85</v>
      </c>
      <c r="Q246" s="42" t="s">
        <v>85</v>
      </c>
      <c r="R246" s="16" t="s">
        <v>550</v>
      </c>
      <c r="S246" s="42" t="s">
        <v>85</v>
      </c>
      <c r="T246" s="42" t="s">
        <v>85</v>
      </c>
      <c r="U246" s="8" t="s">
        <v>91</v>
      </c>
    </row>
    <row r="247" spans="1:21" s="27" customFormat="1" ht="16.5" customHeight="1" x14ac:dyDescent="0.25">
      <c r="A247" s="30" t="s">
        <v>625</v>
      </c>
      <c r="B247" s="27" t="s">
        <v>376</v>
      </c>
      <c r="C247" s="29" t="s">
        <v>338</v>
      </c>
      <c r="D247" s="30" t="s">
        <v>85</v>
      </c>
      <c r="E247" s="29" t="s">
        <v>122</v>
      </c>
      <c r="F247" s="29" t="s">
        <v>551</v>
      </c>
      <c r="G247" s="30">
        <v>1</v>
      </c>
      <c r="H247" s="30">
        <v>0.25</v>
      </c>
      <c r="I247" s="30">
        <v>0.01</v>
      </c>
      <c r="J247" s="30">
        <v>1.99</v>
      </c>
      <c r="K247" s="30">
        <f>VLOOKUP(B247,Tabelle1!$A$1:$C$351,2,FALSE)</f>
        <v>0.99946688555077201</v>
      </c>
      <c r="L247" s="30">
        <f>VLOOKUP(B247,Tabelle1!$A$1:$C$351,3,FALSE)</f>
        <v>0.25674514815942101</v>
      </c>
      <c r="M247" s="29" t="s">
        <v>548</v>
      </c>
      <c r="O247" s="43" t="s">
        <v>85</v>
      </c>
      <c r="P247" s="43" t="s">
        <v>85</v>
      </c>
      <c r="Q247" s="43" t="s">
        <v>85</v>
      </c>
      <c r="R247" s="29" t="s">
        <v>550</v>
      </c>
      <c r="S247" s="43" t="s">
        <v>85</v>
      </c>
      <c r="T247" s="43" t="s">
        <v>85</v>
      </c>
      <c r="U247" s="27" t="s">
        <v>91</v>
      </c>
    </row>
    <row r="248" spans="1:21" ht="16.5" customHeight="1" x14ac:dyDescent="0.25">
      <c r="A248" s="17" t="s">
        <v>626</v>
      </c>
      <c r="B248" s="8" t="s">
        <v>385</v>
      </c>
      <c r="C248" s="16" t="s">
        <v>338</v>
      </c>
      <c r="D248" s="17" t="s">
        <v>589</v>
      </c>
      <c r="E248" s="16" t="s">
        <v>123</v>
      </c>
      <c r="F248" s="17" t="s">
        <v>302</v>
      </c>
      <c r="G248" s="16">
        <v>1</v>
      </c>
      <c r="H248" s="16">
        <v>1</v>
      </c>
      <c r="I248" s="46" t="s">
        <v>85</v>
      </c>
      <c r="J248" s="46" t="s">
        <v>85</v>
      </c>
      <c r="K248" s="16">
        <f>VLOOKUP(B248,Tabelle1!$A$1:$C$351,2,FALSE)</f>
        <v>0.90236510216239096</v>
      </c>
      <c r="L248" s="16">
        <f>VLOOKUP(B248,Tabelle1!$A$1:$C$351,3,FALSE)</f>
        <v>0.82351336739354497</v>
      </c>
      <c r="M248" s="19" t="s">
        <v>644</v>
      </c>
      <c r="N248" s="42" t="s">
        <v>85</v>
      </c>
      <c r="O248" s="42" t="s">
        <v>85</v>
      </c>
      <c r="P248" s="42" t="s">
        <v>85</v>
      </c>
      <c r="Q248" s="42" t="s">
        <v>85</v>
      </c>
      <c r="R248" s="16" t="s">
        <v>550</v>
      </c>
      <c r="S248" s="42" t="s">
        <v>85</v>
      </c>
      <c r="T248" s="42" t="s">
        <v>85</v>
      </c>
      <c r="U248" s="8" t="s">
        <v>91</v>
      </c>
    </row>
    <row r="249" spans="1:21" ht="16.5" customHeight="1" x14ac:dyDescent="0.25">
      <c r="A249" s="17" t="s">
        <v>626</v>
      </c>
      <c r="B249" s="8" t="s">
        <v>386</v>
      </c>
      <c r="C249" s="16" t="s">
        <v>338</v>
      </c>
      <c r="D249" s="17" t="s">
        <v>589</v>
      </c>
      <c r="E249" s="16" t="s">
        <v>123</v>
      </c>
      <c r="F249" s="17" t="s">
        <v>302</v>
      </c>
      <c r="G249" s="16">
        <v>1</v>
      </c>
      <c r="H249" s="16">
        <v>1</v>
      </c>
      <c r="I249" s="46" t="s">
        <v>85</v>
      </c>
      <c r="J249" s="46" t="s">
        <v>85</v>
      </c>
      <c r="K249" s="16">
        <f>VLOOKUP(B249,Tabelle1!$A$1:$C$351,2,FALSE)</f>
        <v>0.95344953500771501</v>
      </c>
      <c r="L249" s="16">
        <f>VLOOKUP(B249,Tabelle1!$A$1:$C$351,3,FALSE)</f>
        <v>0.88067739105114295</v>
      </c>
      <c r="M249" s="19" t="s">
        <v>644</v>
      </c>
      <c r="N249" s="42" t="s">
        <v>85</v>
      </c>
      <c r="O249" s="42" t="s">
        <v>85</v>
      </c>
      <c r="P249" s="42" t="s">
        <v>85</v>
      </c>
      <c r="Q249" s="42" t="s">
        <v>85</v>
      </c>
      <c r="R249" s="16" t="s">
        <v>550</v>
      </c>
      <c r="S249" s="42" t="s">
        <v>85</v>
      </c>
      <c r="T249" s="42" t="s">
        <v>85</v>
      </c>
      <c r="U249" s="8" t="s">
        <v>91</v>
      </c>
    </row>
    <row r="250" spans="1:21" ht="16.5" customHeight="1" x14ac:dyDescent="0.25">
      <c r="A250" s="17" t="s">
        <v>626</v>
      </c>
      <c r="B250" s="8" t="s">
        <v>387</v>
      </c>
      <c r="C250" s="16" t="s">
        <v>338</v>
      </c>
      <c r="D250" s="17" t="s">
        <v>589</v>
      </c>
      <c r="E250" s="16" t="s">
        <v>123</v>
      </c>
      <c r="F250" s="17" t="s">
        <v>302</v>
      </c>
      <c r="G250" s="16">
        <v>1</v>
      </c>
      <c r="H250" s="16">
        <v>1</v>
      </c>
      <c r="I250" s="46" t="s">
        <v>85</v>
      </c>
      <c r="J250" s="46" t="s">
        <v>85</v>
      </c>
      <c r="K250" s="16">
        <f>VLOOKUP(B250,Tabelle1!$A$1:$C$351,2,FALSE)</f>
        <v>0.83245983202445695</v>
      </c>
      <c r="L250" s="16">
        <f>VLOOKUP(B250,Tabelle1!$A$1:$C$351,3,FALSE)</f>
        <v>0.74176639890810903</v>
      </c>
      <c r="M250" s="19" t="s">
        <v>644</v>
      </c>
      <c r="N250" s="42" t="s">
        <v>85</v>
      </c>
      <c r="O250" s="42" t="s">
        <v>85</v>
      </c>
      <c r="P250" s="42" t="s">
        <v>85</v>
      </c>
      <c r="Q250" s="42" t="s">
        <v>85</v>
      </c>
      <c r="R250" s="16" t="s">
        <v>550</v>
      </c>
      <c r="S250" s="42" t="s">
        <v>85</v>
      </c>
      <c r="T250" s="42" t="s">
        <v>85</v>
      </c>
      <c r="U250" s="8" t="s">
        <v>91</v>
      </c>
    </row>
    <row r="251" spans="1:21" ht="16.5" customHeight="1" x14ac:dyDescent="0.25">
      <c r="A251" s="17" t="s">
        <v>626</v>
      </c>
      <c r="B251" s="8" t="s">
        <v>388</v>
      </c>
      <c r="C251" s="16" t="s">
        <v>338</v>
      </c>
      <c r="D251" s="17" t="s">
        <v>589</v>
      </c>
      <c r="E251" s="16" t="s">
        <v>123</v>
      </c>
      <c r="F251" s="17" t="s">
        <v>302</v>
      </c>
      <c r="G251" s="16">
        <v>1</v>
      </c>
      <c r="H251" s="16">
        <v>1</v>
      </c>
      <c r="I251" s="46" t="s">
        <v>85</v>
      </c>
      <c r="J251" s="46" t="s">
        <v>85</v>
      </c>
      <c r="K251" s="16">
        <f>VLOOKUP(B251,Tabelle1!$A$1:$C$351,2,FALSE)</f>
        <v>1.0700166186082201</v>
      </c>
      <c r="L251" s="16">
        <f>VLOOKUP(B251,Tabelle1!$A$1:$C$351,3,FALSE)</f>
        <v>1.2330244022324699</v>
      </c>
      <c r="M251" s="19" t="s">
        <v>644</v>
      </c>
      <c r="N251" s="42" t="s">
        <v>85</v>
      </c>
      <c r="O251" s="42" t="s">
        <v>85</v>
      </c>
      <c r="P251" s="42" t="s">
        <v>85</v>
      </c>
      <c r="Q251" s="42" t="s">
        <v>85</v>
      </c>
      <c r="R251" s="16" t="s">
        <v>550</v>
      </c>
      <c r="S251" s="42" t="s">
        <v>85</v>
      </c>
      <c r="T251" s="42" t="s">
        <v>85</v>
      </c>
      <c r="U251" s="8" t="s">
        <v>91</v>
      </c>
    </row>
    <row r="252" spans="1:21" ht="16.5" customHeight="1" x14ac:dyDescent="0.25">
      <c r="A252" s="17" t="s">
        <v>626</v>
      </c>
      <c r="B252" s="8" t="s">
        <v>389</v>
      </c>
      <c r="C252" s="16" t="s">
        <v>338</v>
      </c>
      <c r="D252" s="17" t="s">
        <v>589</v>
      </c>
      <c r="E252" s="16" t="s">
        <v>123</v>
      </c>
      <c r="F252" s="17" t="s">
        <v>302</v>
      </c>
      <c r="G252" s="16">
        <v>1</v>
      </c>
      <c r="H252" s="16">
        <v>1</v>
      </c>
      <c r="I252" s="46" t="s">
        <v>85</v>
      </c>
      <c r="J252" s="46" t="s">
        <v>85</v>
      </c>
      <c r="K252" s="16">
        <f>VLOOKUP(B252,Tabelle1!$A$1:$C$351,2,FALSE)</f>
        <v>0.97911198680648803</v>
      </c>
      <c r="L252" s="16">
        <f>VLOOKUP(B252,Tabelle1!$A$1:$C$351,3,FALSE)</f>
        <v>0.91493976980692904</v>
      </c>
      <c r="M252" s="19" t="s">
        <v>644</v>
      </c>
      <c r="N252" s="42" t="s">
        <v>85</v>
      </c>
      <c r="O252" s="42" t="s">
        <v>85</v>
      </c>
      <c r="P252" s="42" t="s">
        <v>85</v>
      </c>
      <c r="Q252" s="42" t="s">
        <v>85</v>
      </c>
      <c r="R252" s="16" t="s">
        <v>550</v>
      </c>
      <c r="S252" s="42" t="s">
        <v>85</v>
      </c>
      <c r="T252" s="42" t="s">
        <v>85</v>
      </c>
      <c r="U252" s="8" t="s">
        <v>91</v>
      </c>
    </row>
    <row r="253" spans="1:21" ht="16.5" customHeight="1" x14ac:dyDescent="0.25">
      <c r="A253" s="17" t="s">
        <v>626</v>
      </c>
      <c r="B253" s="8" t="s">
        <v>390</v>
      </c>
      <c r="C253" s="16" t="s">
        <v>338</v>
      </c>
      <c r="D253" s="17" t="s">
        <v>589</v>
      </c>
      <c r="E253" s="16" t="s">
        <v>123</v>
      </c>
      <c r="F253" s="17" t="s">
        <v>302</v>
      </c>
      <c r="G253" s="16">
        <v>1</v>
      </c>
      <c r="H253" s="16">
        <v>1</v>
      </c>
      <c r="I253" s="46" t="s">
        <v>85</v>
      </c>
      <c r="J253" s="46" t="s">
        <v>85</v>
      </c>
      <c r="K253" s="16">
        <f>VLOOKUP(B253,Tabelle1!$A$1:$C$351,2,FALSE)</f>
        <v>0.96359934630334698</v>
      </c>
      <c r="L253" s="16">
        <f>VLOOKUP(B253,Tabelle1!$A$1:$C$351,3,FALSE)</f>
        <v>0.85592376410111703</v>
      </c>
      <c r="M253" s="19" t="s">
        <v>644</v>
      </c>
      <c r="N253" s="42" t="s">
        <v>85</v>
      </c>
      <c r="O253" s="42" t="s">
        <v>85</v>
      </c>
      <c r="P253" s="42" t="s">
        <v>85</v>
      </c>
      <c r="Q253" s="42" t="s">
        <v>85</v>
      </c>
      <c r="R253" s="16" t="s">
        <v>550</v>
      </c>
      <c r="S253" s="42" t="s">
        <v>85</v>
      </c>
      <c r="T253" s="42" t="s">
        <v>85</v>
      </c>
      <c r="U253" s="8" t="s">
        <v>91</v>
      </c>
    </row>
    <row r="254" spans="1:21" ht="16.5" customHeight="1" x14ac:dyDescent="0.25">
      <c r="A254" s="17" t="s">
        <v>626</v>
      </c>
      <c r="B254" s="8" t="s">
        <v>391</v>
      </c>
      <c r="C254" s="16" t="s">
        <v>338</v>
      </c>
      <c r="D254" s="17" t="s">
        <v>589</v>
      </c>
      <c r="E254" s="16" t="s">
        <v>123</v>
      </c>
      <c r="F254" s="17" t="s">
        <v>302</v>
      </c>
      <c r="G254" s="16">
        <v>1</v>
      </c>
      <c r="H254" s="16">
        <v>1</v>
      </c>
      <c r="I254" s="46" t="s">
        <v>85</v>
      </c>
      <c r="J254" s="46" t="s">
        <v>85</v>
      </c>
      <c r="K254" s="16">
        <f>VLOOKUP(B254,Tabelle1!$A$1:$C$351,2,FALSE)</f>
        <v>0.95611383242775005</v>
      </c>
      <c r="L254" s="16">
        <f>VLOOKUP(B254,Tabelle1!$A$1:$C$351,3,FALSE)</f>
        <v>0.79529601356600699</v>
      </c>
      <c r="M254" s="19" t="s">
        <v>644</v>
      </c>
      <c r="N254" s="42" t="s">
        <v>85</v>
      </c>
      <c r="O254" s="42" t="s">
        <v>85</v>
      </c>
      <c r="P254" s="42" t="s">
        <v>85</v>
      </c>
      <c r="Q254" s="42" t="s">
        <v>85</v>
      </c>
      <c r="R254" s="16" t="s">
        <v>550</v>
      </c>
      <c r="S254" s="42" t="s">
        <v>85</v>
      </c>
      <c r="T254" s="42" t="s">
        <v>85</v>
      </c>
      <c r="U254" s="8" t="s">
        <v>91</v>
      </c>
    </row>
    <row r="255" spans="1:21" ht="16.5" customHeight="1" x14ac:dyDescent="0.25">
      <c r="A255" s="17" t="s">
        <v>626</v>
      </c>
      <c r="B255" s="8" t="s">
        <v>392</v>
      </c>
      <c r="C255" s="16" t="s">
        <v>338</v>
      </c>
      <c r="D255" s="17" t="s">
        <v>589</v>
      </c>
      <c r="E255" s="16" t="s">
        <v>123</v>
      </c>
      <c r="F255" s="17" t="s">
        <v>302</v>
      </c>
      <c r="G255" s="16">
        <v>1</v>
      </c>
      <c r="H255" s="16">
        <v>1</v>
      </c>
      <c r="I255" s="46" t="s">
        <v>85</v>
      </c>
      <c r="J255" s="46" t="s">
        <v>85</v>
      </c>
      <c r="K255" s="16">
        <f>VLOOKUP(B255,Tabelle1!$A$1:$C$351,2,FALSE)</f>
        <v>1.0115977840567201</v>
      </c>
      <c r="L255" s="16">
        <f>VLOOKUP(B255,Tabelle1!$A$1:$C$351,3,FALSE)</f>
        <v>0.90879634616996496</v>
      </c>
      <c r="M255" s="19" t="s">
        <v>644</v>
      </c>
      <c r="N255" s="42" t="s">
        <v>85</v>
      </c>
      <c r="O255" s="42" t="s">
        <v>85</v>
      </c>
      <c r="P255" s="42" t="s">
        <v>85</v>
      </c>
      <c r="Q255" s="42" t="s">
        <v>85</v>
      </c>
      <c r="R255" s="16" t="s">
        <v>550</v>
      </c>
      <c r="S255" s="42" t="s">
        <v>85</v>
      </c>
      <c r="T255" s="42" t="s">
        <v>85</v>
      </c>
      <c r="U255" s="8" t="s">
        <v>91</v>
      </c>
    </row>
    <row r="256" spans="1:21" ht="16.5" customHeight="1" x14ac:dyDescent="0.25">
      <c r="A256" s="17" t="s">
        <v>626</v>
      </c>
      <c r="B256" s="8" t="s">
        <v>393</v>
      </c>
      <c r="C256" s="16" t="s">
        <v>338</v>
      </c>
      <c r="D256" s="17" t="s">
        <v>589</v>
      </c>
      <c r="E256" s="16" t="s">
        <v>123</v>
      </c>
      <c r="F256" s="17" t="s">
        <v>302</v>
      </c>
      <c r="G256" s="16">
        <v>1</v>
      </c>
      <c r="H256" s="16">
        <v>1</v>
      </c>
      <c r="I256" s="46" t="s">
        <v>85</v>
      </c>
      <c r="J256" s="46" t="s">
        <v>85</v>
      </c>
      <c r="K256" s="16">
        <f>VLOOKUP(B256,Tabelle1!$A$1:$C$351,2,FALSE)</f>
        <v>0.98122137398182896</v>
      </c>
      <c r="L256" s="16">
        <f>VLOOKUP(B256,Tabelle1!$A$1:$C$351,3,FALSE)</f>
        <v>0.83859338111843396</v>
      </c>
      <c r="M256" s="19" t="s">
        <v>644</v>
      </c>
      <c r="N256" s="42" t="s">
        <v>85</v>
      </c>
      <c r="O256" s="42" t="s">
        <v>85</v>
      </c>
      <c r="P256" s="42" t="s">
        <v>85</v>
      </c>
      <c r="Q256" s="42" t="s">
        <v>85</v>
      </c>
      <c r="R256" s="16" t="s">
        <v>550</v>
      </c>
      <c r="S256" s="42" t="s">
        <v>85</v>
      </c>
      <c r="T256" s="42" t="s">
        <v>85</v>
      </c>
      <c r="U256" s="8" t="s">
        <v>91</v>
      </c>
    </row>
    <row r="257" spans="1:21" ht="16.5" customHeight="1" x14ac:dyDescent="0.25">
      <c r="A257" s="17" t="s">
        <v>626</v>
      </c>
      <c r="B257" s="8" t="s">
        <v>394</v>
      </c>
      <c r="C257" s="16" t="s">
        <v>338</v>
      </c>
      <c r="D257" s="17" t="s">
        <v>589</v>
      </c>
      <c r="E257" s="16" t="s">
        <v>123</v>
      </c>
      <c r="F257" s="17" t="s">
        <v>302</v>
      </c>
      <c r="G257" s="16">
        <v>1</v>
      </c>
      <c r="H257" s="16">
        <v>1</v>
      </c>
      <c r="I257" s="46" t="s">
        <v>85</v>
      </c>
      <c r="J257" s="46" t="s">
        <v>85</v>
      </c>
      <c r="K257" s="16">
        <f>VLOOKUP(B257,Tabelle1!$A$1:$C$351,2,FALSE)</f>
        <v>0.99309046263603695</v>
      </c>
      <c r="L257" s="16">
        <f>VLOOKUP(B257,Tabelle1!$A$1:$C$351,3,FALSE)</f>
        <v>0.94670478583269602</v>
      </c>
      <c r="M257" s="19" t="s">
        <v>644</v>
      </c>
      <c r="N257" s="42" t="s">
        <v>85</v>
      </c>
      <c r="O257" s="42" t="s">
        <v>85</v>
      </c>
      <c r="P257" s="42" t="s">
        <v>85</v>
      </c>
      <c r="Q257" s="42" t="s">
        <v>85</v>
      </c>
      <c r="R257" s="16" t="s">
        <v>550</v>
      </c>
      <c r="S257" s="42" t="s">
        <v>85</v>
      </c>
      <c r="T257" s="42" t="s">
        <v>85</v>
      </c>
      <c r="U257" s="8" t="s">
        <v>91</v>
      </c>
    </row>
    <row r="258" spans="1:21" s="29" customFormat="1" ht="16.5" customHeight="1" x14ac:dyDescent="0.25">
      <c r="A258" s="30" t="s">
        <v>626</v>
      </c>
      <c r="B258" s="27" t="s">
        <v>395</v>
      </c>
      <c r="C258" s="29" t="s">
        <v>338</v>
      </c>
      <c r="D258" s="30" t="s">
        <v>589</v>
      </c>
      <c r="E258" s="29" t="s">
        <v>123</v>
      </c>
      <c r="F258" s="30" t="s">
        <v>302</v>
      </c>
      <c r="G258" s="29">
        <v>1</v>
      </c>
      <c r="H258" s="29">
        <v>1</v>
      </c>
      <c r="I258" s="47" t="s">
        <v>85</v>
      </c>
      <c r="J258" s="47" t="s">
        <v>85</v>
      </c>
      <c r="K258" s="29">
        <f>VLOOKUP(B258,Tabelle1!$A$1:$C$351,2,FALSE)</f>
        <v>1.0183325135704899</v>
      </c>
      <c r="L258" s="29">
        <f>VLOOKUP(B258,Tabelle1!$A$1:$C$351,3,FALSE)</f>
        <v>1.04718832514756</v>
      </c>
      <c r="M258" s="21" t="s">
        <v>644</v>
      </c>
      <c r="N258" s="41" t="s">
        <v>85</v>
      </c>
      <c r="O258" s="41" t="s">
        <v>85</v>
      </c>
      <c r="P258" s="41" t="s">
        <v>85</v>
      </c>
      <c r="Q258" s="41" t="s">
        <v>85</v>
      </c>
      <c r="R258" s="29" t="s">
        <v>550</v>
      </c>
      <c r="S258" s="41" t="s">
        <v>85</v>
      </c>
      <c r="T258" s="41" t="s">
        <v>85</v>
      </c>
      <c r="U258" s="29" t="s">
        <v>91</v>
      </c>
    </row>
    <row r="259" spans="1:21" s="16" customFormat="1" ht="16.5" customHeight="1" x14ac:dyDescent="0.25">
      <c r="A259" s="17" t="s">
        <v>627</v>
      </c>
      <c r="B259" s="8" t="s">
        <v>404</v>
      </c>
      <c r="C259" s="16" t="s">
        <v>338</v>
      </c>
      <c r="D259" s="17" t="s">
        <v>589</v>
      </c>
      <c r="E259" s="16" t="s">
        <v>124</v>
      </c>
      <c r="F259" s="17" t="s">
        <v>302</v>
      </c>
      <c r="G259" s="16">
        <v>1</v>
      </c>
      <c r="H259" s="16">
        <v>1</v>
      </c>
      <c r="I259" s="46" t="s">
        <v>85</v>
      </c>
      <c r="J259" s="46" t="s">
        <v>85</v>
      </c>
      <c r="K259" s="16">
        <f>VLOOKUP(B259,Tabelle1!$A$1:$C$351,2,FALSE)</f>
        <v>0.97672008985369096</v>
      </c>
      <c r="L259" s="16">
        <f>VLOOKUP(B259,Tabelle1!$A$1:$C$351,3,FALSE)</f>
        <v>1.10932823836984</v>
      </c>
      <c r="M259" s="16" t="s">
        <v>548</v>
      </c>
      <c r="N259" s="35" t="s">
        <v>85</v>
      </c>
      <c r="O259" s="35" t="s">
        <v>85</v>
      </c>
      <c r="P259" s="35" t="s">
        <v>85</v>
      </c>
      <c r="Q259" s="35" t="s">
        <v>85</v>
      </c>
      <c r="R259" s="16" t="s">
        <v>550</v>
      </c>
      <c r="S259" s="35" t="s">
        <v>85</v>
      </c>
      <c r="T259" s="35" t="s">
        <v>85</v>
      </c>
      <c r="U259" s="16" t="s">
        <v>91</v>
      </c>
    </row>
    <row r="260" spans="1:21" s="16" customFormat="1" ht="16.5" customHeight="1" x14ac:dyDescent="0.25">
      <c r="A260" s="17" t="s">
        <v>627</v>
      </c>
      <c r="B260" s="8" t="s">
        <v>405</v>
      </c>
      <c r="C260" s="16" t="s">
        <v>338</v>
      </c>
      <c r="D260" s="17" t="s">
        <v>589</v>
      </c>
      <c r="E260" s="16" t="s">
        <v>124</v>
      </c>
      <c r="F260" s="17" t="s">
        <v>302</v>
      </c>
      <c r="G260" s="16">
        <v>1</v>
      </c>
      <c r="H260" s="16">
        <v>1</v>
      </c>
      <c r="I260" s="46" t="s">
        <v>85</v>
      </c>
      <c r="J260" s="46" t="s">
        <v>85</v>
      </c>
      <c r="K260" s="16">
        <f>VLOOKUP(B260,Tabelle1!$A$1:$C$351,2,FALSE)</f>
        <v>1.03879267573437</v>
      </c>
      <c r="L260" s="16">
        <f>VLOOKUP(B260,Tabelle1!$A$1:$C$351,3,FALSE)</f>
        <v>0.86114146129624503</v>
      </c>
      <c r="M260" s="16" t="s">
        <v>548</v>
      </c>
      <c r="N260" s="35" t="s">
        <v>85</v>
      </c>
      <c r="O260" s="35" t="s">
        <v>85</v>
      </c>
      <c r="P260" s="35" t="s">
        <v>85</v>
      </c>
      <c r="Q260" s="35" t="s">
        <v>85</v>
      </c>
      <c r="R260" s="16" t="s">
        <v>550</v>
      </c>
      <c r="S260" s="35" t="s">
        <v>85</v>
      </c>
      <c r="T260" s="35" t="s">
        <v>85</v>
      </c>
      <c r="U260" s="16" t="s">
        <v>91</v>
      </c>
    </row>
    <row r="261" spans="1:21" s="16" customFormat="1" ht="16.5" customHeight="1" x14ac:dyDescent="0.25">
      <c r="A261" s="17" t="s">
        <v>627</v>
      </c>
      <c r="B261" s="8" t="s">
        <v>406</v>
      </c>
      <c r="C261" s="16" t="s">
        <v>338</v>
      </c>
      <c r="D261" s="17" t="s">
        <v>589</v>
      </c>
      <c r="E261" s="16" t="s">
        <v>124</v>
      </c>
      <c r="F261" s="17" t="s">
        <v>302</v>
      </c>
      <c r="G261" s="16">
        <v>1</v>
      </c>
      <c r="H261" s="16">
        <v>1</v>
      </c>
      <c r="I261" s="46" t="s">
        <v>85</v>
      </c>
      <c r="J261" s="46" t="s">
        <v>85</v>
      </c>
      <c r="K261" s="16">
        <f>VLOOKUP(B261,Tabelle1!$A$1:$C$351,2,FALSE)</f>
        <v>0.93885748712420503</v>
      </c>
      <c r="L261" s="16">
        <f>VLOOKUP(B261,Tabelle1!$A$1:$C$351,3,FALSE)</f>
        <v>1.0548296744713701</v>
      </c>
      <c r="M261" s="16" t="s">
        <v>548</v>
      </c>
      <c r="N261" s="35" t="s">
        <v>85</v>
      </c>
      <c r="O261" s="35" t="s">
        <v>85</v>
      </c>
      <c r="P261" s="35" t="s">
        <v>85</v>
      </c>
      <c r="Q261" s="35" t="s">
        <v>85</v>
      </c>
      <c r="R261" s="16" t="s">
        <v>550</v>
      </c>
      <c r="S261" s="35" t="s">
        <v>85</v>
      </c>
      <c r="T261" s="35" t="s">
        <v>85</v>
      </c>
      <c r="U261" s="16" t="s">
        <v>91</v>
      </c>
    </row>
    <row r="262" spans="1:21" s="16" customFormat="1" ht="16.5" customHeight="1" x14ac:dyDescent="0.25">
      <c r="A262" s="17" t="s">
        <v>627</v>
      </c>
      <c r="B262" s="8" t="s">
        <v>407</v>
      </c>
      <c r="C262" s="16" t="s">
        <v>338</v>
      </c>
      <c r="D262" s="17" t="s">
        <v>589</v>
      </c>
      <c r="E262" s="16" t="s">
        <v>124</v>
      </c>
      <c r="F262" s="17" t="s">
        <v>302</v>
      </c>
      <c r="G262" s="16">
        <v>1</v>
      </c>
      <c r="H262" s="16">
        <v>1</v>
      </c>
      <c r="I262" s="46" t="s">
        <v>85</v>
      </c>
      <c r="J262" s="46" t="s">
        <v>85</v>
      </c>
      <c r="K262" s="16">
        <f>VLOOKUP(B262,Tabelle1!$A$1:$C$351,2,FALSE)</f>
        <v>0.92207829806318897</v>
      </c>
      <c r="L262" s="16">
        <f>VLOOKUP(B262,Tabelle1!$A$1:$C$351,3,FALSE)</f>
        <v>0.78317303850352304</v>
      </c>
      <c r="M262" s="16" t="s">
        <v>548</v>
      </c>
      <c r="N262" s="35" t="s">
        <v>85</v>
      </c>
      <c r="O262" s="35" t="s">
        <v>85</v>
      </c>
      <c r="P262" s="35" t="s">
        <v>85</v>
      </c>
      <c r="Q262" s="35" t="s">
        <v>85</v>
      </c>
      <c r="R262" s="16" t="s">
        <v>550</v>
      </c>
      <c r="S262" s="35" t="s">
        <v>85</v>
      </c>
      <c r="T262" s="35" t="s">
        <v>85</v>
      </c>
      <c r="U262" s="16" t="s">
        <v>91</v>
      </c>
    </row>
    <row r="263" spans="1:21" s="16" customFormat="1" ht="16.5" customHeight="1" x14ac:dyDescent="0.25">
      <c r="A263" s="17" t="s">
        <v>627</v>
      </c>
      <c r="B263" s="8" t="s">
        <v>408</v>
      </c>
      <c r="C263" s="16" t="s">
        <v>338</v>
      </c>
      <c r="D263" s="17" t="s">
        <v>589</v>
      </c>
      <c r="E263" s="16" t="s">
        <v>124</v>
      </c>
      <c r="F263" s="17" t="s">
        <v>302</v>
      </c>
      <c r="G263" s="16">
        <v>1</v>
      </c>
      <c r="H263" s="16">
        <v>1</v>
      </c>
      <c r="I263" s="46" t="s">
        <v>85</v>
      </c>
      <c r="J263" s="46" t="s">
        <v>85</v>
      </c>
      <c r="K263" s="16">
        <f>VLOOKUP(B263,Tabelle1!$A$1:$C$351,2,FALSE)</f>
        <v>1.0174347773927701</v>
      </c>
      <c r="L263" s="16">
        <f>VLOOKUP(B263,Tabelle1!$A$1:$C$351,3,FALSE)</f>
        <v>0.95628603475968499</v>
      </c>
      <c r="M263" s="16" t="s">
        <v>548</v>
      </c>
      <c r="N263" s="35" t="s">
        <v>85</v>
      </c>
      <c r="O263" s="35" t="s">
        <v>85</v>
      </c>
      <c r="P263" s="35" t="s">
        <v>85</v>
      </c>
      <c r="Q263" s="35" t="s">
        <v>85</v>
      </c>
      <c r="R263" s="16" t="s">
        <v>550</v>
      </c>
      <c r="S263" s="35" t="s">
        <v>85</v>
      </c>
      <c r="T263" s="35" t="s">
        <v>85</v>
      </c>
      <c r="U263" s="16" t="s">
        <v>91</v>
      </c>
    </row>
    <row r="264" spans="1:21" s="16" customFormat="1" ht="16.5" customHeight="1" x14ac:dyDescent="0.25">
      <c r="A264" s="17" t="s">
        <v>627</v>
      </c>
      <c r="B264" s="8" t="s">
        <v>409</v>
      </c>
      <c r="C264" s="16" t="s">
        <v>338</v>
      </c>
      <c r="D264" s="17" t="s">
        <v>589</v>
      </c>
      <c r="E264" s="16" t="s">
        <v>124</v>
      </c>
      <c r="F264" s="17" t="s">
        <v>302</v>
      </c>
      <c r="G264" s="16">
        <v>1</v>
      </c>
      <c r="H264" s="16">
        <v>1</v>
      </c>
      <c r="I264" s="46" t="s">
        <v>85</v>
      </c>
      <c r="J264" s="46" t="s">
        <v>85</v>
      </c>
      <c r="K264" s="16">
        <f>VLOOKUP(B264,Tabelle1!$A$1:$C$351,2,FALSE)</f>
        <v>1.04201656435648</v>
      </c>
      <c r="L264" s="16">
        <f>VLOOKUP(B264,Tabelle1!$A$1:$C$351,3,FALSE)</f>
        <v>1.0430746274934</v>
      </c>
      <c r="M264" s="16" t="s">
        <v>548</v>
      </c>
      <c r="N264" s="35" t="s">
        <v>85</v>
      </c>
      <c r="O264" s="35" t="s">
        <v>85</v>
      </c>
      <c r="P264" s="35" t="s">
        <v>85</v>
      </c>
      <c r="Q264" s="35" t="s">
        <v>85</v>
      </c>
      <c r="R264" s="16" t="s">
        <v>550</v>
      </c>
      <c r="S264" s="35" t="s">
        <v>85</v>
      </c>
      <c r="T264" s="35" t="s">
        <v>85</v>
      </c>
      <c r="U264" s="16" t="s">
        <v>91</v>
      </c>
    </row>
    <row r="265" spans="1:21" s="16" customFormat="1" ht="16.5" customHeight="1" x14ac:dyDescent="0.25">
      <c r="A265" s="17" t="s">
        <v>627</v>
      </c>
      <c r="B265" s="8" t="s">
        <v>410</v>
      </c>
      <c r="C265" s="16" t="s">
        <v>338</v>
      </c>
      <c r="D265" s="17" t="s">
        <v>589</v>
      </c>
      <c r="E265" s="16" t="s">
        <v>124</v>
      </c>
      <c r="F265" s="17" t="s">
        <v>302</v>
      </c>
      <c r="G265" s="16">
        <v>1</v>
      </c>
      <c r="H265" s="16">
        <v>1</v>
      </c>
      <c r="I265" s="46" t="s">
        <v>85</v>
      </c>
      <c r="J265" s="46" t="s">
        <v>85</v>
      </c>
      <c r="K265" s="16">
        <f>VLOOKUP(B265,Tabelle1!$A$1:$C$351,2,FALSE)</f>
        <v>1.010669359659</v>
      </c>
      <c r="L265" s="16">
        <f>VLOOKUP(B265,Tabelle1!$A$1:$C$351,3,FALSE)</f>
        <v>0.95617833170336997</v>
      </c>
      <c r="M265" s="16" t="s">
        <v>548</v>
      </c>
      <c r="N265" s="35" t="s">
        <v>85</v>
      </c>
      <c r="O265" s="35" t="s">
        <v>85</v>
      </c>
      <c r="P265" s="35" t="s">
        <v>85</v>
      </c>
      <c r="Q265" s="35" t="s">
        <v>85</v>
      </c>
      <c r="R265" s="16" t="s">
        <v>550</v>
      </c>
      <c r="S265" s="35" t="s">
        <v>85</v>
      </c>
      <c r="T265" s="35" t="s">
        <v>85</v>
      </c>
      <c r="U265" s="16" t="s">
        <v>91</v>
      </c>
    </row>
    <row r="266" spans="1:21" s="16" customFormat="1" ht="16.5" customHeight="1" x14ac:dyDescent="0.25">
      <c r="A266" s="17" t="s">
        <v>627</v>
      </c>
      <c r="B266" s="8" t="s">
        <v>411</v>
      </c>
      <c r="C266" s="16" t="s">
        <v>338</v>
      </c>
      <c r="D266" s="17" t="s">
        <v>589</v>
      </c>
      <c r="E266" s="16" t="s">
        <v>124</v>
      </c>
      <c r="F266" s="17" t="s">
        <v>302</v>
      </c>
      <c r="G266" s="16">
        <v>1</v>
      </c>
      <c r="H266" s="16">
        <v>1</v>
      </c>
      <c r="I266" s="46" t="s">
        <v>85</v>
      </c>
      <c r="J266" s="46" t="s">
        <v>85</v>
      </c>
      <c r="K266" s="16">
        <f>VLOOKUP(B266,Tabelle1!$A$1:$C$351,2,FALSE)</f>
        <v>0.98845897701095997</v>
      </c>
      <c r="L266" s="16">
        <f>VLOOKUP(B266,Tabelle1!$A$1:$C$351,3,FALSE)</f>
        <v>1.0989680911827899</v>
      </c>
      <c r="M266" s="16" t="s">
        <v>548</v>
      </c>
      <c r="N266" s="35" t="s">
        <v>85</v>
      </c>
      <c r="O266" s="35" t="s">
        <v>85</v>
      </c>
      <c r="P266" s="35" t="s">
        <v>85</v>
      </c>
      <c r="Q266" s="35" t="s">
        <v>85</v>
      </c>
      <c r="R266" s="16" t="s">
        <v>550</v>
      </c>
      <c r="S266" s="35" t="s">
        <v>85</v>
      </c>
      <c r="T266" s="35" t="s">
        <v>85</v>
      </c>
      <c r="U266" s="16" t="s">
        <v>91</v>
      </c>
    </row>
    <row r="267" spans="1:21" s="16" customFormat="1" ht="16.5" customHeight="1" x14ac:dyDescent="0.25">
      <c r="A267" s="17" t="s">
        <v>627</v>
      </c>
      <c r="B267" s="8" t="s">
        <v>412</v>
      </c>
      <c r="C267" s="16" t="s">
        <v>338</v>
      </c>
      <c r="D267" s="17" t="s">
        <v>589</v>
      </c>
      <c r="E267" s="16" t="s">
        <v>124</v>
      </c>
      <c r="F267" s="17" t="s">
        <v>302</v>
      </c>
      <c r="G267" s="16">
        <v>1</v>
      </c>
      <c r="H267" s="16">
        <v>1</v>
      </c>
      <c r="I267" s="46" t="s">
        <v>85</v>
      </c>
      <c r="J267" s="46" t="s">
        <v>85</v>
      </c>
      <c r="K267" s="16">
        <f>VLOOKUP(B267,Tabelle1!$A$1:$C$351,2,FALSE)</f>
        <v>1.1196307744892799</v>
      </c>
      <c r="L267" s="16">
        <f>VLOOKUP(B267,Tabelle1!$A$1:$C$351,3,FALSE)</f>
        <v>1.0844928830362299</v>
      </c>
      <c r="M267" s="16" t="s">
        <v>548</v>
      </c>
      <c r="N267" s="35" t="s">
        <v>85</v>
      </c>
      <c r="O267" s="35" t="s">
        <v>85</v>
      </c>
      <c r="P267" s="35" t="s">
        <v>85</v>
      </c>
      <c r="Q267" s="35" t="s">
        <v>85</v>
      </c>
      <c r="R267" s="16" t="s">
        <v>550</v>
      </c>
      <c r="S267" s="35" t="s">
        <v>85</v>
      </c>
      <c r="T267" s="35" t="s">
        <v>85</v>
      </c>
      <c r="U267" s="16" t="s">
        <v>91</v>
      </c>
    </row>
    <row r="268" spans="1:21" s="16" customFormat="1" ht="16.5" customHeight="1" x14ac:dyDescent="0.25">
      <c r="A268" s="17" t="s">
        <v>627</v>
      </c>
      <c r="B268" s="8" t="s">
        <v>413</v>
      </c>
      <c r="C268" s="16" t="s">
        <v>338</v>
      </c>
      <c r="D268" s="17" t="s">
        <v>589</v>
      </c>
      <c r="E268" s="16" t="s">
        <v>124</v>
      </c>
      <c r="F268" s="17" t="s">
        <v>302</v>
      </c>
      <c r="G268" s="16">
        <v>1</v>
      </c>
      <c r="H268" s="16">
        <v>1</v>
      </c>
      <c r="I268" s="46" t="s">
        <v>85</v>
      </c>
      <c r="J268" s="46" t="s">
        <v>85</v>
      </c>
      <c r="K268" s="16">
        <f>VLOOKUP(B268,Tabelle1!$A$1:$C$351,2,FALSE)</f>
        <v>1.0401263516228301</v>
      </c>
      <c r="L268" s="16">
        <f>VLOOKUP(B268,Tabelle1!$A$1:$C$351,3,FALSE)</f>
        <v>1.11259801120172</v>
      </c>
      <c r="M268" s="16" t="s">
        <v>548</v>
      </c>
      <c r="N268" s="35" t="s">
        <v>85</v>
      </c>
      <c r="O268" s="35" t="s">
        <v>85</v>
      </c>
      <c r="P268" s="35" t="s">
        <v>85</v>
      </c>
      <c r="Q268" s="35" t="s">
        <v>85</v>
      </c>
      <c r="R268" s="16" t="s">
        <v>550</v>
      </c>
      <c r="S268" s="35" t="s">
        <v>85</v>
      </c>
      <c r="T268" s="35" t="s">
        <v>85</v>
      </c>
      <c r="U268" s="16" t="s">
        <v>91</v>
      </c>
    </row>
    <row r="269" spans="1:21" s="29" customFormat="1" ht="16.5" customHeight="1" x14ac:dyDescent="0.25">
      <c r="A269" s="30" t="s">
        <v>627</v>
      </c>
      <c r="B269" s="27" t="s">
        <v>414</v>
      </c>
      <c r="C269" s="29" t="s">
        <v>338</v>
      </c>
      <c r="D269" s="30" t="s">
        <v>589</v>
      </c>
      <c r="E269" s="29" t="s">
        <v>124</v>
      </c>
      <c r="F269" s="30" t="s">
        <v>302</v>
      </c>
      <c r="G269" s="29">
        <v>1</v>
      </c>
      <c r="H269" s="29">
        <v>1</v>
      </c>
      <c r="I269" s="47" t="s">
        <v>85</v>
      </c>
      <c r="J269" s="47" t="s">
        <v>85</v>
      </c>
      <c r="K269" s="29">
        <f>VLOOKUP(B269,Tabelle1!$A$1:$C$351,2,FALSE)</f>
        <v>1.0418068899819399</v>
      </c>
      <c r="L269" s="29">
        <f>VLOOKUP(B269,Tabelle1!$A$1:$C$351,3,FALSE)</f>
        <v>1.0576738711751199</v>
      </c>
      <c r="M269" s="29" t="s">
        <v>548</v>
      </c>
      <c r="N269" s="41" t="s">
        <v>85</v>
      </c>
      <c r="O269" s="41" t="s">
        <v>85</v>
      </c>
      <c r="P269" s="41" t="s">
        <v>85</v>
      </c>
      <c r="Q269" s="41" t="s">
        <v>85</v>
      </c>
      <c r="R269" s="29" t="s">
        <v>550</v>
      </c>
      <c r="S269" s="41" t="s">
        <v>85</v>
      </c>
      <c r="T269" s="41" t="s">
        <v>85</v>
      </c>
      <c r="U269" s="29" t="s">
        <v>91</v>
      </c>
    </row>
    <row r="270" spans="1:21" s="16" customFormat="1" ht="16.5" customHeight="1" x14ac:dyDescent="0.25">
      <c r="A270" s="17" t="s">
        <v>601</v>
      </c>
      <c r="B270" s="8" t="s">
        <v>415</v>
      </c>
      <c r="C270" s="19" t="s">
        <v>338</v>
      </c>
      <c r="D270" s="24" t="s">
        <v>585</v>
      </c>
      <c r="E270" s="19" t="s">
        <v>491</v>
      </c>
      <c r="F270" s="17" t="s">
        <v>302</v>
      </c>
      <c r="G270" s="8">
        <v>5.2874999999999998E-2</v>
      </c>
      <c r="H270" s="8">
        <v>5.2874999999999997E-3</v>
      </c>
      <c r="I270" s="42" t="s">
        <v>85</v>
      </c>
      <c r="J270" s="42" t="s">
        <v>85</v>
      </c>
      <c r="K270" s="8">
        <f>VLOOKUP(B270,Tabelle1!$A$1:$C$351,2,FALSE)</f>
        <v>5.2744129716611701E-2</v>
      </c>
      <c r="L270" s="8">
        <f>VLOOKUP(B270,Tabelle1!$A$1:$C$351,3,FALSE)</f>
        <v>5.5701111170101897E-3</v>
      </c>
      <c r="M270" s="16" t="s">
        <v>542</v>
      </c>
      <c r="N270" s="16" t="s">
        <v>654</v>
      </c>
      <c r="O270" s="19" t="s">
        <v>545</v>
      </c>
      <c r="P270" s="19" t="s">
        <v>546</v>
      </c>
      <c r="Q270" s="19" t="s">
        <v>652</v>
      </c>
      <c r="R270" s="8" t="s">
        <v>550</v>
      </c>
      <c r="S270" s="19" t="s">
        <v>547</v>
      </c>
      <c r="T270" s="18" t="s">
        <v>653</v>
      </c>
      <c r="U270" s="16" t="s">
        <v>538</v>
      </c>
    </row>
    <row r="271" spans="1:21" s="16" customFormat="1" ht="16.5" customHeight="1" x14ac:dyDescent="0.25">
      <c r="A271" s="17" t="s">
        <v>601</v>
      </c>
      <c r="B271" s="8" t="s">
        <v>416</v>
      </c>
      <c r="C271" s="19" t="s">
        <v>338</v>
      </c>
      <c r="D271" s="24" t="s">
        <v>585</v>
      </c>
      <c r="E271" s="19" t="s">
        <v>491</v>
      </c>
      <c r="F271" s="17" t="s">
        <v>302</v>
      </c>
      <c r="G271" s="8">
        <v>1.9387499999999998E-2</v>
      </c>
      <c r="H271" s="8">
        <v>1.9387499999999999E-3</v>
      </c>
      <c r="I271" s="42" t="s">
        <v>85</v>
      </c>
      <c r="J271" s="42" t="s">
        <v>85</v>
      </c>
      <c r="K271" s="8">
        <f>VLOOKUP(B271,Tabelle1!$A$1:$C$351,2,FALSE)</f>
        <v>1.94413322928981E-2</v>
      </c>
      <c r="L271" s="8">
        <f>VLOOKUP(B271,Tabelle1!$A$1:$C$351,3,FALSE)</f>
        <v>2.0974553110882301E-3</v>
      </c>
      <c r="M271" s="16" t="s">
        <v>542</v>
      </c>
      <c r="N271" s="16" t="s">
        <v>654</v>
      </c>
      <c r="O271" s="19" t="s">
        <v>545</v>
      </c>
      <c r="P271" s="19" t="s">
        <v>546</v>
      </c>
      <c r="Q271" s="19" t="s">
        <v>652</v>
      </c>
      <c r="R271" s="8" t="s">
        <v>550</v>
      </c>
      <c r="S271" s="19" t="s">
        <v>547</v>
      </c>
      <c r="T271" s="18" t="s">
        <v>653</v>
      </c>
      <c r="U271" s="16" t="s">
        <v>538</v>
      </c>
    </row>
    <row r="272" spans="1:21" s="16" customFormat="1" ht="16.5" customHeight="1" x14ac:dyDescent="0.25">
      <c r="A272" s="17" t="s">
        <v>601</v>
      </c>
      <c r="B272" s="8" t="s">
        <v>417</v>
      </c>
      <c r="C272" s="19" t="s">
        <v>338</v>
      </c>
      <c r="D272" s="24" t="s">
        <v>585</v>
      </c>
      <c r="E272" s="19" t="s">
        <v>491</v>
      </c>
      <c r="F272" s="17" t="s">
        <v>302</v>
      </c>
      <c r="G272" s="8">
        <v>0.115479</v>
      </c>
      <c r="H272" s="8">
        <v>1.15479E-2</v>
      </c>
      <c r="I272" s="42" t="s">
        <v>85</v>
      </c>
      <c r="J272" s="42" t="s">
        <v>85</v>
      </c>
      <c r="K272" s="8">
        <f>VLOOKUP(B272,Tabelle1!$A$1:$C$351,2,FALSE)</f>
        <v>0.115163652676625</v>
      </c>
      <c r="L272" s="8">
        <f>VLOOKUP(B272,Tabelle1!$A$1:$C$351,3,FALSE)</f>
        <v>1.17629365292651E-2</v>
      </c>
      <c r="M272" s="16" t="s">
        <v>542</v>
      </c>
      <c r="N272" s="16" t="s">
        <v>654</v>
      </c>
      <c r="O272" s="19" t="s">
        <v>545</v>
      </c>
      <c r="P272" s="19" t="s">
        <v>546</v>
      </c>
      <c r="Q272" s="19" t="s">
        <v>652</v>
      </c>
      <c r="R272" s="8" t="s">
        <v>550</v>
      </c>
      <c r="S272" s="19" t="s">
        <v>547</v>
      </c>
      <c r="T272" s="18" t="s">
        <v>653</v>
      </c>
      <c r="U272" s="16" t="s">
        <v>538</v>
      </c>
    </row>
    <row r="273" spans="1:21" s="16" customFormat="1" ht="16.5" customHeight="1" x14ac:dyDescent="0.25">
      <c r="A273" s="17" t="s">
        <v>601</v>
      </c>
      <c r="B273" s="8" t="s">
        <v>418</v>
      </c>
      <c r="C273" s="19" t="s">
        <v>338</v>
      </c>
      <c r="D273" s="24" t="s">
        <v>585</v>
      </c>
      <c r="E273" s="19" t="s">
        <v>491</v>
      </c>
      <c r="F273" s="17" t="s">
        <v>302</v>
      </c>
      <c r="G273" s="8">
        <v>5.2371429999999997E-3</v>
      </c>
      <c r="H273" s="8">
        <v>5.2371399999999999E-4</v>
      </c>
      <c r="I273" s="42" t="s">
        <v>85</v>
      </c>
      <c r="J273" s="42" t="s">
        <v>85</v>
      </c>
      <c r="K273" s="8">
        <f>VLOOKUP(B273,Tabelle1!$A$1:$C$351,2,FALSE)</f>
        <v>5.2028759736046501E-3</v>
      </c>
      <c r="L273" s="8">
        <f>VLOOKUP(B273,Tabelle1!$A$1:$C$351,3,FALSE)</f>
        <v>5.3439388084385595E-4</v>
      </c>
      <c r="M273" s="16" t="s">
        <v>542</v>
      </c>
      <c r="N273" s="16" t="s">
        <v>654</v>
      </c>
      <c r="O273" s="19" t="s">
        <v>545</v>
      </c>
      <c r="P273" s="19" t="s">
        <v>546</v>
      </c>
      <c r="Q273" s="19" t="s">
        <v>652</v>
      </c>
      <c r="R273" s="8" t="s">
        <v>550</v>
      </c>
      <c r="S273" s="19" t="s">
        <v>547</v>
      </c>
      <c r="T273" s="18" t="s">
        <v>653</v>
      </c>
      <c r="U273" s="16" t="s">
        <v>538</v>
      </c>
    </row>
    <row r="274" spans="1:21" s="16" customFormat="1" ht="16.5" customHeight="1" x14ac:dyDescent="0.25">
      <c r="A274" s="17" t="s">
        <v>601</v>
      </c>
      <c r="B274" s="8" t="s">
        <v>419</v>
      </c>
      <c r="C274" s="19" t="s">
        <v>338</v>
      </c>
      <c r="D274" s="24" t="s">
        <v>585</v>
      </c>
      <c r="E274" s="19" t="s">
        <v>491</v>
      </c>
      <c r="F274" s="17" t="s">
        <v>302</v>
      </c>
      <c r="G274" s="8">
        <v>0.37172776499999999</v>
      </c>
      <c r="H274" s="8">
        <v>3.7172776999999997E-2</v>
      </c>
      <c r="I274" s="42" t="s">
        <v>85</v>
      </c>
      <c r="J274" s="42" t="s">
        <v>85</v>
      </c>
      <c r="K274" s="8">
        <f>VLOOKUP(B274,Tabelle1!$A$1:$C$351,2,FALSE)</f>
        <v>0.37069309597958799</v>
      </c>
      <c r="L274" s="8">
        <f>VLOOKUP(B274,Tabelle1!$A$1:$C$351,3,FALSE)</f>
        <v>3.4662711692210003E-2</v>
      </c>
      <c r="M274" s="16" t="s">
        <v>542</v>
      </c>
      <c r="N274" s="16" t="s">
        <v>655</v>
      </c>
      <c r="O274" s="19" t="s">
        <v>545</v>
      </c>
      <c r="P274" s="19" t="s">
        <v>546</v>
      </c>
      <c r="Q274" s="19" t="s">
        <v>652</v>
      </c>
      <c r="R274" s="8" t="s">
        <v>550</v>
      </c>
      <c r="S274" s="19" t="s">
        <v>547</v>
      </c>
      <c r="T274" s="18" t="s">
        <v>653</v>
      </c>
      <c r="U274" s="16" t="s">
        <v>538</v>
      </c>
    </row>
    <row r="275" spans="1:21" s="16" customFormat="1" ht="16.5" customHeight="1" x14ac:dyDescent="0.25">
      <c r="A275" s="17" t="s">
        <v>601</v>
      </c>
      <c r="B275" s="8" t="s">
        <v>420</v>
      </c>
      <c r="C275" s="19" t="s">
        <v>338</v>
      </c>
      <c r="D275" s="24" t="s">
        <v>585</v>
      </c>
      <c r="E275" s="19" t="s">
        <v>491</v>
      </c>
      <c r="F275" s="17" t="s">
        <v>302</v>
      </c>
      <c r="G275" s="8">
        <v>0.152663769</v>
      </c>
      <c r="H275" s="8">
        <v>1.5266376999999999E-2</v>
      </c>
      <c r="I275" s="42" t="s">
        <v>85</v>
      </c>
      <c r="J275" s="42" t="s">
        <v>85</v>
      </c>
      <c r="K275" s="8">
        <f>VLOOKUP(B275,Tabelle1!$A$1:$C$351,2,FALSE)</f>
        <v>0.15181860644858799</v>
      </c>
      <c r="L275" s="8">
        <f>VLOOKUP(B275,Tabelle1!$A$1:$C$351,3,FALSE)</f>
        <v>1.5869700235022099E-2</v>
      </c>
      <c r="M275" s="16" t="s">
        <v>542</v>
      </c>
      <c r="N275" s="16" t="s">
        <v>655</v>
      </c>
      <c r="O275" s="19" t="s">
        <v>545</v>
      </c>
      <c r="P275" s="19" t="s">
        <v>546</v>
      </c>
      <c r="Q275" s="19" t="s">
        <v>652</v>
      </c>
      <c r="R275" s="8" t="s">
        <v>550</v>
      </c>
      <c r="S275" s="19" t="s">
        <v>547</v>
      </c>
      <c r="T275" s="18" t="s">
        <v>653</v>
      </c>
      <c r="U275" s="16" t="s">
        <v>538</v>
      </c>
    </row>
    <row r="276" spans="1:21" s="16" customFormat="1" ht="16.5" customHeight="1" x14ac:dyDescent="0.25">
      <c r="A276" s="17" t="s">
        <v>601</v>
      </c>
      <c r="B276" s="8" t="s">
        <v>421</v>
      </c>
      <c r="C276" s="19" t="s">
        <v>338</v>
      </c>
      <c r="D276" s="24" t="s">
        <v>585</v>
      </c>
      <c r="E276" s="19" t="s">
        <v>491</v>
      </c>
      <c r="F276" s="17" t="s">
        <v>302</v>
      </c>
      <c r="G276" s="8">
        <v>0.32144519999999999</v>
      </c>
      <c r="H276" s="8">
        <v>3.2144520000000003E-2</v>
      </c>
      <c r="I276" s="42" t="s">
        <v>85</v>
      </c>
      <c r="J276" s="42" t="s">
        <v>85</v>
      </c>
      <c r="K276" s="8">
        <f>VLOOKUP(B276,Tabelle1!$A$1:$C$351,2,FALSE)</f>
        <v>0.32802698330395302</v>
      </c>
      <c r="L276" s="8">
        <f>VLOOKUP(B276,Tabelle1!$A$1:$C$351,3,FALSE)</f>
        <v>3.11843203038203E-2</v>
      </c>
      <c r="M276" s="16" t="s">
        <v>542</v>
      </c>
      <c r="N276" s="16" t="s">
        <v>655</v>
      </c>
      <c r="O276" s="19" t="s">
        <v>545</v>
      </c>
      <c r="P276" s="19" t="s">
        <v>546</v>
      </c>
      <c r="Q276" s="19" t="s">
        <v>652</v>
      </c>
      <c r="R276" s="8" t="s">
        <v>550</v>
      </c>
      <c r="S276" s="19" t="s">
        <v>547</v>
      </c>
      <c r="T276" s="18" t="s">
        <v>653</v>
      </c>
      <c r="U276" s="16" t="s">
        <v>538</v>
      </c>
    </row>
    <row r="277" spans="1:21" s="16" customFormat="1" ht="16.5" customHeight="1" x14ac:dyDescent="0.25">
      <c r="A277" s="17" t="s">
        <v>601</v>
      </c>
      <c r="B277" s="8" t="s">
        <v>422</v>
      </c>
      <c r="C277" s="19" t="s">
        <v>338</v>
      </c>
      <c r="D277" s="24" t="s">
        <v>585</v>
      </c>
      <c r="E277" s="19" t="s">
        <v>491</v>
      </c>
      <c r="F277" s="17" t="s">
        <v>302</v>
      </c>
      <c r="G277" s="8">
        <v>0.29154482999999998</v>
      </c>
      <c r="H277" s="8">
        <v>2.9154482999999998E-2</v>
      </c>
      <c r="I277" s="42" t="s">
        <v>85</v>
      </c>
      <c r="J277" s="42" t="s">
        <v>85</v>
      </c>
      <c r="K277" s="8">
        <f>VLOOKUP(B277,Tabelle1!$A$1:$C$351,2,FALSE)</f>
        <v>0.29536099789194697</v>
      </c>
      <c r="L277" s="8">
        <f>VLOOKUP(B277,Tabelle1!$A$1:$C$351,3,FALSE)</f>
        <v>2.9583088962546598E-2</v>
      </c>
      <c r="M277" s="16" t="s">
        <v>542</v>
      </c>
      <c r="N277" s="16" t="s">
        <v>655</v>
      </c>
      <c r="O277" s="19" t="s">
        <v>545</v>
      </c>
      <c r="P277" s="19" t="s">
        <v>546</v>
      </c>
      <c r="Q277" s="19" t="s">
        <v>652</v>
      </c>
      <c r="R277" s="8" t="s">
        <v>550</v>
      </c>
      <c r="S277" s="19" t="s">
        <v>547</v>
      </c>
      <c r="T277" s="18" t="s">
        <v>653</v>
      </c>
      <c r="U277" s="16" t="s">
        <v>538</v>
      </c>
    </row>
    <row r="278" spans="1:21" s="16" customFormat="1" ht="16.5" customHeight="1" x14ac:dyDescent="0.25">
      <c r="A278" s="17" t="s">
        <v>601</v>
      </c>
      <c r="B278" s="8" t="s">
        <v>423</v>
      </c>
      <c r="C278" s="19" t="s">
        <v>338</v>
      </c>
      <c r="D278" s="24" t="s">
        <v>585</v>
      </c>
      <c r="E278" s="19" t="s">
        <v>491</v>
      </c>
      <c r="F278" s="17" t="s">
        <v>302</v>
      </c>
      <c r="G278" s="8">
        <v>2.9985999999999999E-2</v>
      </c>
      <c r="H278" s="8">
        <v>2.9986000000000001E-3</v>
      </c>
      <c r="I278" s="42" t="s">
        <v>85</v>
      </c>
      <c r="J278" s="42" t="s">
        <v>85</v>
      </c>
      <c r="K278" s="8">
        <f>VLOOKUP(B278,Tabelle1!$A$1:$C$351,2,FALSE)</f>
        <v>2.9947840364312899E-2</v>
      </c>
      <c r="L278" s="8">
        <f>VLOOKUP(B278,Tabelle1!$A$1:$C$351,3,FALSE)</f>
        <v>2.9225006882736999E-3</v>
      </c>
      <c r="M278" s="16" t="s">
        <v>542</v>
      </c>
      <c r="N278" s="16" t="s">
        <v>656</v>
      </c>
      <c r="O278" s="19" t="s">
        <v>545</v>
      </c>
      <c r="P278" s="19" t="s">
        <v>546</v>
      </c>
      <c r="Q278" s="19" t="s">
        <v>652</v>
      </c>
      <c r="R278" s="8" t="s">
        <v>550</v>
      </c>
      <c r="S278" s="19" t="s">
        <v>547</v>
      </c>
      <c r="T278" s="18" t="s">
        <v>653</v>
      </c>
      <c r="U278" s="16" t="s">
        <v>538</v>
      </c>
    </row>
    <row r="279" spans="1:21" s="16" customFormat="1" ht="16.5" customHeight="1" x14ac:dyDescent="0.25">
      <c r="A279" s="17" t="s">
        <v>601</v>
      </c>
      <c r="B279" s="8" t="s">
        <v>424</v>
      </c>
      <c r="C279" s="19" t="s">
        <v>338</v>
      </c>
      <c r="D279" s="24" t="s">
        <v>585</v>
      </c>
      <c r="E279" s="19" t="s">
        <v>491</v>
      </c>
      <c r="F279" s="17" t="s">
        <v>302</v>
      </c>
      <c r="G279" s="8">
        <v>0.15538199999999999</v>
      </c>
      <c r="H279" s="8">
        <v>1.55382E-2</v>
      </c>
      <c r="I279" s="42" t="s">
        <v>85</v>
      </c>
      <c r="J279" s="42" t="s">
        <v>85</v>
      </c>
      <c r="K279" s="8">
        <f>VLOOKUP(B279,Tabelle1!$A$1:$C$351,2,FALSE)</f>
        <v>0.15620058163952999</v>
      </c>
      <c r="L279" s="8">
        <f>VLOOKUP(B279,Tabelle1!$A$1:$C$351,3,FALSE)</f>
        <v>1.5316444854569299E-2</v>
      </c>
      <c r="M279" s="16" t="s">
        <v>542</v>
      </c>
      <c r="N279" s="16" t="s">
        <v>656</v>
      </c>
      <c r="O279" s="19" t="s">
        <v>545</v>
      </c>
      <c r="P279" s="19" t="s">
        <v>546</v>
      </c>
      <c r="Q279" s="19" t="s">
        <v>652</v>
      </c>
      <c r="R279" s="8" t="s">
        <v>550</v>
      </c>
      <c r="S279" s="19" t="s">
        <v>547</v>
      </c>
      <c r="T279" s="18" t="s">
        <v>653</v>
      </c>
      <c r="U279" s="16" t="s">
        <v>538</v>
      </c>
    </row>
    <row r="280" spans="1:21" s="16" customFormat="1" ht="16.5" customHeight="1" x14ac:dyDescent="0.25">
      <c r="A280" s="17" t="s">
        <v>601</v>
      </c>
      <c r="B280" s="8" t="s">
        <v>425</v>
      </c>
      <c r="C280" s="19" t="s">
        <v>338</v>
      </c>
      <c r="D280" s="24" t="s">
        <v>585</v>
      </c>
      <c r="E280" s="19" t="s">
        <v>491</v>
      </c>
      <c r="F280" s="17" t="s">
        <v>302</v>
      </c>
      <c r="G280" s="8">
        <v>6.5424000000000003E-3</v>
      </c>
      <c r="H280" s="8">
        <v>6.5424000000000005E-4</v>
      </c>
      <c r="I280" s="42" t="s">
        <v>85</v>
      </c>
      <c r="J280" s="42" t="s">
        <v>85</v>
      </c>
      <c r="K280" s="8">
        <f>VLOOKUP(B280,Tabelle1!$A$1:$C$351,2,FALSE)</f>
        <v>6.4762714272131898E-3</v>
      </c>
      <c r="L280" s="8">
        <f>VLOOKUP(B280,Tabelle1!$A$1:$C$351,3,FALSE)</f>
        <v>5.84422774784242E-4</v>
      </c>
      <c r="M280" s="16" t="s">
        <v>542</v>
      </c>
      <c r="N280" s="16" t="s">
        <v>656</v>
      </c>
      <c r="O280" s="19" t="s">
        <v>545</v>
      </c>
      <c r="P280" s="19" t="s">
        <v>546</v>
      </c>
      <c r="Q280" s="19" t="s">
        <v>652</v>
      </c>
      <c r="R280" s="8" t="s">
        <v>550</v>
      </c>
      <c r="S280" s="19" t="s">
        <v>547</v>
      </c>
      <c r="T280" s="18" t="s">
        <v>653</v>
      </c>
      <c r="U280" s="16" t="s">
        <v>538</v>
      </c>
    </row>
    <row r="281" spans="1:21" s="16" customFormat="1" ht="16.5" customHeight="1" x14ac:dyDescent="0.25">
      <c r="A281" s="17" t="s">
        <v>601</v>
      </c>
      <c r="B281" s="8" t="s">
        <v>426</v>
      </c>
      <c r="C281" s="19" t="s">
        <v>338</v>
      </c>
      <c r="D281" s="24" t="s">
        <v>585</v>
      </c>
      <c r="E281" s="19" t="s">
        <v>491</v>
      </c>
      <c r="F281" s="17" t="s">
        <v>302</v>
      </c>
      <c r="G281" s="8">
        <v>8.2558856999999999E-2</v>
      </c>
      <c r="H281" s="8">
        <v>8.2558860000000005E-3</v>
      </c>
      <c r="I281" s="42" t="s">
        <v>85</v>
      </c>
      <c r="J281" s="42" t="s">
        <v>85</v>
      </c>
      <c r="K281" s="8">
        <f>VLOOKUP(B281,Tabelle1!$A$1:$C$351,2,FALSE)</f>
        <v>8.2869113031540403E-2</v>
      </c>
      <c r="L281" s="8">
        <f>VLOOKUP(B281,Tabelle1!$A$1:$C$351,3,FALSE)</f>
        <v>8.4577004267426207E-3</v>
      </c>
      <c r="M281" s="16" t="s">
        <v>542</v>
      </c>
      <c r="N281" s="16" t="s">
        <v>656</v>
      </c>
      <c r="O281" s="19" t="s">
        <v>545</v>
      </c>
      <c r="P281" s="19" t="s">
        <v>546</v>
      </c>
      <c r="Q281" s="19" t="s">
        <v>652</v>
      </c>
      <c r="R281" s="8" t="s">
        <v>550</v>
      </c>
      <c r="S281" s="19" t="s">
        <v>547</v>
      </c>
      <c r="T281" s="18" t="s">
        <v>653</v>
      </c>
      <c r="U281" s="16" t="s">
        <v>538</v>
      </c>
    </row>
    <row r="282" spans="1:21" s="16" customFormat="1" ht="16.5" customHeight="1" x14ac:dyDescent="0.25">
      <c r="A282" s="17" t="s">
        <v>601</v>
      </c>
      <c r="B282" s="8" t="s">
        <v>435</v>
      </c>
      <c r="C282" s="19" t="s">
        <v>338</v>
      </c>
      <c r="D282" s="24" t="s">
        <v>585</v>
      </c>
      <c r="E282" s="19" t="s">
        <v>491</v>
      </c>
      <c r="F282" s="17" t="s">
        <v>302</v>
      </c>
      <c r="G282" s="8">
        <v>3.1674225E-2</v>
      </c>
      <c r="H282" s="8">
        <v>3.1674229999999999E-3</v>
      </c>
      <c r="I282" s="42" t="s">
        <v>85</v>
      </c>
      <c r="J282" s="42" t="s">
        <v>85</v>
      </c>
      <c r="K282" s="8">
        <f>VLOOKUP(B282,Tabelle1!$A$1:$C$351,2,FALSE)</f>
        <v>3.1856904400906702E-2</v>
      </c>
      <c r="L282" s="8">
        <f>VLOOKUP(B282,Tabelle1!$A$1:$C$351,3,FALSE)</f>
        <v>3.1216776407941701E-3</v>
      </c>
      <c r="M282" s="16" t="s">
        <v>542</v>
      </c>
      <c r="N282" s="16" t="s">
        <v>657</v>
      </c>
      <c r="O282" s="19" t="s">
        <v>545</v>
      </c>
      <c r="P282" s="19" t="s">
        <v>546</v>
      </c>
      <c r="Q282" s="19" t="s">
        <v>652</v>
      </c>
      <c r="R282" s="8" t="s">
        <v>550</v>
      </c>
      <c r="S282" s="19" t="s">
        <v>547</v>
      </c>
      <c r="T282" s="18" t="s">
        <v>653</v>
      </c>
      <c r="U282" s="16" t="s">
        <v>538</v>
      </c>
    </row>
    <row r="283" spans="1:21" s="16" customFormat="1" ht="16.5" customHeight="1" x14ac:dyDescent="0.25">
      <c r="A283" s="17" t="s">
        <v>601</v>
      </c>
      <c r="B283" s="8" t="s">
        <v>436</v>
      </c>
      <c r="C283" s="19" t="s">
        <v>338</v>
      </c>
      <c r="D283" s="24" t="s">
        <v>585</v>
      </c>
      <c r="E283" s="19" t="s">
        <v>491</v>
      </c>
      <c r="F283" s="17" t="s">
        <v>302</v>
      </c>
      <c r="G283" s="8">
        <v>7.2043335999999999E-2</v>
      </c>
      <c r="H283" s="8">
        <v>7.2043339999999997E-3</v>
      </c>
      <c r="I283" s="42" t="s">
        <v>85</v>
      </c>
      <c r="J283" s="42" t="s">
        <v>85</v>
      </c>
      <c r="K283" s="8">
        <f>VLOOKUP(B283,Tabelle1!$A$1:$C$351,2,FALSE)</f>
        <v>7.2323775064844303E-2</v>
      </c>
      <c r="L283" s="8">
        <f>VLOOKUP(B283,Tabelle1!$A$1:$C$351,3,FALSE)</f>
        <v>7.1104385653969603E-3</v>
      </c>
      <c r="M283" s="16" t="s">
        <v>542</v>
      </c>
      <c r="N283" s="16" t="s">
        <v>657</v>
      </c>
      <c r="O283" s="19" t="s">
        <v>545</v>
      </c>
      <c r="P283" s="19" t="s">
        <v>546</v>
      </c>
      <c r="Q283" s="19" t="s">
        <v>652</v>
      </c>
      <c r="R283" s="8" t="s">
        <v>550</v>
      </c>
      <c r="S283" s="19" t="s">
        <v>547</v>
      </c>
      <c r="T283" s="18" t="s">
        <v>653</v>
      </c>
      <c r="U283" s="16" t="s">
        <v>538</v>
      </c>
    </row>
    <row r="284" spans="1:21" s="16" customFormat="1" ht="16.5" customHeight="1" x14ac:dyDescent="0.25">
      <c r="A284" s="17" t="s">
        <v>601</v>
      </c>
      <c r="B284" s="8" t="s">
        <v>437</v>
      </c>
      <c r="C284" s="19" t="s">
        <v>338</v>
      </c>
      <c r="D284" s="24" t="s">
        <v>585</v>
      </c>
      <c r="E284" s="19" t="s">
        <v>491</v>
      </c>
      <c r="F284" s="17" t="s">
        <v>302</v>
      </c>
      <c r="G284" s="8">
        <v>9.2414209999999997E-2</v>
      </c>
      <c r="H284" s="8">
        <v>9.2414209999999997E-3</v>
      </c>
      <c r="I284" s="42" t="s">
        <v>85</v>
      </c>
      <c r="J284" s="42" t="s">
        <v>85</v>
      </c>
      <c r="K284" s="8">
        <f>VLOOKUP(B284,Tabelle1!$A$1:$C$351,2,FALSE)</f>
        <v>9.2307643323207594E-2</v>
      </c>
      <c r="L284" s="8">
        <f>VLOOKUP(B284,Tabelle1!$A$1:$C$351,3,FALSE)</f>
        <v>9.02451660557212E-3</v>
      </c>
      <c r="M284" s="16" t="s">
        <v>542</v>
      </c>
      <c r="N284" s="16" t="s">
        <v>657</v>
      </c>
      <c r="O284" s="19" t="s">
        <v>545</v>
      </c>
      <c r="P284" s="19" t="s">
        <v>546</v>
      </c>
      <c r="Q284" s="19" t="s">
        <v>652</v>
      </c>
      <c r="R284" s="8" t="s">
        <v>550</v>
      </c>
      <c r="S284" s="19" t="s">
        <v>547</v>
      </c>
      <c r="T284" s="18" t="s">
        <v>653</v>
      </c>
      <c r="U284" s="16" t="s">
        <v>538</v>
      </c>
    </row>
    <row r="285" spans="1:21" s="16" customFormat="1" ht="16.5" customHeight="1" x14ac:dyDescent="0.25">
      <c r="A285" s="17" t="s">
        <v>601</v>
      </c>
      <c r="B285" s="8" t="s">
        <v>438</v>
      </c>
      <c r="C285" s="19" t="s">
        <v>338</v>
      </c>
      <c r="D285" s="24" t="s">
        <v>585</v>
      </c>
      <c r="E285" s="19" t="s">
        <v>491</v>
      </c>
      <c r="F285" s="17" t="s">
        <v>302</v>
      </c>
      <c r="G285" s="8">
        <v>9.4046719999999993E-3</v>
      </c>
      <c r="H285" s="8">
        <v>9.4046699999999995E-4</v>
      </c>
      <c r="I285" s="42" t="s">
        <v>85</v>
      </c>
      <c r="J285" s="42" t="s">
        <v>85</v>
      </c>
      <c r="K285" s="8">
        <f>VLOOKUP(B285,Tabelle1!$A$1:$C$351,2,FALSE)</f>
        <v>9.44996401448704E-3</v>
      </c>
      <c r="L285" s="8">
        <f>VLOOKUP(B285,Tabelle1!$A$1:$C$351,3,FALSE)</f>
        <v>8.9272398083110199E-4</v>
      </c>
      <c r="M285" s="16" t="s">
        <v>542</v>
      </c>
      <c r="N285" s="16" t="s">
        <v>657</v>
      </c>
      <c r="O285" s="19" t="s">
        <v>545</v>
      </c>
      <c r="P285" s="19" t="s">
        <v>546</v>
      </c>
      <c r="Q285" s="19" t="s">
        <v>652</v>
      </c>
      <c r="R285" s="8" t="s">
        <v>550</v>
      </c>
      <c r="S285" s="19" t="s">
        <v>547</v>
      </c>
      <c r="T285" s="18" t="s">
        <v>653</v>
      </c>
      <c r="U285" s="16" t="s">
        <v>538</v>
      </c>
    </row>
    <row r="286" spans="1:21" s="16" customFormat="1" ht="16.5" customHeight="1" x14ac:dyDescent="0.25">
      <c r="A286" s="17" t="s">
        <v>601</v>
      </c>
      <c r="B286" s="8" t="s">
        <v>451</v>
      </c>
      <c r="C286" s="19" t="s">
        <v>338</v>
      </c>
      <c r="D286" s="24" t="s">
        <v>585</v>
      </c>
      <c r="E286" s="19" t="s">
        <v>491</v>
      </c>
      <c r="F286" s="17" t="s">
        <v>302</v>
      </c>
      <c r="G286" s="8">
        <v>0</v>
      </c>
      <c r="H286" s="8">
        <v>0</v>
      </c>
      <c r="I286" s="42" t="s">
        <v>85</v>
      </c>
      <c r="J286" s="42" t="s">
        <v>85</v>
      </c>
      <c r="K286" s="8" t="str">
        <f>VLOOKUP(B286,Tabelle1!$A$1:$C$351,2,FALSE)</f>
        <v>NA</v>
      </c>
      <c r="L286" s="8" t="str">
        <f>VLOOKUP(B286,Tabelle1!$A$1:$C$351,3,FALSE)</f>
        <v>NA</v>
      </c>
      <c r="M286" s="16" t="s">
        <v>542</v>
      </c>
      <c r="N286" s="16" t="s">
        <v>658</v>
      </c>
      <c r="O286" s="19" t="s">
        <v>545</v>
      </c>
      <c r="P286" s="19" t="s">
        <v>546</v>
      </c>
      <c r="Q286" s="19" t="s">
        <v>652</v>
      </c>
      <c r="R286" s="8" t="s">
        <v>550</v>
      </c>
      <c r="S286" s="19" t="s">
        <v>547</v>
      </c>
      <c r="T286" s="18" t="s">
        <v>653</v>
      </c>
      <c r="U286" s="16" t="s">
        <v>538</v>
      </c>
    </row>
    <row r="287" spans="1:21" s="16" customFormat="1" ht="16.5" customHeight="1" x14ac:dyDescent="0.25">
      <c r="A287" s="17" t="s">
        <v>601</v>
      </c>
      <c r="B287" s="8" t="s">
        <v>452</v>
      </c>
      <c r="C287" s="19" t="s">
        <v>338</v>
      </c>
      <c r="D287" s="24" t="s">
        <v>585</v>
      </c>
      <c r="E287" s="19" t="s">
        <v>491</v>
      </c>
      <c r="F287" s="17" t="s">
        <v>302</v>
      </c>
      <c r="G287" s="8">
        <v>2.0442499999999999E-2</v>
      </c>
      <c r="H287" s="8">
        <v>2.0442500000000001E-3</v>
      </c>
      <c r="I287" s="42" t="s">
        <v>85</v>
      </c>
      <c r="J287" s="42" t="s">
        <v>85</v>
      </c>
      <c r="K287" s="8">
        <f>VLOOKUP(B287,Tabelle1!$A$1:$C$351,2,FALSE)</f>
        <v>2.0324364609882101E-2</v>
      </c>
      <c r="L287" s="8">
        <f>VLOOKUP(B287,Tabelle1!$A$1:$C$351,3,FALSE)</f>
        <v>2.0858039281634998E-3</v>
      </c>
      <c r="M287" s="16" t="s">
        <v>542</v>
      </c>
      <c r="N287" s="16" t="s">
        <v>658</v>
      </c>
      <c r="O287" s="19" t="s">
        <v>545</v>
      </c>
      <c r="P287" s="19" t="s">
        <v>546</v>
      </c>
      <c r="Q287" s="19" t="s">
        <v>652</v>
      </c>
      <c r="R287" s="8" t="s">
        <v>550</v>
      </c>
      <c r="S287" s="19" t="s">
        <v>547</v>
      </c>
      <c r="T287" s="18" t="s">
        <v>653</v>
      </c>
      <c r="U287" s="16" t="s">
        <v>538</v>
      </c>
    </row>
    <row r="288" spans="1:21" s="16" customFormat="1" ht="16.5" customHeight="1" x14ac:dyDescent="0.25">
      <c r="A288" s="17" t="s">
        <v>601</v>
      </c>
      <c r="B288" s="8" t="s">
        <v>453</v>
      </c>
      <c r="C288" s="19" t="s">
        <v>338</v>
      </c>
      <c r="D288" s="24" t="s">
        <v>585</v>
      </c>
      <c r="E288" s="19" t="s">
        <v>491</v>
      </c>
      <c r="F288" s="17" t="s">
        <v>302</v>
      </c>
      <c r="G288" s="8">
        <v>2.4531000000000001E-2</v>
      </c>
      <c r="H288" s="8">
        <v>2.4531000000000002E-3</v>
      </c>
      <c r="I288" s="42" t="s">
        <v>85</v>
      </c>
      <c r="J288" s="42" t="s">
        <v>85</v>
      </c>
      <c r="K288" s="8">
        <f>VLOOKUP(B288,Tabelle1!$A$1:$C$351,2,FALSE)</f>
        <v>2.4231003344493299E-2</v>
      </c>
      <c r="L288" s="8">
        <f>VLOOKUP(B288,Tabelle1!$A$1:$C$351,3,FALSE)</f>
        <v>2.31444039822411E-3</v>
      </c>
      <c r="M288" s="16" t="s">
        <v>542</v>
      </c>
      <c r="N288" s="16" t="s">
        <v>658</v>
      </c>
      <c r="O288" s="19" t="s">
        <v>545</v>
      </c>
      <c r="P288" s="19" t="s">
        <v>546</v>
      </c>
      <c r="Q288" s="19" t="s">
        <v>652</v>
      </c>
      <c r="R288" s="8" t="s">
        <v>550</v>
      </c>
      <c r="S288" s="19" t="s">
        <v>547</v>
      </c>
      <c r="T288" s="18" t="s">
        <v>653</v>
      </c>
      <c r="U288" s="16" t="s">
        <v>538</v>
      </c>
    </row>
    <row r="289" spans="1:21" s="16" customFormat="1" ht="16.5" customHeight="1" x14ac:dyDescent="0.25">
      <c r="A289" s="17" t="s">
        <v>601</v>
      </c>
      <c r="B289" s="8" t="s">
        <v>454</v>
      </c>
      <c r="C289" s="19" t="s">
        <v>338</v>
      </c>
      <c r="D289" s="24" t="s">
        <v>585</v>
      </c>
      <c r="E289" s="19" t="s">
        <v>491</v>
      </c>
      <c r="F289" s="17" t="s">
        <v>302</v>
      </c>
      <c r="G289" s="8">
        <v>0</v>
      </c>
      <c r="H289" s="8">
        <v>0</v>
      </c>
      <c r="I289" s="42" t="s">
        <v>85</v>
      </c>
      <c r="J289" s="42" t="s">
        <v>85</v>
      </c>
      <c r="K289" s="8" t="str">
        <f>VLOOKUP(B289,Tabelle1!$A$1:$C$351,2,FALSE)</f>
        <v>NA</v>
      </c>
      <c r="L289" s="8" t="str">
        <f>VLOOKUP(B289,Tabelle1!$A$1:$C$351,3,FALSE)</f>
        <v>NA</v>
      </c>
      <c r="M289" s="16" t="s">
        <v>542</v>
      </c>
      <c r="N289" s="16" t="s">
        <v>658</v>
      </c>
      <c r="O289" s="19" t="s">
        <v>545</v>
      </c>
      <c r="P289" s="19" t="s">
        <v>546</v>
      </c>
      <c r="Q289" s="19" t="s">
        <v>652</v>
      </c>
      <c r="R289" s="8" t="s">
        <v>550</v>
      </c>
      <c r="S289" s="19" t="s">
        <v>547</v>
      </c>
      <c r="T289" s="18" t="s">
        <v>653</v>
      </c>
      <c r="U289" s="16" t="s">
        <v>538</v>
      </c>
    </row>
    <row r="290" spans="1:21" s="16" customFormat="1" ht="16.5" customHeight="1" x14ac:dyDescent="0.25">
      <c r="A290" s="17" t="s">
        <v>601</v>
      </c>
      <c r="B290" s="8" t="s">
        <v>455</v>
      </c>
      <c r="C290" s="19" t="s">
        <v>338</v>
      </c>
      <c r="D290" s="24" t="s">
        <v>585</v>
      </c>
      <c r="E290" s="19" t="s">
        <v>491</v>
      </c>
      <c r="F290" s="17" t="s">
        <v>302</v>
      </c>
      <c r="G290" s="8">
        <v>1.28271</v>
      </c>
      <c r="H290" s="8">
        <v>0.128271</v>
      </c>
      <c r="I290" s="42" t="s">
        <v>85</v>
      </c>
      <c r="J290" s="42" t="s">
        <v>85</v>
      </c>
      <c r="K290" s="8">
        <f>VLOOKUP(B290,Tabelle1!$A$1:$C$351,2,FALSE)</f>
        <v>1.26668957395848</v>
      </c>
      <c r="L290" s="8">
        <f>VLOOKUP(B290,Tabelle1!$A$1:$C$351,3,FALSE)</f>
        <v>0.13629279158426699</v>
      </c>
      <c r="M290" s="16" t="s">
        <v>542</v>
      </c>
      <c r="N290" s="16" t="s">
        <v>659</v>
      </c>
      <c r="O290" s="19" t="s">
        <v>545</v>
      </c>
      <c r="P290" s="19" t="s">
        <v>546</v>
      </c>
      <c r="Q290" s="19" t="s">
        <v>652</v>
      </c>
      <c r="R290" s="8" t="s">
        <v>550</v>
      </c>
      <c r="S290" s="19" t="s">
        <v>547</v>
      </c>
      <c r="T290" s="18" t="s">
        <v>653</v>
      </c>
      <c r="U290" s="16" t="s">
        <v>538</v>
      </c>
    </row>
    <row r="291" spans="1:21" s="16" customFormat="1" ht="16.5" customHeight="1" x14ac:dyDescent="0.25">
      <c r="A291" s="17" t="s">
        <v>601</v>
      </c>
      <c r="B291" s="8" t="s">
        <v>456</v>
      </c>
      <c r="C291" s="19" t="s">
        <v>338</v>
      </c>
      <c r="D291" s="24" t="s">
        <v>585</v>
      </c>
      <c r="E291" s="19" t="s">
        <v>491</v>
      </c>
      <c r="F291" s="17" t="s">
        <v>302</v>
      </c>
      <c r="G291" s="8">
        <v>2.7699099999999999</v>
      </c>
      <c r="H291" s="8">
        <v>0.27699099999999999</v>
      </c>
      <c r="I291" s="42" t="s">
        <v>85</v>
      </c>
      <c r="J291" s="42" t="s">
        <v>85</v>
      </c>
      <c r="K291" s="8">
        <f>VLOOKUP(B291,Tabelle1!$A$1:$C$351,2,FALSE)</f>
        <v>2.7631149343645802</v>
      </c>
      <c r="L291" s="8">
        <f>VLOOKUP(B291,Tabelle1!$A$1:$C$351,3,FALSE)</f>
        <v>0.25098454405910497</v>
      </c>
      <c r="M291" s="16" t="s">
        <v>542</v>
      </c>
      <c r="N291" s="16" t="s">
        <v>659</v>
      </c>
      <c r="O291" s="19" t="s">
        <v>545</v>
      </c>
      <c r="P291" s="19" t="s">
        <v>546</v>
      </c>
      <c r="Q291" s="19" t="s">
        <v>652</v>
      </c>
      <c r="R291" s="8" t="s">
        <v>550</v>
      </c>
      <c r="S291" s="19" t="s">
        <v>547</v>
      </c>
      <c r="T291" s="18" t="s">
        <v>653</v>
      </c>
      <c r="U291" s="16" t="s">
        <v>538</v>
      </c>
    </row>
    <row r="292" spans="1:21" s="16" customFormat="1" ht="16.5" customHeight="1" x14ac:dyDescent="0.25">
      <c r="A292" s="17" t="s">
        <v>601</v>
      </c>
      <c r="B292" s="8" t="s">
        <v>457</v>
      </c>
      <c r="C292" s="19" t="s">
        <v>338</v>
      </c>
      <c r="D292" s="24" t="s">
        <v>585</v>
      </c>
      <c r="E292" s="19" t="s">
        <v>491</v>
      </c>
      <c r="F292" s="17" t="s">
        <v>302</v>
      </c>
      <c r="G292" s="8">
        <v>1.3161719999999999</v>
      </c>
      <c r="H292" s="8">
        <v>0.13161719999999999</v>
      </c>
      <c r="I292" s="42" t="s">
        <v>85</v>
      </c>
      <c r="J292" s="42" t="s">
        <v>85</v>
      </c>
      <c r="K292" s="8">
        <f>VLOOKUP(B292,Tabelle1!$A$1:$C$351,2,FALSE)</f>
        <v>1.33837845520081</v>
      </c>
      <c r="L292" s="8">
        <f>VLOOKUP(B292,Tabelle1!$A$1:$C$351,3,FALSE)</f>
        <v>0.134327198329456</v>
      </c>
      <c r="M292" s="16" t="s">
        <v>542</v>
      </c>
      <c r="N292" s="16" t="s">
        <v>659</v>
      </c>
      <c r="O292" s="19" t="s">
        <v>545</v>
      </c>
      <c r="P292" s="19" t="s">
        <v>546</v>
      </c>
      <c r="Q292" s="19" t="s">
        <v>652</v>
      </c>
      <c r="R292" s="8" t="s">
        <v>550</v>
      </c>
      <c r="S292" s="19" t="s">
        <v>547</v>
      </c>
      <c r="T292" s="18" t="s">
        <v>653</v>
      </c>
      <c r="U292" s="16" t="s">
        <v>538</v>
      </c>
    </row>
    <row r="293" spans="1:21" s="16" customFormat="1" ht="16.5" customHeight="1" x14ac:dyDescent="0.25">
      <c r="A293" s="17" t="s">
        <v>601</v>
      </c>
      <c r="B293" s="8" t="s">
        <v>458</v>
      </c>
      <c r="C293" s="19" t="s">
        <v>338</v>
      </c>
      <c r="D293" s="24" t="s">
        <v>585</v>
      </c>
      <c r="E293" s="19" t="s">
        <v>491</v>
      </c>
      <c r="F293" s="17" t="s">
        <v>302</v>
      </c>
      <c r="G293" s="8">
        <v>1.5456257149999999</v>
      </c>
      <c r="H293" s="8">
        <v>0.15456257100000001</v>
      </c>
      <c r="I293" s="42" t="s">
        <v>85</v>
      </c>
      <c r="J293" s="42" t="s">
        <v>85</v>
      </c>
      <c r="K293" s="8">
        <f>VLOOKUP(B293,Tabelle1!$A$1:$C$351,2,FALSE)</f>
        <v>1.53785029021246</v>
      </c>
      <c r="L293" s="8">
        <f>VLOOKUP(B293,Tabelle1!$A$1:$C$351,3,FALSE)</f>
        <v>0.15044330855252599</v>
      </c>
      <c r="M293" s="16" t="s">
        <v>542</v>
      </c>
      <c r="N293" s="16" t="s">
        <v>659</v>
      </c>
      <c r="O293" s="19" t="s">
        <v>545</v>
      </c>
      <c r="P293" s="19" t="s">
        <v>546</v>
      </c>
      <c r="Q293" s="19" t="s">
        <v>652</v>
      </c>
      <c r="R293" s="8" t="s">
        <v>550</v>
      </c>
      <c r="S293" s="19" t="s">
        <v>547</v>
      </c>
      <c r="T293" s="18" t="s">
        <v>653</v>
      </c>
      <c r="U293" s="16" t="s">
        <v>538</v>
      </c>
    </row>
    <row r="294" spans="1:21" s="16" customFormat="1" ht="16.5" customHeight="1" x14ac:dyDescent="0.25">
      <c r="A294" s="17" t="s">
        <v>601</v>
      </c>
      <c r="B294" s="8" t="s">
        <v>459</v>
      </c>
      <c r="C294" s="19" t="s">
        <v>338</v>
      </c>
      <c r="D294" s="24" t="s">
        <v>585</v>
      </c>
      <c r="E294" s="19" t="s">
        <v>491</v>
      </c>
      <c r="F294" s="17" t="s">
        <v>302</v>
      </c>
      <c r="G294" s="8">
        <v>0.29149999999999998</v>
      </c>
      <c r="H294" s="8">
        <v>2.9149999999999999E-2</v>
      </c>
      <c r="I294" s="42" t="s">
        <v>85</v>
      </c>
      <c r="J294" s="42" t="s">
        <v>85</v>
      </c>
      <c r="K294" s="8">
        <f>VLOOKUP(B294,Tabelle1!$A$1:$C$351,2,FALSE)</f>
        <v>0.29094644858524599</v>
      </c>
      <c r="L294" s="8">
        <f>VLOOKUP(B294,Tabelle1!$A$1:$C$351,3,FALSE)</f>
        <v>2.8118249563834099E-2</v>
      </c>
      <c r="M294" s="16" t="s">
        <v>542</v>
      </c>
      <c r="N294" s="16" t="s">
        <v>660</v>
      </c>
      <c r="O294" s="19" t="s">
        <v>545</v>
      </c>
      <c r="P294" s="19" t="s">
        <v>546</v>
      </c>
      <c r="Q294" s="19" t="s">
        <v>652</v>
      </c>
      <c r="R294" s="8" t="s">
        <v>550</v>
      </c>
      <c r="S294" s="19" t="s">
        <v>547</v>
      </c>
      <c r="T294" s="18" t="s">
        <v>653</v>
      </c>
      <c r="U294" s="16" t="s">
        <v>538</v>
      </c>
    </row>
    <row r="295" spans="1:21" s="16" customFormat="1" ht="16.5" customHeight="1" x14ac:dyDescent="0.25">
      <c r="A295" s="17" t="s">
        <v>601</v>
      </c>
      <c r="B295" s="8" t="s">
        <v>460</v>
      </c>
      <c r="C295" s="19" t="s">
        <v>338</v>
      </c>
      <c r="D295" s="24" t="s">
        <v>585</v>
      </c>
      <c r="E295" s="19" t="s">
        <v>491</v>
      </c>
      <c r="F295" s="17" t="s">
        <v>302</v>
      </c>
      <c r="G295" s="8">
        <v>7.7733333000000002E-2</v>
      </c>
      <c r="H295" s="8">
        <v>7.7733330000000003E-3</v>
      </c>
      <c r="I295" s="42" t="s">
        <v>85</v>
      </c>
      <c r="J295" s="42" t="s">
        <v>85</v>
      </c>
      <c r="K295" s="8">
        <f>VLOOKUP(B295,Tabelle1!$A$1:$C$351,2,FALSE)</f>
        <v>7.7601908537548295E-2</v>
      </c>
      <c r="L295" s="8">
        <f>VLOOKUP(B295,Tabelle1!$A$1:$C$351,3,FALSE)</f>
        <v>7.5475032783572597E-3</v>
      </c>
      <c r="M295" s="16" t="s">
        <v>542</v>
      </c>
      <c r="N295" s="16" t="s">
        <v>660</v>
      </c>
      <c r="O295" s="19" t="s">
        <v>545</v>
      </c>
      <c r="P295" s="19" t="s">
        <v>546</v>
      </c>
      <c r="Q295" s="19" t="s">
        <v>652</v>
      </c>
      <c r="R295" s="8" t="s">
        <v>550</v>
      </c>
      <c r="S295" s="19" t="s">
        <v>547</v>
      </c>
      <c r="T295" s="18" t="s">
        <v>653</v>
      </c>
      <c r="U295" s="16" t="s">
        <v>538</v>
      </c>
    </row>
    <row r="296" spans="1:21" s="16" customFormat="1" ht="16.5" customHeight="1" x14ac:dyDescent="0.25">
      <c r="A296" s="17" t="s">
        <v>601</v>
      </c>
      <c r="B296" s="8" t="s">
        <v>461</v>
      </c>
      <c r="C296" s="19" t="s">
        <v>338</v>
      </c>
      <c r="D296" s="24" t="s">
        <v>585</v>
      </c>
      <c r="E296" s="19" t="s">
        <v>491</v>
      </c>
      <c r="F296" s="17" t="s">
        <v>302</v>
      </c>
      <c r="G296" s="8">
        <v>0.19822000000000001</v>
      </c>
      <c r="H296" s="8">
        <v>1.9821999999999999E-2</v>
      </c>
      <c r="I296" s="42" t="s">
        <v>85</v>
      </c>
      <c r="J296" s="42" t="s">
        <v>85</v>
      </c>
      <c r="K296" s="8">
        <f>VLOOKUP(B296,Tabelle1!$A$1:$C$351,2,FALSE)</f>
        <v>0.19907255469430199</v>
      </c>
      <c r="L296" s="8">
        <f>VLOOKUP(B296,Tabelle1!$A$1:$C$351,3,FALSE)</f>
        <v>2.0038818177077099E-2</v>
      </c>
      <c r="M296" s="16" t="s">
        <v>542</v>
      </c>
      <c r="N296" s="16" t="s">
        <v>660</v>
      </c>
      <c r="O296" s="19" t="s">
        <v>545</v>
      </c>
      <c r="P296" s="19" t="s">
        <v>546</v>
      </c>
      <c r="Q296" s="19" t="s">
        <v>652</v>
      </c>
      <c r="R296" s="8" t="s">
        <v>550</v>
      </c>
      <c r="S296" s="19" t="s">
        <v>547</v>
      </c>
      <c r="T296" s="18" t="s">
        <v>653</v>
      </c>
      <c r="U296" s="16" t="s">
        <v>538</v>
      </c>
    </row>
    <row r="297" spans="1:21" s="16" customFormat="1" ht="16.5" customHeight="1" x14ac:dyDescent="0.25">
      <c r="A297" s="17" t="s">
        <v>601</v>
      </c>
      <c r="B297" s="8" t="s">
        <v>462</v>
      </c>
      <c r="C297" s="19" t="s">
        <v>338</v>
      </c>
      <c r="D297" s="24" t="s">
        <v>585</v>
      </c>
      <c r="E297" s="19" t="s">
        <v>491</v>
      </c>
      <c r="F297" s="17" t="s">
        <v>302</v>
      </c>
      <c r="G297" s="8">
        <v>5.8299999999999998E-2</v>
      </c>
      <c r="H297" s="8">
        <v>5.8300000000000001E-3</v>
      </c>
      <c r="I297" s="42" t="s">
        <v>85</v>
      </c>
      <c r="J297" s="42" t="s">
        <v>85</v>
      </c>
      <c r="K297" s="8">
        <f>VLOOKUP(B297,Tabelle1!$A$1:$C$351,2,FALSE)</f>
        <v>5.7926138369771001E-2</v>
      </c>
      <c r="L297" s="8">
        <f>VLOOKUP(B297,Tabelle1!$A$1:$C$351,3,FALSE)</f>
        <v>5.5964875278147102E-3</v>
      </c>
      <c r="M297" s="16" t="s">
        <v>542</v>
      </c>
      <c r="N297" s="16" t="s">
        <v>660</v>
      </c>
      <c r="O297" s="19" t="s">
        <v>545</v>
      </c>
      <c r="P297" s="19" t="s">
        <v>546</v>
      </c>
      <c r="Q297" s="19" t="s">
        <v>652</v>
      </c>
      <c r="R297" s="8" t="s">
        <v>550</v>
      </c>
      <c r="S297" s="19" t="s">
        <v>547</v>
      </c>
      <c r="T297" s="18" t="s">
        <v>653</v>
      </c>
      <c r="U297" s="16" t="s">
        <v>538</v>
      </c>
    </row>
    <row r="298" spans="1:21" s="16" customFormat="1" ht="16.5" customHeight="1" x14ac:dyDescent="0.25">
      <c r="A298" s="17" t="s">
        <v>601</v>
      </c>
      <c r="B298" s="8" t="s">
        <v>463</v>
      </c>
      <c r="C298" s="19" t="s">
        <v>338</v>
      </c>
      <c r="D298" s="24" t="s">
        <v>585</v>
      </c>
      <c r="E298" s="19" t="s">
        <v>491</v>
      </c>
      <c r="F298" s="17" t="s">
        <v>302</v>
      </c>
      <c r="G298" s="8">
        <v>0.14873393800000001</v>
      </c>
      <c r="H298" s="8">
        <v>1.4873394E-2</v>
      </c>
      <c r="I298" s="42" t="s">
        <v>85</v>
      </c>
      <c r="J298" s="42" t="s">
        <v>85</v>
      </c>
      <c r="K298" s="8">
        <f>VLOOKUP(B298,Tabelle1!$A$1:$C$351,2,FALSE)</f>
        <v>0.14855090522779299</v>
      </c>
      <c r="L298" s="8">
        <f>VLOOKUP(B298,Tabelle1!$A$1:$C$351,3,FALSE)</f>
        <v>1.58794963636275E-2</v>
      </c>
      <c r="M298" s="16" t="s">
        <v>542</v>
      </c>
      <c r="N298" s="16" t="s">
        <v>661</v>
      </c>
      <c r="O298" s="19" t="s">
        <v>545</v>
      </c>
      <c r="P298" s="19" t="s">
        <v>546</v>
      </c>
      <c r="Q298" s="19" t="s">
        <v>652</v>
      </c>
      <c r="R298" s="8" t="s">
        <v>550</v>
      </c>
      <c r="S298" s="19" t="s">
        <v>547</v>
      </c>
      <c r="T298" s="18" t="s">
        <v>653</v>
      </c>
      <c r="U298" s="16" t="s">
        <v>538</v>
      </c>
    </row>
    <row r="299" spans="1:21" s="16" customFormat="1" ht="16.5" customHeight="1" x14ac:dyDescent="0.25">
      <c r="A299" s="17" t="s">
        <v>601</v>
      </c>
      <c r="B299" s="8" t="s">
        <v>464</v>
      </c>
      <c r="C299" s="19" t="s">
        <v>338</v>
      </c>
      <c r="D299" s="24" t="s">
        <v>585</v>
      </c>
      <c r="E299" s="19" t="s">
        <v>491</v>
      </c>
      <c r="F299" s="17" t="s">
        <v>302</v>
      </c>
      <c r="G299" s="8">
        <v>8.9240363000000003E-2</v>
      </c>
      <c r="H299" s="8">
        <v>8.9240359999999998E-3</v>
      </c>
      <c r="I299" s="42" t="s">
        <v>85</v>
      </c>
      <c r="J299" s="42" t="s">
        <v>85</v>
      </c>
      <c r="K299" s="8">
        <f>VLOOKUP(B299,Tabelle1!$A$1:$C$351,2,FALSE)</f>
        <v>8.92011976541211E-2</v>
      </c>
      <c r="L299" s="8">
        <f>VLOOKUP(B299,Tabelle1!$A$1:$C$351,3,FALSE)</f>
        <v>9.5342562387653994E-3</v>
      </c>
      <c r="M299" s="16" t="s">
        <v>542</v>
      </c>
      <c r="N299" s="16" t="s">
        <v>661</v>
      </c>
      <c r="O299" s="19" t="s">
        <v>545</v>
      </c>
      <c r="P299" s="19" t="s">
        <v>546</v>
      </c>
      <c r="Q299" s="19" t="s">
        <v>652</v>
      </c>
      <c r="R299" s="8" t="s">
        <v>550</v>
      </c>
      <c r="S299" s="19" t="s">
        <v>547</v>
      </c>
      <c r="T299" s="18" t="s">
        <v>653</v>
      </c>
      <c r="U299" s="16" t="s">
        <v>538</v>
      </c>
    </row>
    <row r="300" spans="1:21" s="16" customFormat="1" ht="16.5" customHeight="1" x14ac:dyDescent="0.25">
      <c r="A300" s="17" t="s">
        <v>601</v>
      </c>
      <c r="B300" s="8" t="s">
        <v>465</v>
      </c>
      <c r="C300" s="19" t="s">
        <v>338</v>
      </c>
      <c r="D300" s="24" t="s">
        <v>585</v>
      </c>
      <c r="E300" s="19" t="s">
        <v>491</v>
      </c>
      <c r="F300" s="17" t="s">
        <v>302</v>
      </c>
      <c r="G300" s="8">
        <v>0.11898715</v>
      </c>
      <c r="H300" s="8">
        <v>1.1898715000000001E-2</v>
      </c>
      <c r="I300" s="42" t="s">
        <v>85</v>
      </c>
      <c r="J300" s="42" t="s">
        <v>85</v>
      </c>
      <c r="K300" s="8">
        <f>VLOOKUP(B300,Tabelle1!$A$1:$C$351,2,FALSE)</f>
        <v>0.118770362958753</v>
      </c>
      <c r="L300" s="8">
        <f>VLOOKUP(B300,Tabelle1!$A$1:$C$351,3,FALSE)</f>
        <v>1.1993369868719499E-2</v>
      </c>
      <c r="M300" s="16" t="s">
        <v>542</v>
      </c>
      <c r="N300" s="16" t="s">
        <v>661</v>
      </c>
      <c r="O300" s="19" t="s">
        <v>545</v>
      </c>
      <c r="P300" s="19" t="s">
        <v>546</v>
      </c>
      <c r="Q300" s="19" t="s">
        <v>652</v>
      </c>
      <c r="R300" s="8" t="s">
        <v>550</v>
      </c>
      <c r="S300" s="19" t="s">
        <v>547</v>
      </c>
      <c r="T300" s="18" t="s">
        <v>653</v>
      </c>
      <c r="U300" s="16" t="s">
        <v>538</v>
      </c>
    </row>
    <row r="301" spans="1:21" s="16" customFormat="1" ht="16.5" customHeight="1" x14ac:dyDescent="0.25">
      <c r="A301" s="17" t="s">
        <v>601</v>
      </c>
      <c r="B301" s="8" t="s">
        <v>466</v>
      </c>
      <c r="C301" s="19" t="s">
        <v>338</v>
      </c>
      <c r="D301" s="24" t="s">
        <v>585</v>
      </c>
      <c r="E301" s="19" t="s">
        <v>491</v>
      </c>
      <c r="F301" s="17" t="s">
        <v>302</v>
      </c>
      <c r="G301" s="8">
        <v>0.19547888999999999</v>
      </c>
      <c r="H301" s="8">
        <v>1.9547888999999999E-2</v>
      </c>
      <c r="I301" s="42" t="s">
        <v>85</v>
      </c>
      <c r="J301" s="42" t="s">
        <v>85</v>
      </c>
      <c r="K301" s="8">
        <f>VLOOKUP(B301,Tabelle1!$A$1:$C$351,2,FALSE)</f>
        <v>0.19491685473860201</v>
      </c>
      <c r="L301" s="8">
        <f>VLOOKUP(B301,Tabelle1!$A$1:$C$351,3,FALSE)</f>
        <v>1.87539067741293E-2</v>
      </c>
      <c r="M301" s="16" t="s">
        <v>542</v>
      </c>
      <c r="N301" s="16" t="s">
        <v>661</v>
      </c>
      <c r="O301" s="19" t="s">
        <v>545</v>
      </c>
      <c r="P301" s="19" t="s">
        <v>546</v>
      </c>
      <c r="Q301" s="19" t="s">
        <v>652</v>
      </c>
      <c r="R301" s="8" t="s">
        <v>550</v>
      </c>
      <c r="S301" s="19" t="s">
        <v>547</v>
      </c>
      <c r="T301" s="18" t="s">
        <v>653</v>
      </c>
      <c r="U301" s="16" t="s">
        <v>538</v>
      </c>
    </row>
    <row r="302" spans="1:21" s="16" customFormat="1" ht="16.5" customHeight="1" x14ac:dyDescent="0.25">
      <c r="A302" s="17" t="s">
        <v>601</v>
      </c>
      <c r="B302" s="8" t="s">
        <v>467</v>
      </c>
      <c r="C302" s="19" t="s">
        <v>338</v>
      </c>
      <c r="D302" s="24" t="s">
        <v>585</v>
      </c>
      <c r="E302" s="19" t="s">
        <v>491</v>
      </c>
      <c r="F302" s="17" t="s">
        <v>302</v>
      </c>
      <c r="G302" s="8">
        <v>0.30183673500000002</v>
      </c>
      <c r="H302" s="8">
        <v>3.0183673000000001E-2</v>
      </c>
      <c r="I302" s="42" t="s">
        <v>85</v>
      </c>
      <c r="J302" s="42" t="s">
        <v>85</v>
      </c>
      <c r="K302" s="8">
        <f>VLOOKUP(B302,Tabelle1!$A$1:$C$351,2,FALSE)</f>
        <v>0.30166827163857401</v>
      </c>
      <c r="L302" s="8">
        <f>VLOOKUP(B302,Tabelle1!$A$1:$C$351,3,FALSE)</f>
        <v>3.1815561200710801E-2</v>
      </c>
      <c r="M302" s="16" t="s">
        <v>542</v>
      </c>
      <c r="N302" s="16" t="s">
        <v>662</v>
      </c>
      <c r="O302" s="19" t="s">
        <v>545</v>
      </c>
      <c r="P302" s="19" t="s">
        <v>546</v>
      </c>
      <c r="Q302" s="19" t="s">
        <v>652</v>
      </c>
      <c r="R302" s="8" t="s">
        <v>550</v>
      </c>
      <c r="S302" s="19" t="s">
        <v>547</v>
      </c>
      <c r="T302" s="18" t="s">
        <v>653</v>
      </c>
      <c r="U302" s="16" t="s">
        <v>538</v>
      </c>
    </row>
    <row r="303" spans="1:21" s="16" customFormat="1" ht="16.5" customHeight="1" x14ac:dyDescent="0.25">
      <c r="A303" s="17" t="s">
        <v>601</v>
      </c>
      <c r="B303" s="8" t="s">
        <v>468</v>
      </c>
      <c r="C303" s="19" t="s">
        <v>338</v>
      </c>
      <c r="D303" s="24" t="s">
        <v>585</v>
      </c>
      <c r="E303" s="19" t="s">
        <v>491</v>
      </c>
      <c r="F303" s="17" t="s">
        <v>302</v>
      </c>
      <c r="G303" s="8">
        <v>0.51346938799999997</v>
      </c>
      <c r="H303" s="8">
        <v>5.1346939000000001E-2</v>
      </c>
      <c r="I303" s="42" t="s">
        <v>85</v>
      </c>
      <c r="J303" s="42" t="s">
        <v>85</v>
      </c>
      <c r="K303" s="8">
        <f>VLOOKUP(B303,Tabelle1!$A$1:$C$351,2,FALSE)</f>
        <v>0.50779623164004295</v>
      </c>
      <c r="L303" s="8">
        <f>VLOOKUP(B303,Tabelle1!$A$1:$C$351,3,FALSE)</f>
        <v>5.01406976431822E-2</v>
      </c>
      <c r="M303" s="16" t="s">
        <v>542</v>
      </c>
      <c r="N303" s="16" t="s">
        <v>662</v>
      </c>
      <c r="O303" s="19" t="s">
        <v>545</v>
      </c>
      <c r="P303" s="19" t="s">
        <v>546</v>
      </c>
      <c r="Q303" s="19" t="s">
        <v>652</v>
      </c>
      <c r="R303" s="8" t="s">
        <v>550</v>
      </c>
      <c r="S303" s="19" t="s">
        <v>547</v>
      </c>
      <c r="T303" s="18" t="s">
        <v>653</v>
      </c>
      <c r="U303" s="16" t="s">
        <v>538</v>
      </c>
    </row>
    <row r="304" spans="1:21" s="16" customFormat="1" ht="16.5" customHeight="1" x14ac:dyDescent="0.25">
      <c r="A304" s="17" t="s">
        <v>601</v>
      </c>
      <c r="B304" s="8" t="s">
        <v>469</v>
      </c>
      <c r="C304" s="19" t="s">
        <v>338</v>
      </c>
      <c r="D304" s="24" t="s">
        <v>585</v>
      </c>
      <c r="E304" s="19" t="s">
        <v>491</v>
      </c>
      <c r="F304" s="17" t="s">
        <v>302</v>
      </c>
      <c r="G304" s="8">
        <v>9.1591836999999995E-2</v>
      </c>
      <c r="H304" s="8">
        <v>9.1591840000000008E-3</v>
      </c>
      <c r="I304" s="42" t="s">
        <v>85</v>
      </c>
      <c r="J304" s="42" t="s">
        <v>85</v>
      </c>
      <c r="K304" s="8">
        <f>VLOOKUP(B304,Tabelle1!$A$1:$C$351,2,FALSE)</f>
        <v>9.1908514991270604E-2</v>
      </c>
      <c r="L304" s="8">
        <f>VLOOKUP(B304,Tabelle1!$A$1:$C$351,3,FALSE)</f>
        <v>8.6885502283009907E-3</v>
      </c>
      <c r="M304" s="16" t="s">
        <v>542</v>
      </c>
      <c r="N304" s="16" t="s">
        <v>662</v>
      </c>
      <c r="O304" s="19" t="s">
        <v>545</v>
      </c>
      <c r="P304" s="19" t="s">
        <v>546</v>
      </c>
      <c r="Q304" s="19" t="s">
        <v>652</v>
      </c>
      <c r="R304" s="8" t="s">
        <v>550</v>
      </c>
      <c r="S304" s="19" t="s">
        <v>547</v>
      </c>
      <c r="T304" s="18" t="s">
        <v>653</v>
      </c>
      <c r="U304" s="16" t="s">
        <v>538</v>
      </c>
    </row>
    <row r="305" spans="1:21" s="16" customFormat="1" ht="16.5" customHeight="1" x14ac:dyDescent="0.25">
      <c r="A305" s="17" t="s">
        <v>601</v>
      </c>
      <c r="B305" s="8" t="s">
        <v>470</v>
      </c>
      <c r="C305" s="19" t="s">
        <v>338</v>
      </c>
      <c r="D305" s="24" t="s">
        <v>585</v>
      </c>
      <c r="E305" s="19" t="s">
        <v>491</v>
      </c>
      <c r="F305" s="17" t="s">
        <v>302</v>
      </c>
      <c r="G305" s="8">
        <v>0.243848396</v>
      </c>
      <c r="H305" s="8">
        <v>2.4384840000000001E-2</v>
      </c>
      <c r="I305" s="42" t="s">
        <v>85</v>
      </c>
      <c r="J305" s="42" t="s">
        <v>85</v>
      </c>
      <c r="K305" s="8">
        <f>VLOOKUP(B305,Tabelle1!$A$1:$C$351,2,FALSE)</f>
        <v>0.244034409849507</v>
      </c>
      <c r="L305" s="8">
        <f>VLOOKUP(B305,Tabelle1!$A$1:$C$351,3,FALSE)</f>
        <v>2.4197754405982101E-2</v>
      </c>
      <c r="M305" s="16" t="s">
        <v>542</v>
      </c>
      <c r="N305" s="16" t="s">
        <v>662</v>
      </c>
      <c r="O305" s="19" t="s">
        <v>545</v>
      </c>
      <c r="P305" s="19" t="s">
        <v>546</v>
      </c>
      <c r="Q305" s="19" t="s">
        <v>652</v>
      </c>
      <c r="R305" s="8" t="s">
        <v>550</v>
      </c>
      <c r="S305" s="19" t="s">
        <v>547</v>
      </c>
      <c r="T305" s="18" t="s">
        <v>653</v>
      </c>
      <c r="U305" s="16" t="s">
        <v>538</v>
      </c>
    </row>
    <row r="306" spans="1:21" s="16" customFormat="1" ht="16.5" customHeight="1" x14ac:dyDescent="0.25">
      <c r="A306" s="17" t="s">
        <v>601</v>
      </c>
      <c r="B306" s="8" t="s">
        <v>471</v>
      </c>
      <c r="C306" s="19" t="s">
        <v>338</v>
      </c>
      <c r="D306" s="24" t="s">
        <v>585</v>
      </c>
      <c r="E306" s="19" t="s">
        <v>491</v>
      </c>
      <c r="F306" s="17" t="s">
        <v>302</v>
      </c>
      <c r="G306" s="8">
        <v>2.0716667000000001E-2</v>
      </c>
      <c r="H306" s="8">
        <v>2.0716670000000001E-3</v>
      </c>
      <c r="I306" s="42" t="s">
        <v>85</v>
      </c>
      <c r="J306" s="42" t="s">
        <v>85</v>
      </c>
      <c r="K306" s="8">
        <f>VLOOKUP(B306,Tabelle1!$A$1:$C$351,2,FALSE)</f>
        <v>2.07186428631378E-2</v>
      </c>
      <c r="L306" s="8">
        <f>VLOOKUP(B306,Tabelle1!$A$1:$C$351,3,FALSE)</f>
        <v>2.2171201697617402E-3</v>
      </c>
      <c r="M306" s="16" t="s">
        <v>542</v>
      </c>
      <c r="N306" s="16" t="s">
        <v>663</v>
      </c>
      <c r="O306" s="19" t="s">
        <v>545</v>
      </c>
      <c r="P306" s="19" t="s">
        <v>546</v>
      </c>
      <c r="Q306" s="19" t="s">
        <v>652</v>
      </c>
      <c r="R306" s="8" t="s">
        <v>550</v>
      </c>
      <c r="S306" s="19" t="s">
        <v>547</v>
      </c>
      <c r="T306" s="18" t="s">
        <v>653</v>
      </c>
      <c r="U306" s="16" t="s">
        <v>538</v>
      </c>
    </row>
    <row r="307" spans="1:21" s="16" customFormat="1" ht="16.5" customHeight="1" x14ac:dyDescent="0.25">
      <c r="A307" s="17" t="s">
        <v>601</v>
      </c>
      <c r="B307" s="8" t="s">
        <v>472</v>
      </c>
      <c r="C307" s="19" t="s">
        <v>338</v>
      </c>
      <c r="D307" s="24" t="s">
        <v>585</v>
      </c>
      <c r="E307" s="19" t="s">
        <v>491</v>
      </c>
      <c r="F307" s="17" t="s">
        <v>302</v>
      </c>
      <c r="G307" s="8">
        <v>2.486E-2</v>
      </c>
      <c r="H307" s="8">
        <v>2.4859999999999999E-3</v>
      </c>
      <c r="I307" s="42" t="s">
        <v>85</v>
      </c>
      <c r="J307" s="42" t="s">
        <v>85</v>
      </c>
      <c r="K307" s="8">
        <f>VLOOKUP(B307,Tabelle1!$A$1:$C$351,2,FALSE)</f>
        <v>2.50984460645618E-2</v>
      </c>
      <c r="L307" s="8">
        <f>VLOOKUP(B307,Tabelle1!$A$1:$C$351,3,FALSE)</f>
        <v>2.3463194091394102E-3</v>
      </c>
      <c r="M307" s="16" t="s">
        <v>542</v>
      </c>
      <c r="N307" s="16" t="s">
        <v>663</v>
      </c>
      <c r="O307" s="19" t="s">
        <v>545</v>
      </c>
      <c r="P307" s="19" t="s">
        <v>546</v>
      </c>
      <c r="Q307" s="19" t="s">
        <v>652</v>
      </c>
      <c r="R307" s="8" t="s">
        <v>550</v>
      </c>
      <c r="S307" s="19" t="s">
        <v>547</v>
      </c>
      <c r="T307" s="18" t="s">
        <v>653</v>
      </c>
      <c r="U307" s="16" t="s">
        <v>538</v>
      </c>
    </row>
    <row r="308" spans="1:21" s="16" customFormat="1" ht="16.5" customHeight="1" x14ac:dyDescent="0.25">
      <c r="A308" s="17" t="s">
        <v>601</v>
      </c>
      <c r="B308" s="8" t="s">
        <v>473</v>
      </c>
      <c r="C308" s="19" t="s">
        <v>338</v>
      </c>
      <c r="D308" s="24" t="s">
        <v>585</v>
      </c>
      <c r="E308" s="19" t="s">
        <v>491</v>
      </c>
      <c r="F308" s="17" t="s">
        <v>302</v>
      </c>
      <c r="G308" s="8">
        <v>6.7122000000000001E-2</v>
      </c>
      <c r="H308" s="8">
        <v>6.7121999999999998E-3</v>
      </c>
      <c r="I308" s="42" t="s">
        <v>85</v>
      </c>
      <c r="J308" s="42" t="s">
        <v>85</v>
      </c>
      <c r="K308" s="8">
        <f>VLOOKUP(B308,Tabelle1!$A$1:$C$351,2,FALSE)</f>
        <v>6.7437739391016202E-2</v>
      </c>
      <c r="L308" s="8">
        <f>VLOOKUP(B308,Tabelle1!$A$1:$C$351,3,FALSE)</f>
        <v>6.8493283449386202E-3</v>
      </c>
      <c r="M308" s="16" t="s">
        <v>542</v>
      </c>
      <c r="N308" s="16" t="s">
        <v>663</v>
      </c>
      <c r="O308" s="19" t="s">
        <v>545</v>
      </c>
      <c r="P308" s="19" t="s">
        <v>546</v>
      </c>
      <c r="Q308" s="19" t="s">
        <v>652</v>
      </c>
      <c r="R308" s="8" t="s">
        <v>550</v>
      </c>
      <c r="S308" s="19" t="s">
        <v>547</v>
      </c>
      <c r="T308" s="18" t="s">
        <v>653</v>
      </c>
      <c r="U308" s="16" t="s">
        <v>538</v>
      </c>
    </row>
    <row r="309" spans="1:21" s="16" customFormat="1" ht="16.5" customHeight="1" x14ac:dyDescent="0.25">
      <c r="A309" s="17" t="s">
        <v>601</v>
      </c>
      <c r="B309" s="8" t="s">
        <v>474</v>
      </c>
      <c r="C309" s="19" t="s">
        <v>338</v>
      </c>
      <c r="D309" s="24" t="s">
        <v>585</v>
      </c>
      <c r="E309" s="19" t="s">
        <v>491</v>
      </c>
      <c r="F309" s="17" t="s">
        <v>302</v>
      </c>
      <c r="G309" s="8">
        <v>3.5514285999999999E-2</v>
      </c>
      <c r="H309" s="8">
        <v>3.551429E-3</v>
      </c>
      <c r="I309" s="42" t="s">
        <v>85</v>
      </c>
      <c r="J309" s="42" t="s">
        <v>85</v>
      </c>
      <c r="K309" s="8">
        <f>VLOOKUP(B309,Tabelle1!$A$1:$C$351,2,FALSE)</f>
        <v>3.558223264602E-2</v>
      </c>
      <c r="L309" s="8">
        <f>VLOOKUP(B309,Tabelle1!$A$1:$C$351,3,FALSE)</f>
        <v>3.4008447275105402E-3</v>
      </c>
      <c r="M309" s="16" t="s">
        <v>542</v>
      </c>
      <c r="N309" s="16" t="s">
        <v>663</v>
      </c>
      <c r="O309" s="19" t="s">
        <v>545</v>
      </c>
      <c r="P309" s="19" t="s">
        <v>546</v>
      </c>
      <c r="Q309" s="19" t="s">
        <v>652</v>
      </c>
      <c r="R309" s="8" t="s">
        <v>550</v>
      </c>
      <c r="S309" s="19" t="s">
        <v>547</v>
      </c>
      <c r="T309" s="18" t="s">
        <v>653</v>
      </c>
      <c r="U309" s="16" t="s">
        <v>538</v>
      </c>
    </row>
    <row r="310" spans="1:21" s="16" customFormat="1" ht="16.5" customHeight="1" x14ac:dyDescent="0.25">
      <c r="A310" s="17" t="s">
        <v>601</v>
      </c>
      <c r="B310" s="8" t="s">
        <v>483</v>
      </c>
      <c r="C310" s="19" t="s">
        <v>338</v>
      </c>
      <c r="D310" s="24" t="s">
        <v>585</v>
      </c>
      <c r="E310" s="19" t="s">
        <v>491</v>
      </c>
      <c r="F310" s="17" t="s">
        <v>302</v>
      </c>
      <c r="G310" s="8">
        <v>4.2459999999999998E-2</v>
      </c>
      <c r="H310" s="8">
        <v>4.2459999999999998E-3</v>
      </c>
      <c r="I310" s="42" t="s">
        <v>85</v>
      </c>
      <c r="J310" s="42" t="s">
        <v>85</v>
      </c>
      <c r="K310" s="8">
        <f>VLOOKUP(B310,Tabelle1!$A$1:$C$351,2,FALSE)</f>
        <v>4.1876601429748798E-2</v>
      </c>
      <c r="L310" s="8">
        <f>VLOOKUP(B310,Tabelle1!$A$1:$C$351,3,FALSE)</f>
        <v>3.9823085594018204E-3</v>
      </c>
      <c r="M310" s="16" t="s">
        <v>542</v>
      </c>
      <c r="N310" s="16" t="s">
        <v>664</v>
      </c>
      <c r="O310" s="19" t="s">
        <v>545</v>
      </c>
      <c r="P310" s="19" t="s">
        <v>546</v>
      </c>
      <c r="Q310" s="19" t="s">
        <v>652</v>
      </c>
      <c r="R310" s="8" t="s">
        <v>550</v>
      </c>
      <c r="S310" s="19" t="s">
        <v>547</v>
      </c>
      <c r="T310" s="18" t="s">
        <v>653</v>
      </c>
      <c r="U310" s="16" t="s">
        <v>538</v>
      </c>
    </row>
    <row r="311" spans="1:21" s="16" customFormat="1" ht="16.5" customHeight="1" x14ac:dyDescent="0.25">
      <c r="A311" s="17" t="s">
        <v>601</v>
      </c>
      <c r="B311" s="8" t="s">
        <v>484</v>
      </c>
      <c r="C311" s="19" t="s">
        <v>338</v>
      </c>
      <c r="D311" s="24" t="s">
        <v>585</v>
      </c>
      <c r="E311" s="19" t="s">
        <v>491</v>
      </c>
      <c r="F311" s="17" t="s">
        <v>302</v>
      </c>
      <c r="G311" s="8">
        <v>5.28E-3</v>
      </c>
      <c r="H311" s="8">
        <v>5.2800000000000004E-4</v>
      </c>
      <c r="I311" s="42" t="s">
        <v>85</v>
      </c>
      <c r="J311" s="42" t="s">
        <v>85</v>
      </c>
      <c r="K311" s="8">
        <f>VLOOKUP(B311,Tabelle1!$A$1:$C$351,2,FALSE)</f>
        <v>5.2636433821360903E-3</v>
      </c>
      <c r="L311" s="8">
        <f>VLOOKUP(B311,Tabelle1!$A$1:$C$351,3,FALSE)</f>
        <v>5.1856776284623198E-4</v>
      </c>
      <c r="M311" s="16" t="s">
        <v>542</v>
      </c>
      <c r="N311" s="16" t="s">
        <v>664</v>
      </c>
      <c r="O311" s="19" t="s">
        <v>545</v>
      </c>
      <c r="P311" s="19" t="s">
        <v>546</v>
      </c>
      <c r="Q311" s="19" t="s">
        <v>652</v>
      </c>
      <c r="R311" s="8" t="s">
        <v>550</v>
      </c>
      <c r="S311" s="19" t="s">
        <v>547</v>
      </c>
      <c r="T311" s="18" t="s">
        <v>653</v>
      </c>
      <c r="U311" s="16" t="s">
        <v>538</v>
      </c>
    </row>
    <row r="312" spans="1:21" s="16" customFormat="1" ht="16.5" customHeight="1" x14ac:dyDescent="0.25">
      <c r="A312" s="17" t="s">
        <v>601</v>
      </c>
      <c r="B312" s="8" t="s">
        <v>485</v>
      </c>
      <c r="C312" s="19" t="s">
        <v>338</v>
      </c>
      <c r="D312" s="24" t="s">
        <v>585</v>
      </c>
      <c r="E312" s="19" t="s">
        <v>491</v>
      </c>
      <c r="F312" s="17" t="s">
        <v>302</v>
      </c>
      <c r="G312" s="8">
        <v>0.39771600000000001</v>
      </c>
      <c r="H312" s="8">
        <v>3.9771599999999997E-2</v>
      </c>
      <c r="I312" s="42" t="s">
        <v>85</v>
      </c>
      <c r="J312" s="42" t="s">
        <v>85</v>
      </c>
      <c r="K312" s="8">
        <f>VLOOKUP(B312,Tabelle1!$A$1:$C$351,2,FALSE)</f>
        <v>0.39617880800100302</v>
      </c>
      <c r="L312" s="8">
        <f>VLOOKUP(B312,Tabelle1!$A$1:$C$351,3,FALSE)</f>
        <v>3.9002498638380199E-2</v>
      </c>
      <c r="M312" s="16" t="s">
        <v>542</v>
      </c>
      <c r="N312" s="16" t="s">
        <v>664</v>
      </c>
      <c r="O312" s="19" t="s">
        <v>545</v>
      </c>
      <c r="P312" s="19" t="s">
        <v>546</v>
      </c>
      <c r="Q312" s="19" t="s">
        <v>652</v>
      </c>
      <c r="R312" s="8" t="s">
        <v>550</v>
      </c>
      <c r="S312" s="19" t="s">
        <v>547</v>
      </c>
      <c r="T312" s="18" t="s">
        <v>653</v>
      </c>
      <c r="U312" s="16" t="s">
        <v>538</v>
      </c>
    </row>
    <row r="313" spans="1:21" s="16" customFormat="1" ht="16.5" customHeight="1" x14ac:dyDescent="0.25">
      <c r="A313" s="17" t="s">
        <v>601</v>
      </c>
      <c r="B313" s="8" t="s">
        <v>486</v>
      </c>
      <c r="C313" s="19" t="s">
        <v>338</v>
      </c>
      <c r="D313" s="24" t="s">
        <v>585</v>
      </c>
      <c r="E313" s="19" t="s">
        <v>491</v>
      </c>
      <c r="F313" s="17" t="s">
        <v>302</v>
      </c>
      <c r="G313" s="8">
        <v>0.10252</v>
      </c>
      <c r="H313" s="8">
        <v>1.0252000000000001E-2</v>
      </c>
      <c r="I313" s="42" t="s">
        <v>85</v>
      </c>
      <c r="J313" s="42" t="s">
        <v>85</v>
      </c>
      <c r="K313" s="8">
        <f>VLOOKUP(B313,Tabelle1!$A$1:$C$351,2,FALSE)</f>
        <v>0.102460404703667</v>
      </c>
      <c r="L313" s="8">
        <f>VLOOKUP(B313,Tabelle1!$A$1:$C$351,3,FALSE)</f>
        <v>1.0481472764712599E-2</v>
      </c>
      <c r="M313" s="16" t="s">
        <v>542</v>
      </c>
      <c r="N313" s="16" t="s">
        <v>664</v>
      </c>
      <c r="O313" s="19" t="s">
        <v>545</v>
      </c>
      <c r="P313" s="19" t="s">
        <v>546</v>
      </c>
      <c r="Q313" s="19" t="s">
        <v>652</v>
      </c>
      <c r="R313" s="8" t="s">
        <v>550</v>
      </c>
      <c r="S313" s="19" t="s">
        <v>547</v>
      </c>
      <c r="T313" s="18" t="s">
        <v>653</v>
      </c>
      <c r="U313" s="16" t="s">
        <v>538</v>
      </c>
    </row>
    <row r="314" spans="1:21" s="16" customFormat="1" ht="16.5" customHeight="1" x14ac:dyDescent="0.25">
      <c r="A314" s="17" t="s">
        <v>601</v>
      </c>
      <c r="B314" s="8" t="s">
        <v>487</v>
      </c>
      <c r="C314" s="19" t="s">
        <v>338</v>
      </c>
      <c r="D314" s="24" t="s">
        <v>585</v>
      </c>
      <c r="E314" s="19" t="s">
        <v>491</v>
      </c>
      <c r="F314" s="17" t="s">
        <v>302</v>
      </c>
      <c r="G314" s="8">
        <v>9.8700000000000003E-3</v>
      </c>
      <c r="H314" s="8">
        <v>9.8700000000000003E-4</v>
      </c>
      <c r="I314" s="42" t="s">
        <v>85</v>
      </c>
      <c r="J314" s="42" t="s">
        <v>85</v>
      </c>
      <c r="K314" s="8">
        <f>VLOOKUP(B314,Tabelle1!$A$1:$C$351,2,FALSE)</f>
        <v>9.8274047284035403E-3</v>
      </c>
      <c r="L314" s="8">
        <f>VLOOKUP(B314,Tabelle1!$A$1:$C$351,3,FALSE)</f>
        <v>9.4460828729307604E-4</v>
      </c>
      <c r="M314" s="16" t="s">
        <v>542</v>
      </c>
      <c r="N314" s="16" t="s">
        <v>665</v>
      </c>
      <c r="O314" s="19" t="s">
        <v>545</v>
      </c>
      <c r="P314" s="19" t="s">
        <v>546</v>
      </c>
      <c r="Q314" s="19" t="s">
        <v>652</v>
      </c>
      <c r="R314" s="8" t="s">
        <v>550</v>
      </c>
      <c r="S314" s="19" t="s">
        <v>547</v>
      </c>
      <c r="T314" s="18" t="s">
        <v>653</v>
      </c>
      <c r="U314" s="16" t="s">
        <v>538</v>
      </c>
    </row>
    <row r="315" spans="1:21" s="16" customFormat="1" ht="16.5" customHeight="1" x14ac:dyDescent="0.25">
      <c r="A315" s="17" t="s">
        <v>601</v>
      </c>
      <c r="B315" s="8" t="s">
        <v>488</v>
      </c>
      <c r="C315" s="19" t="s">
        <v>338</v>
      </c>
      <c r="D315" s="24" t="s">
        <v>585</v>
      </c>
      <c r="E315" s="19" t="s">
        <v>491</v>
      </c>
      <c r="F315" s="17" t="s">
        <v>302</v>
      </c>
      <c r="G315" s="8">
        <v>1.645E-3</v>
      </c>
      <c r="H315" s="8">
        <v>1.6449999999999999E-4</v>
      </c>
      <c r="I315" s="42" t="s">
        <v>85</v>
      </c>
      <c r="J315" s="42" t="s">
        <v>85</v>
      </c>
      <c r="K315" s="8">
        <f>VLOOKUP(B315,Tabelle1!$A$1:$C$351,2,FALSE)</f>
        <v>1.6546963350646E-3</v>
      </c>
      <c r="L315" s="8">
        <f>VLOOKUP(B315,Tabelle1!$A$1:$C$351,3,FALSE)</f>
        <v>1.6482697575216201E-4</v>
      </c>
      <c r="M315" s="16" t="s">
        <v>542</v>
      </c>
      <c r="N315" s="16" t="s">
        <v>665</v>
      </c>
      <c r="O315" s="19" t="s">
        <v>545</v>
      </c>
      <c r="P315" s="19" t="s">
        <v>546</v>
      </c>
      <c r="Q315" s="19" t="s">
        <v>652</v>
      </c>
      <c r="R315" s="8" t="s">
        <v>550</v>
      </c>
      <c r="S315" s="19" t="s">
        <v>547</v>
      </c>
      <c r="T315" s="18" t="s">
        <v>653</v>
      </c>
      <c r="U315" s="16" t="s">
        <v>538</v>
      </c>
    </row>
    <row r="316" spans="1:21" s="16" customFormat="1" ht="16.5" customHeight="1" x14ac:dyDescent="0.25">
      <c r="A316" s="17" t="s">
        <v>601</v>
      </c>
      <c r="B316" s="8" t="s">
        <v>489</v>
      </c>
      <c r="C316" s="19" t="s">
        <v>338</v>
      </c>
      <c r="D316" s="24" t="s">
        <v>585</v>
      </c>
      <c r="E316" s="19" t="s">
        <v>491</v>
      </c>
      <c r="F316" s="17" t="s">
        <v>302</v>
      </c>
      <c r="G316" s="8">
        <v>5.9220000000000002E-3</v>
      </c>
      <c r="H316" s="8">
        <v>5.9219999999999997E-4</v>
      </c>
      <c r="I316" s="42" t="s">
        <v>85</v>
      </c>
      <c r="J316" s="42" t="s">
        <v>85</v>
      </c>
      <c r="K316" s="8">
        <f>VLOOKUP(B316,Tabelle1!$A$1:$C$351,2,FALSE)</f>
        <v>5.8721848318765597E-3</v>
      </c>
      <c r="L316" s="8">
        <f>VLOOKUP(B316,Tabelle1!$A$1:$C$351,3,FALSE)</f>
        <v>5.3762451538788103E-4</v>
      </c>
      <c r="M316" s="16" t="s">
        <v>542</v>
      </c>
      <c r="N316" s="16" t="s">
        <v>665</v>
      </c>
      <c r="O316" s="19" t="s">
        <v>545</v>
      </c>
      <c r="P316" s="19" t="s">
        <v>546</v>
      </c>
      <c r="Q316" s="19" t="s">
        <v>652</v>
      </c>
      <c r="R316" s="8" t="s">
        <v>550</v>
      </c>
      <c r="S316" s="19" t="s">
        <v>547</v>
      </c>
      <c r="T316" s="18" t="s">
        <v>653</v>
      </c>
      <c r="U316" s="16" t="s">
        <v>538</v>
      </c>
    </row>
    <row r="317" spans="1:21" s="29" customFormat="1" ht="16.5" customHeight="1" x14ac:dyDescent="0.25">
      <c r="A317" s="30" t="s">
        <v>601</v>
      </c>
      <c r="B317" s="27" t="s">
        <v>490</v>
      </c>
      <c r="C317" s="21" t="s">
        <v>338</v>
      </c>
      <c r="D317" s="26" t="s">
        <v>585</v>
      </c>
      <c r="E317" s="21" t="s">
        <v>491</v>
      </c>
      <c r="F317" s="30" t="s">
        <v>302</v>
      </c>
      <c r="G317" s="27">
        <v>1.457E-2</v>
      </c>
      <c r="H317" s="27">
        <v>1.457E-3</v>
      </c>
      <c r="I317" s="43" t="s">
        <v>85</v>
      </c>
      <c r="J317" s="43" t="s">
        <v>85</v>
      </c>
      <c r="K317" s="27">
        <f>VLOOKUP(B317,Tabelle1!$A$1:$C$351,2,FALSE)</f>
        <v>1.44592121471244E-2</v>
      </c>
      <c r="L317" s="27">
        <f>VLOOKUP(B317,Tabelle1!$A$1:$C$351,3,FALSE)</f>
        <v>1.3579694976223601E-3</v>
      </c>
      <c r="M317" s="29" t="s">
        <v>542</v>
      </c>
      <c r="N317" s="29" t="s">
        <v>665</v>
      </c>
      <c r="O317" s="21" t="s">
        <v>545</v>
      </c>
      <c r="P317" s="21" t="s">
        <v>546</v>
      </c>
      <c r="Q317" s="21" t="s">
        <v>652</v>
      </c>
      <c r="R317" s="27" t="s">
        <v>550</v>
      </c>
      <c r="S317" s="21" t="s">
        <v>547</v>
      </c>
      <c r="T317" s="23" t="s">
        <v>653</v>
      </c>
      <c r="U317" s="29" t="s">
        <v>538</v>
      </c>
    </row>
    <row r="318" spans="1:21" s="16" customFormat="1" ht="16.5" customHeight="1" x14ac:dyDescent="0.25">
      <c r="A318" s="17" t="s">
        <v>597</v>
      </c>
      <c r="B318" s="8" t="s">
        <v>500</v>
      </c>
      <c r="C318" s="19" t="s">
        <v>338</v>
      </c>
      <c r="D318" s="24" t="s">
        <v>628</v>
      </c>
      <c r="E318" s="33" t="s">
        <v>182</v>
      </c>
      <c r="F318" s="24" t="s">
        <v>247</v>
      </c>
      <c r="G318" s="16">
        <v>0</v>
      </c>
      <c r="H318" s="35" t="s">
        <v>85</v>
      </c>
      <c r="I318" s="35" t="s">
        <v>85</v>
      </c>
      <c r="J318" s="35" t="s">
        <v>85</v>
      </c>
      <c r="K318" s="49" t="s">
        <v>85</v>
      </c>
      <c r="L318" s="49" t="s">
        <v>85</v>
      </c>
      <c r="M318" s="16" t="s">
        <v>676</v>
      </c>
      <c r="N318" s="35" t="s">
        <v>85</v>
      </c>
      <c r="O318" s="35" t="s">
        <v>85</v>
      </c>
      <c r="P318" s="35" t="s">
        <v>85</v>
      </c>
      <c r="Q318" s="35" t="s">
        <v>85</v>
      </c>
      <c r="R318" s="24" t="s">
        <v>549</v>
      </c>
      <c r="S318" s="35" t="s">
        <v>85</v>
      </c>
      <c r="T318" s="35" t="s">
        <v>85</v>
      </c>
      <c r="U318" s="16" t="s">
        <v>538</v>
      </c>
    </row>
    <row r="319" spans="1:21" s="16" customFormat="1" ht="16.5" customHeight="1" x14ac:dyDescent="0.25">
      <c r="A319" s="17" t="s">
        <v>597</v>
      </c>
      <c r="B319" s="8" t="s">
        <v>501</v>
      </c>
      <c r="C319" s="19" t="s">
        <v>338</v>
      </c>
      <c r="D319" s="24" t="s">
        <v>628</v>
      </c>
      <c r="E319" s="33" t="s">
        <v>182</v>
      </c>
      <c r="F319" s="24" t="s">
        <v>247</v>
      </c>
      <c r="G319" s="16">
        <v>0</v>
      </c>
      <c r="H319" s="35" t="s">
        <v>85</v>
      </c>
      <c r="I319" s="35" t="s">
        <v>85</v>
      </c>
      <c r="J319" s="35" t="s">
        <v>85</v>
      </c>
      <c r="K319" s="49" t="s">
        <v>85</v>
      </c>
      <c r="L319" s="49" t="s">
        <v>85</v>
      </c>
      <c r="M319" s="16" t="s">
        <v>676</v>
      </c>
      <c r="N319" s="35" t="s">
        <v>85</v>
      </c>
      <c r="O319" s="35" t="s">
        <v>85</v>
      </c>
      <c r="P319" s="35" t="s">
        <v>85</v>
      </c>
      <c r="Q319" s="35" t="s">
        <v>85</v>
      </c>
      <c r="R319" s="24" t="s">
        <v>549</v>
      </c>
      <c r="S319" s="35" t="s">
        <v>85</v>
      </c>
      <c r="T319" s="35" t="s">
        <v>85</v>
      </c>
      <c r="U319" s="16" t="s">
        <v>538</v>
      </c>
    </row>
    <row r="320" spans="1:21" s="16" customFormat="1" ht="16.5" customHeight="1" x14ac:dyDescent="0.25">
      <c r="A320" s="17" t="s">
        <v>597</v>
      </c>
      <c r="B320" s="8" t="s">
        <v>502</v>
      </c>
      <c r="C320" s="19" t="s">
        <v>338</v>
      </c>
      <c r="D320" s="24" t="s">
        <v>628</v>
      </c>
      <c r="E320" s="33" t="s">
        <v>182</v>
      </c>
      <c r="F320" s="24" t="s">
        <v>247</v>
      </c>
      <c r="G320" s="16">
        <v>0</v>
      </c>
      <c r="H320" s="35" t="s">
        <v>85</v>
      </c>
      <c r="I320" s="35" t="s">
        <v>85</v>
      </c>
      <c r="J320" s="35" t="s">
        <v>85</v>
      </c>
      <c r="K320" s="49" t="s">
        <v>85</v>
      </c>
      <c r="L320" s="49" t="s">
        <v>85</v>
      </c>
      <c r="M320" s="16" t="s">
        <v>676</v>
      </c>
      <c r="N320" s="35" t="s">
        <v>85</v>
      </c>
      <c r="O320" s="35" t="s">
        <v>85</v>
      </c>
      <c r="P320" s="35" t="s">
        <v>85</v>
      </c>
      <c r="Q320" s="35" t="s">
        <v>85</v>
      </c>
      <c r="R320" s="24" t="s">
        <v>549</v>
      </c>
      <c r="S320" s="35" t="s">
        <v>85</v>
      </c>
      <c r="T320" s="35" t="s">
        <v>85</v>
      </c>
      <c r="U320" s="16" t="s">
        <v>538</v>
      </c>
    </row>
    <row r="321" spans="1:21" s="16" customFormat="1" ht="16.5" customHeight="1" x14ac:dyDescent="0.25">
      <c r="A321" s="17" t="s">
        <v>597</v>
      </c>
      <c r="B321" s="8" t="s">
        <v>503</v>
      </c>
      <c r="C321" s="19" t="s">
        <v>338</v>
      </c>
      <c r="D321" s="24" t="s">
        <v>628</v>
      </c>
      <c r="E321" s="33" t="s">
        <v>182</v>
      </c>
      <c r="F321" s="24" t="s">
        <v>247</v>
      </c>
      <c r="G321" s="16">
        <v>0</v>
      </c>
      <c r="H321" s="35" t="s">
        <v>85</v>
      </c>
      <c r="I321" s="35" t="s">
        <v>85</v>
      </c>
      <c r="J321" s="35" t="s">
        <v>85</v>
      </c>
      <c r="K321" s="49" t="s">
        <v>85</v>
      </c>
      <c r="L321" s="49" t="s">
        <v>85</v>
      </c>
      <c r="M321" s="16" t="s">
        <v>676</v>
      </c>
      <c r="N321" s="35" t="s">
        <v>85</v>
      </c>
      <c r="O321" s="35" t="s">
        <v>85</v>
      </c>
      <c r="P321" s="35" t="s">
        <v>85</v>
      </c>
      <c r="Q321" s="35" t="s">
        <v>85</v>
      </c>
      <c r="R321" s="24" t="s">
        <v>549</v>
      </c>
      <c r="S321" s="35" t="s">
        <v>85</v>
      </c>
      <c r="T321" s="35" t="s">
        <v>85</v>
      </c>
      <c r="U321" s="16" t="s">
        <v>538</v>
      </c>
    </row>
    <row r="322" spans="1:21" s="16" customFormat="1" ht="16.5" customHeight="1" x14ac:dyDescent="0.25">
      <c r="A322" s="17" t="s">
        <v>597</v>
      </c>
      <c r="B322" s="8" t="s">
        <v>504</v>
      </c>
      <c r="C322" s="19" t="s">
        <v>338</v>
      </c>
      <c r="D322" s="24" t="s">
        <v>628</v>
      </c>
      <c r="E322" s="33" t="s">
        <v>182</v>
      </c>
      <c r="F322" s="24" t="s">
        <v>247</v>
      </c>
      <c r="G322" s="16">
        <v>0</v>
      </c>
      <c r="H322" s="35" t="s">
        <v>85</v>
      </c>
      <c r="I322" s="35" t="s">
        <v>85</v>
      </c>
      <c r="J322" s="35" t="s">
        <v>85</v>
      </c>
      <c r="K322" s="49" t="s">
        <v>85</v>
      </c>
      <c r="L322" s="49" t="s">
        <v>85</v>
      </c>
      <c r="M322" s="16" t="s">
        <v>676</v>
      </c>
      <c r="N322" s="35" t="s">
        <v>85</v>
      </c>
      <c r="O322" s="35" t="s">
        <v>85</v>
      </c>
      <c r="P322" s="35" t="s">
        <v>85</v>
      </c>
      <c r="Q322" s="35" t="s">
        <v>85</v>
      </c>
      <c r="R322" s="24" t="s">
        <v>549</v>
      </c>
      <c r="S322" s="35" t="s">
        <v>85</v>
      </c>
      <c r="T322" s="35" t="s">
        <v>85</v>
      </c>
      <c r="U322" s="16" t="s">
        <v>538</v>
      </c>
    </row>
    <row r="323" spans="1:21" s="16" customFormat="1" ht="16.5" customHeight="1" x14ac:dyDescent="0.25">
      <c r="A323" s="17" t="s">
        <v>597</v>
      </c>
      <c r="B323" s="8" t="s">
        <v>505</v>
      </c>
      <c r="C323" s="19" t="s">
        <v>338</v>
      </c>
      <c r="D323" s="24" t="s">
        <v>628</v>
      </c>
      <c r="E323" s="33" t="s">
        <v>182</v>
      </c>
      <c r="F323" s="24" t="s">
        <v>247</v>
      </c>
      <c r="G323" s="16">
        <v>0</v>
      </c>
      <c r="H323" s="35" t="s">
        <v>85</v>
      </c>
      <c r="I323" s="35" t="s">
        <v>85</v>
      </c>
      <c r="J323" s="35" t="s">
        <v>85</v>
      </c>
      <c r="K323" s="49" t="s">
        <v>85</v>
      </c>
      <c r="L323" s="49" t="s">
        <v>85</v>
      </c>
      <c r="M323" s="16" t="s">
        <v>676</v>
      </c>
      <c r="N323" s="35" t="s">
        <v>85</v>
      </c>
      <c r="O323" s="35" t="s">
        <v>85</v>
      </c>
      <c r="P323" s="35" t="s">
        <v>85</v>
      </c>
      <c r="Q323" s="35" t="s">
        <v>85</v>
      </c>
      <c r="R323" s="24" t="s">
        <v>549</v>
      </c>
      <c r="S323" s="35" t="s">
        <v>85</v>
      </c>
      <c r="T323" s="35" t="s">
        <v>85</v>
      </c>
      <c r="U323" s="16" t="s">
        <v>538</v>
      </c>
    </row>
    <row r="324" spans="1:21" s="16" customFormat="1" ht="16.5" customHeight="1" x14ac:dyDescent="0.25">
      <c r="A324" s="17" t="s">
        <v>597</v>
      </c>
      <c r="B324" s="8" t="s">
        <v>506</v>
      </c>
      <c r="C324" s="19" t="s">
        <v>338</v>
      </c>
      <c r="D324" s="24" t="s">
        <v>628</v>
      </c>
      <c r="E324" s="33" t="s">
        <v>182</v>
      </c>
      <c r="F324" s="24" t="s">
        <v>247</v>
      </c>
      <c r="G324" s="16">
        <v>0</v>
      </c>
      <c r="H324" s="35" t="s">
        <v>85</v>
      </c>
      <c r="I324" s="35" t="s">
        <v>85</v>
      </c>
      <c r="J324" s="35" t="s">
        <v>85</v>
      </c>
      <c r="K324" s="49" t="s">
        <v>85</v>
      </c>
      <c r="L324" s="49" t="s">
        <v>85</v>
      </c>
      <c r="M324" s="16" t="s">
        <v>676</v>
      </c>
      <c r="N324" s="35" t="s">
        <v>85</v>
      </c>
      <c r="O324" s="35" t="s">
        <v>85</v>
      </c>
      <c r="P324" s="35" t="s">
        <v>85</v>
      </c>
      <c r="Q324" s="35" t="s">
        <v>85</v>
      </c>
      <c r="R324" s="24" t="s">
        <v>549</v>
      </c>
      <c r="S324" s="35" t="s">
        <v>85</v>
      </c>
      <c r="T324" s="35" t="s">
        <v>85</v>
      </c>
      <c r="U324" s="16" t="s">
        <v>538</v>
      </c>
    </row>
    <row r="325" spans="1:21" s="16" customFormat="1" ht="16.5" customHeight="1" x14ac:dyDescent="0.25">
      <c r="A325" s="17" t="s">
        <v>597</v>
      </c>
      <c r="B325" s="8" t="s">
        <v>507</v>
      </c>
      <c r="C325" s="19" t="s">
        <v>338</v>
      </c>
      <c r="D325" s="24" t="s">
        <v>628</v>
      </c>
      <c r="E325" s="33" t="s">
        <v>182</v>
      </c>
      <c r="F325" s="24" t="s">
        <v>247</v>
      </c>
      <c r="G325" s="16">
        <v>0</v>
      </c>
      <c r="H325" s="35" t="s">
        <v>85</v>
      </c>
      <c r="I325" s="35" t="s">
        <v>85</v>
      </c>
      <c r="J325" s="35" t="s">
        <v>85</v>
      </c>
      <c r="K325" s="49" t="s">
        <v>85</v>
      </c>
      <c r="L325" s="49" t="s">
        <v>85</v>
      </c>
      <c r="M325" s="16" t="s">
        <v>676</v>
      </c>
      <c r="N325" s="35" t="s">
        <v>85</v>
      </c>
      <c r="O325" s="35" t="s">
        <v>85</v>
      </c>
      <c r="P325" s="35" t="s">
        <v>85</v>
      </c>
      <c r="Q325" s="35" t="s">
        <v>85</v>
      </c>
      <c r="R325" s="24" t="s">
        <v>549</v>
      </c>
      <c r="S325" s="35" t="s">
        <v>85</v>
      </c>
      <c r="T325" s="35" t="s">
        <v>85</v>
      </c>
      <c r="U325" s="16" t="s">
        <v>538</v>
      </c>
    </row>
    <row r="326" spans="1:21" s="16" customFormat="1" ht="16.5" customHeight="1" x14ac:dyDescent="0.25">
      <c r="A326" s="17" t="s">
        <v>597</v>
      </c>
      <c r="B326" s="8" t="s">
        <v>508</v>
      </c>
      <c r="C326" s="19" t="s">
        <v>338</v>
      </c>
      <c r="D326" s="24" t="s">
        <v>628</v>
      </c>
      <c r="E326" s="33" t="s">
        <v>182</v>
      </c>
      <c r="F326" s="24" t="s">
        <v>247</v>
      </c>
      <c r="G326" s="16">
        <v>0</v>
      </c>
      <c r="H326" s="35" t="s">
        <v>85</v>
      </c>
      <c r="I326" s="35" t="s">
        <v>85</v>
      </c>
      <c r="J326" s="35" t="s">
        <v>85</v>
      </c>
      <c r="K326" s="49" t="s">
        <v>85</v>
      </c>
      <c r="L326" s="49" t="s">
        <v>85</v>
      </c>
      <c r="M326" s="16" t="s">
        <v>676</v>
      </c>
      <c r="N326" s="35" t="s">
        <v>85</v>
      </c>
      <c r="O326" s="35" t="s">
        <v>85</v>
      </c>
      <c r="P326" s="35" t="s">
        <v>85</v>
      </c>
      <c r="Q326" s="35" t="s">
        <v>85</v>
      </c>
      <c r="R326" s="24" t="s">
        <v>549</v>
      </c>
      <c r="S326" s="35" t="s">
        <v>85</v>
      </c>
      <c r="T326" s="35" t="s">
        <v>85</v>
      </c>
      <c r="U326" s="16" t="s">
        <v>538</v>
      </c>
    </row>
    <row r="327" spans="1:21" s="16" customFormat="1" ht="16.5" customHeight="1" x14ac:dyDescent="0.25">
      <c r="A327" s="17" t="s">
        <v>597</v>
      </c>
      <c r="B327" s="8" t="s">
        <v>509</v>
      </c>
      <c r="C327" s="19" t="s">
        <v>338</v>
      </c>
      <c r="D327" s="24" t="s">
        <v>628</v>
      </c>
      <c r="E327" s="33" t="s">
        <v>182</v>
      </c>
      <c r="F327" s="24" t="s">
        <v>247</v>
      </c>
      <c r="G327" s="16">
        <v>0</v>
      </c>
      <c r="H327" s="35" t="s">
        <v>85</v>
      </c>
      <c r="I327" s="35" t="s">
        <v>85</v>
      </c>
      <c r="J327" s="35" t="s">
        <v>85</v>
      </c>
      <c r="K327" s="49" t="s">
        <v>85</v>
      </c>
      <c r="L327" s="49" t="s">
        <v>85</v>
      </c>
      <c r="M327" s="16" t="s">
        <v>676</v>
      </c>
      <c r="N327" s="35" t="s">
        <v>85</v>
      </c>
      <c r="O327" s="35" t="s">
        <v>85</v>
      </c>
      <c r="P327" s="35" t="s">
        <v>85</v>
      </c>
      <c r="Q327" s="35" t="s">
        <v>85</v>
      </c>
      <c r="R327" s="24" t="s">
        <v>549</v>
      </c>
      <c r="S327" s="35" t="s">
        <v>85</v>
      </c>
      <c r="T327" s="35" t="s">
        <v>85</v>
      </c>
      <c r="U327" s="16" t="s">
        <v>538</v>
      </c>
    </row>
    <row r="328" spans="1:21" s="29" customFormat="1" ht="16.5" customHeight="1" x14ac:dyDescent="0.25">
      <c r="A328" s="30" t="s">
        <v>597</v>
      </c>
      <c r="B328" s="27" t="s">
        <v>510</v>
      </c>
      <c r="C328" s="21" t="s">
        <v>338</v>
      </c>
      <c r="D328" s="26" t="s">
        <v>628</v>
      </c>
      <c r="E328" s="34" t="s">
        <v>182</v>
      </c>
      <c r="F328" s="26" t="s">
        <v>247</v>
      </c>
      <c r="G328" s="29">
        <v>0</v>
      </c>
      <c r="H328" s="41" t="s">
        <v>85</v>
      </c>
      <c r="I328" s="41" t="s">
        <v>85</v>
      </c>
      <c r="J328" s="41" t="s">
        <v>85</v>
      </c>
      <c r="K328" s="50" t="s">
        <v>85</v>
      </c>
      <c r="L328" s="50" t="s">
        <v>85</v>
      </c>
      <c r="M328" s="29" t="s">
        <v>676</v>
      </c>
      <c r="N328" s="41" t="s">
        <v>85</v>
      </c>
      <c r="O328" s="41" t="s">
        <v>85</v>
      </c>
      <c r="P328" s="41" t="s">
        <v>85</v>
      </c>
      <c r="Q328" s="41" t="s">
        <v>85</v>
      </c>
      <c r="R328" s="26" t="s">
        <v>549</v>
      </c>
      <c r="S328" s="41" t="s">
        <v>85</v>
      </c>
      <c r="T328" s="41" t="s">
        <v>85</v>
      </c>
      <c r="U328" s="29" t="s">
        <v>538</v>
      </c>
    </row>
    <row r="329" spans="1:21" s="6" customFormat="1" ht="16.5" customHeight="1" x14ac:dyDescent="0.25">
      <c r="A329" s="6" t="s">
        <v>80</v>
      </c>
    </row>
    <row r="330" spans="1:21" s="29" customFormat="1" ht="16.5" customHeight="1" x14ac:dyDescent="0.25">
      <c r="A330" s="30" t="s">
        <v>600</v>
      </c>
      <c r="B330" s="21" t="s">
        <v>684</v>
      </c>
      <c r="C330" s="29" t="s">
        <v>338</v>
      </c>
      <c r="D330" s="30" t="s">
        <v>84</v>
      </c>
      <c r="E330" s="29" t="s">
        <v>81</v>
      </c>
      <c r="F330" s="30" t="s">
        <v>302</v>
      </c>
      <c r="G330" s="29">
        <v>18000</v>
      </c>
      <c r="H330" s="29">
        <v>1800</v>
      </c>
      <c r="I330" s="41" t="s">
        <v>85</v>
      </c>
      <c r="J330" s="41" t="s">
        <v>85</v>
      </c>
      <c r="K330" s="60">
        <f>VLOOKUP(B330,Tabelle1!$A$1:$C$351,2,FALSE)</f>
        <v>18082.728018469199</v>
      </c>
      <c r="L330" s="60">
        <f>VLOOKUP(B330,Tabelle1!$A$1:$C$351,3,FALSE)</f>
        <v>1807.8556716391299</v>
      </c>
      <c r="M330" s="29" t="s">
        <v>734</v>
      </c>
      <c r="N330" s="29" t="s">
        <v>87</v>
      </c>
      <c r="O330" s="29" t="s">
        <v>88</v>
      </c>
      <c r="P330" s="29" t="s">
        <v>89</v>
      </c>
      <c r="Q330" s="29" t="s">
        <v>677</v>
      </c>
      <c r="R330" s="30" t="s">
        <v>550</v>
      </c>
      <c r="S330" s="41" t="s">
        <v>85</v>
      </c>
      <c r="T330" s="41" t="s">
        <v>85</v>
      </c>
      <c r="U330" s="29" t="s">
        <v>178</v>
      </c>
    </row>
    <row r="331" spans="1:21" s="16" customFormat="1" ht="16.5" customHeight="1" x14ac:dyDescent="0.25">
      <c r="A331" s="17" t="s">
        <v>601</v>
      </c>
      <c r="B331" s="19" t="s">
        <v>531</v>
      </c>
      <c r="C331" s="16" t="s">
        <v>338</v>
      </c>
      <c r="D331" s="17" t="s">
        <v>589</v>
      </c>
      <c r="E331" s="16" t="s">
        <v>82</v>
      </c>
      <c r="F331" s="17" t="s">
        <v>302</v>
      </c>
      <c r="G331" s="24">
        <v>1596</v>
      </c>
      <c r="H331" s="24">
        <v>159.6</v>
      </c>
      <c r="I331" s="35" t="s">
        <v>85</v>
      </c>
      <c r="J331" s="35" t="s">
        <v>85</v>
      </c>
      <c r="K331" s="24">
        <f>VLOOKUP(B331,Tabelle1!$A$1:$C$351,2,FALSE)</f>
        <v>1609.2889780902899</v>
      </c>
      <c r="L331" s="24">
        <f>VLOOKUP(B331,Tabelle1!$A$1:$C$351,3,FALSE)</f>
        <v>148.12313616541601</v>
      </c>
      <c r="M331" s="16" t="s">
        <v>542</v>
      </c>
      <c r="N331" s="16" t="s">
        <v>752</v>
      </c>
      <c r="O331" s="16" t="s">
        <v>753</v>
      </c>
      <c r="P331" s="35" t="s">
        <v>85</v>
      </c>
      <c r="Q331" s="16" t="s">
        <v>754</v>
      </c>
      <c r="R331" s="17" t="s">
        <v>550</v>
      </c>
      <c r="S331" s="35" t="s">
        <v>85</v>
      </c>
      <c r="T331" s="35" t="s">
        <v>85</v>
      </c>
      <c r="U331" s="16" t="s">
        <v>538</v>
      </c>
    </row>
    <row r="332" spans="1:21" s="16" customFormat="1" ht="16.5" customHeight="1" x14ac:dyDescent="0.25">
      <c r="A332" s="17" t="s">
        <v>601</v>
      </c>
      <c r="B332" s="19" t="s">
        <v>532</v>
      </c>
      <c r="C332" s="16" t="s">
        <v>338</v>
      </c>
      <c r="D332" s="17" t="s">
        <v>589</v>
      </c>
      <c r="E332" s="16" t="s">
        <v>82</v>
      </c>
      <c r="F332" s="17" t="s">
        <v>302</v>
      </c>
      <c r="G332" s="16">
        <v>2992</v>
      </c>
      <c r="H332" s="16">
        <v>299.2</v>
      </c>
      <c r="I332" s="35" t="s">
        <v>85</v>
      </c>
      <c r="J332" s="35" t="s">
        <v>85</v>
      </c>
      <c r="K332" s="16">
        <f>VLOOKUP(B332,Tabelle1!$A$1:$C$351,2,FALSE)</f>
        <v>2996.5524993080298</v>
      </c>
      <c r="L332" s="16">
        <f>VLOOKUP(B332,Tabelle1!$A$1:$C$351,3,FALSE)</f>
        <v>293.81233519124601</v>
      </c>
      <c r="M332" s="16" t="s">
        <v>542</v>
      </c>
      <c r="N332" s="16" t="s">
        <v>752</v>
      </c>
      <c r="O332" s="16" t="s">
        <v>753</v>
      </c>
      <c r="P332" s="35" t="s">
        <v>85</v>
      </c>
      <c r="Q332" s="16" t="s">
        <v>755</v>
      </c>
      <c r="R332" s="17" t="s">
        <v>550</v>
      </c>
      <c r="S332" s="35" t="s">
        <v>85</v>
      </c>
      <c r="T332" s="35" t="s">
        <v>85</v>
      </c>
      <c r="U332" s="16" t="s">
        <v>538</v>
      </c>
    </row>
    <row r="333" spans="1:21" s="16" customFormat="1" ht="16.5" customHeight="1" x14ac:dyDescent="0.25">
      <c r="A333" s="17" t="s">
        <v>601</v>
      </c>
      <c r="B333" s="19" t="s">
        <v>533</v>
      </c>
      <c r="C333" s="16" t="s">
        <v>338</v>
      </c>
      <c r="D333" s="17" t="s">
        <v>589</v>
      </c>
      <c r="E333" s="16" t="s">
        <v>82</v>
      </c>
      <c r="F333" s="17" t="s">
        <v>302</v>
      </c>
      <c r="G333" s="16">
        <v>3006</v>
      </c>
      <c r="H333" s="16">
        <v>300.60000000000002</v>
      </c>
      <c r="I333" s="35" t="s">
        <v>85</v>
      </c>
      <c r="J333" s="35" t="s">
        <v>85</v>
      </c>
      <c r="K333" s="16">
        <f>VLOOKUP(B333,Tabelle1!$A$1:$C$351,2,FALSE)</f>
        <v>3025.7272073938002</v>
      </c>
      <c r="L333" s="16">
        <f>VLOOKUP(B333,Tabelle1!$A$1:$C$351,3,FALSE)</f>
        <v>298.113337666061</v>
      </c>
      <c r="M333" s="16" t="s">
        <v>542</v>
      </c>
      <c r="N333" s="16" t="s">
        <v>752</v>
      </c>
      <c r="O333" s="16" t="s">
        <v>753</v>
      </c>
      <c r="P333" s="35" t="s">
        <v>85</v>
      </c>
      <c r="Q333" s="16" t="s">
        <v>756</v>
      </c>
      <c r="R333" s="17" t="s">
        <v>550</v>
      </c>
      <c r="S333" s="35" t="s">
        <v>85</v>
      </c>
      <c r="T333" s="35" t="s">
        <v>85</v>
      </c>
      <c r="U333" s="16" t="s">
        <v>538</v>
      </c>
    </row>
    <row r="334" spans="1:21" s="27" customFormat="1" ht="16.5" customHeight="1" x14ac:dyDescent="0.25">
      <c r="A334" s="30" t="s">
        <v>601</v>
      </c>
      <c r="B334" s="21" t="s">
        <v>534</v>
      </c>
      <c r="C334" s="29" t="s">
        <v>338</v>
      </c>
      <c r="D334" s="30" t="s">
        <v>589</v>
      </c>
      <c r="E334" s="29" t="s">
        <v>82</v>
      </c>
      <c r="F334" s="30" t="s">
        <v>302</v>
      </c>
      <c r="G334" s="29">
        <v>168</v>
      </c>
      <c r="H334" s="29">
        <v>16.600000000000001</v>
      </c>
      <c r="I334" s="41" t="s">
        <v>85</v>
      </c>
      <c r="J334" s="41" t="s">
        <v>85</v>
      </c>
      <c r="K334" s="29">
        <f>VLOOKUP(B334,Tabelle1!$A$1:$C$351,2,FALSE)</f>
        <v>167.448017883348</v>
      </c>
      <c r="L334" s="29">
        <f>VLOOKUP(B334,Tabelle1!$A$1:$C$351,3,FALSE)</f>
        <v>16.815902062299799</v>
      </c>
      <c r="M334" s="29" t="s">
        <v>542</v>
      </c>
      <c r="N334" s="29" t="s">
        <v>752</v>
      </c>
      <c r="O334" s="29" t="s">
        <v>753</v>
      </c>
      <c r="P334" s="41" t="s">
        <v>85</v>
      </c>
      <c r="Q334" s="27" t="s">
        <v>757</v>
      </c>
      <c r="R334" s="30" t="s">
        <v>550</v>
      </c>
      <c r="S334" s="41" t="s">
        <v>85</v>
      </c>
      <c r="T334" s="41" t="s">
        <v>85</v>
      </c>
      <c r="U334" s="27" t="s">
        <v>538</v>
      </c>
    </row>
    <row r="335" spans="1:21" s="29" customFormat="1" ht="16.5" customHeight="1" x14ac:dyDescent="0.25">
      <c r="A335" s="30" t="s">
        <v>602</v>
      </c>
      <c r="B335" s="29" t="s">
        <v>134</v>
      </c>
      <c r="C335" s="29" t="s">
        <v>338</v>
      </c>
      <c r="D335" s="41" t="s">
        <v>195</v>
      </c>
      <c r="E335" s="29" t="s">
        <v>83</v>
      </c>
      <c r="F335" s="30" t="s">
        <v>302</v>
      </c>
      <c r="G335" s="29">
        <v>1.1000000000000001</v>
      </c>
      <c r="H335" s="29">
        <v>0.55000000000000004</v>
      </c>
      <c r="I335" s="47" t="s">
        <v>85</v>
      </c>
      <c r="J335" s="47" t="s">
        <v>85</v>
      </c>
      <c r="K335" s="29">
        <f>VLOOKUP(B335,Tabelle1!$A$1:$C$351,2,FALSE)</f>
        <v>2.0845524662699599</v>
      </c>
      <c r="L335" s="29">
        <f>VLOOKUP(B335,Tabelle1!$A$1:$C$351,3,FALSE)</f>
        <v>2.03460361457187</v>
      </c>
      <c r="M335" s="29" t="s">
        <v>548</v>
      </c>
      <c r="N335" s="41" t="s">
        <v>85</v>
      </c>
      <c r="O335" s="41" t="s">
        <v>85</v>
      </c>
      <c r="P335" s="41" t="s">
        <v>85</v>
      </c>
      <c r="Q335" s="41" t="s">
        <v>85</v>
      </c>
      <c r="R335" s="30" t="s">
        <v>550</v>
      </c>
      <c r="S335" s="41" t="s">
        <v>85</v>
      </c>
      <c r="T335" s="41" t="s">
        <v>85</v>
      </c>
      <c r="U335" s="29" t="s">
        <v>91</v>
      </c>
    </row>
    <row r="336" spans="1:21" s="16" customFormat="1" ht="16.5" customHeight="1" x14ac:dyDescent="0.25">
      <c r="A336" s="24" t="s">
        <v>603</v>
      </c>
      <c r="B336" s="8" t="s">
        <v>164</v>
      </c>
      <c r="C336" s="16" t="s">
        <v>338</v>
      </c>
      <c r="D336" s="8" t="s">
        <v>169</v>
      </c>
      <c r="E336" s="24" t="s">
        <v>193</v>
      </c>
      <c r="F336" s="16" t="s">
        <v>247</v>
      </c>
      <c r="G336" s="8">
        <v>0.36</v>
      </c>
      <c r="I336" s="49" t="s">
        <v>85</v>
      </c>
      <c r="J336" s="49" t="s">
        <v>85</v>
      </c>
      <c r="K336" s="49" t="s">
        <v>85</v>
      </c>
      <c r="L336" s="49" t="s">
        <v>85</v>
      </c>
      <c r="M336" s="19" t="s">
        <v>728</v>
      </c>
      <c r="N336" s="11"/>
      <c r="O336" s="11"/>
      <c r="P336" s="18" t="s">
        <v>679</v>
      </c>
      <c r="Q336" s="16" t="s">
        <v>651</v>
      </c>
      <c r="R336" s="17" t="s">
        <v>549</v>
      </c>
      <c r="S336" s="11"/>
      <c r="T336" s="11"/>
      <c r="U336" s="16" t="s">
        <v>178</v>
      </c>
    </row>
    <row r="337" spans="1:21" s="16" customFormat="1" ht="16.5" customHeight="1" x14ac:dyDescent="0.25">
      <c r="A337" s="24" t="s">
        <v>604</v>
      </c>
      <c r="B337" s="8" t="s">
        <v>165</v>
      </c>
      <c r="C337" s="16" t="s">
        <v>338</v>
      </c>
      <c r="D337" s="8" t="s">
        <v>170</v>
      </c>
      <c r="E337" s="24" t="s">
        <v>194</v>
      </c>
      <c r="F337" s="16" t="s">
        <v>247</v>
      </c>
      <c r="G337" s="8">
        <v>0.5</v>
      </c>
      <c r="I337" s="49" t="s">
        <v>85</v>
      </c>
      <c r="J337" s="49" t="s">
        <v>85</v>
      </c>
      <c r="K337" s="49" t="s">
        <v>85</v>
      </c>
      <c r="L337" s="49" t="s">
        <v>85</v>
      </c>
      <c r="M337" s="19" t="s">
        <v>728</v>
      </c>
      <c r="N337" s="11"/>
      <c r="O337" s="11"/>
      <c r="P337" s="18" t="s">
        <v>679</v>
      </c>
      <c r="Q337" s="16" t="s">
        <v>651</v>
      </c>
      <c r="R337" s="17" t="s">
        <v>549</v>
      </c>
      <c r="S337" s="11"/>
      <c r="T337" s="11"/>
      <c r="U337" s="16" t="s">
        <v>178</v>
      </c>
    </row>
    <row r="338" spans="1:21" s="16" customFormat="1" ht="16.5" customHeight="1" x14ac:dyDescent="0.25">
      <c r="A338" s="24" t="s">
        <v>605</v>
      </c>
      <c r="B338" s="8" t="s">
        <v>166</v>
      </c>
      <c r="C338" s="16" t="s">
        <v>338</v>
      </c>
      <c r="D338" s="8" t="s">
        <v>171</v>
      </c>
      <c r="E338" s="24" t="s">
        <v>190</v>
      </c>
      <c r="F338" s="16" t="s">
        <v>247</v>
      </c>
      <c r="G338" s="8">
        <v>7.0000000000000007E-2</v>
      </c>
      <c r="I338" s="49" t="s">
        <v>85</v>
      </c>
      <c r="J338" s="49" t="s">
        <v>85</v>
      </c>
      <c r="K338" s="49" t="s">
        <v>85</v>
      </c>
      <c r="L338" s="49" t="s">
        <v>85</v>
      </c>
      <c r="M338" s="19" t="s">
        <v>728</v>
      </c>
      <c r="N338" s="11"/>
      <c r="O338" s="11"/>
      <c r="P338" s="18" t="s">
        <v>679</v>
      </c>
      <c r="Q338" s="16" t="s">
        <v>651</v>
      </c>
      <c r="R338" s="17" t="s">
        <v>549</v>
      </c>
      <c r="S338" s="11"/>
      <c r="T338" s="11"/>
      <c r="U338" s="16" t="s">
        <v>178</v>
      </c>
    </row>
    <row r="339" spans="1:21" s="16" customFormat="1" ht="16.5" customHeight="1" x14ac:dyDescent="0.25">
      <c r="A339" s="24" t="s">
        <v>606</v>
      </c>
      <c r="B339" s="8" t="s">
        <v>167</v>
      </c>
      <c r="C339" s="16" t="s">
        <v>338</v>
      </c>
      <c r="D339" s="8" t="s">
        <v>172</v>
      </c>
      <c r="E339" s="24" t="s">
        <v>191</v>
      </c>
      <c r="F339" s="16" t="s">
        <v>247</v>
      </c>
      <c r="G339" s="8">
        <v>0.06</v>
      </c>
      <c r="I339" s="49" t="s">
        <v>85</v>
      </c>
      <c r="J339" s="49" t="s">
        <v>85</v>
      </c>
      <c r="K339" s="49" t="s">
        <v>85</v>
      </c>
      <c r="L339" s="49" t="s">
        <v>85</v>
      </c>
      <c r="M339" s="19" t="s">
        <v>728</v>
      </c>
      <c r="N339" s="11"/>
      <c r="O339" s="11"/>
      <c r="P339" s="18" t="s">
        <v>679</v>
      </c>
      <c r="Q339" s="16" t="s">
        <v>651</v>
      </c>
      <c r="R339" s="17" t="s">
        <v>549</v>
      </c>
      <c r="S339" s="11"/>
      <c r="T339" s="11"/>
      <c r="U339" s="16" t="s">
        <v>178</v>
      </c>
    </row>
    <row r="340" spans="1:21" s="16" customFormat="1" ht="16.5" customHeight="1" x14ac:dyDescent="0.25">
      <c r="A340" s="24" t="s">
        <v>607</v>
      </c>
      <c r="B340" s="8" t="s">
        <v>168</v>
      </c>
      <c r="C340" s="16" t="s">
        <v>338</v>
      </c>
      <c r="D340" s="8" t="s">
        <v>173</v>
      </c>
      <c r="E340" s="24" t="s">
        <v>192</v>
      </c>
      <c r="F340" s="16" t="s">
        <v>247</v>
      </c>
      <c r="G340" s="8">
        <v>0.01</v>
      </c>
      <c r="I340" s="49" t="s">
        <v>85</v>
      </c>
      <c r="J340" s="49" t="s">
        <v>85</v>
      </c>
      <c r="K340" s="49" t="s">
        <v>85</v>
      </c>
      <c r="L340" s="49" t="s">
        <v>85</v>
      </c>
      <c r="M340" s="19" t="s">
        <v>728</v>
      </c>
      <c r="N340" s="11"/>
      <c r="O340" s="11"/>
      <c r="P340" s="18" t="s">
        <v>679</v>
      </c>
      <c r="Q340" s="16" t="s">
        <v>651</v>
      </c>
      <c r="R340" s="17" t="s">
        <v>549</v>
      </c>
      <c r="S340" s="11"/>
      <c r="T340" s="11"/>
      <c r="U340" s="16" t="s">
        <v>178</v>
      </c>
    </row>
    <row r="341" spans="1:21" s="36" customFormat="1" ht="16.5" customHeight="1" x14ac:dyDescent="0.25">
      <c r="A341" s="6" t="s">
        <v>174</v>
      </c>
      <c r="G341" s="36" t="s">
        <v>188</v>
      </c>
      <c r="H341" s="36" t="s">
        <v>86</v>
      </c>
    </row>
    <row r="342" spans="1:21" s="18" customFormat="1" ht="16.5" customHeight="1" x14ac:dyDescent="0.25">
      <c r="A342" s="14" t="s">
        <v>629</v>
      </c>
      <c r="B342" s="18" t="s">
        <v>758</v>
      </c>
      <c r="C342" s="18" t="s">
        <v>189</v>
      </c>
      <c r="D342" s="57" t="s">
        <v>85</v>
      </c>
      <c r="E342" s="14" t="s">
        <v>184</v>
      </c>
      <c r="F342" s="18" t="s">
        <v>247</v>
      </c>
      <c r="G342" s="18">
        <v>1</v>
      </c>
      <c r="H342" s="58" t="s">
        <v>85</v>
      </c>
      <c r="I342" s="58" t="s">
        <v>85</v>
      </c>
      <c r="J342" s="58" t="s">
        <v>85</v>
      </c>
      <c r="K342" s="58" t="s">
        <v>85</v>
      </c>
      <c r="L342" s="58" t="s">
        <v>85</v>
      </c>
      <c r="M342" s="18" t="s">
        <v>772</v>
      </c>
      <c r="N342" s="58" t="s">
        <v>85</v>
      </c>
      <c r="O342" s="58" t="s">
        <v>85</v>
      </c>
      <c r="P342" s="58" t="s">
        <v>85</v>
      </c>
      <c r="Q342" s="58" t="s">
        <v>85</v>
      </c>
      <c r="R342" s="58" t="s">
        <v>85</v>
      </c>
      <c r="S342" s="58" t="s">
        <v>85</v>
      </c>
      <c r="T342" s="58" t="s">
        <v>85</v>
      </c>
      <c r="U342" s="18" t="s">
        <v>91</v>
      </c>
    </row>
    <row r="343" spans="1:21" s="23" customFormat="1" x14ac:dyDescent="0.25">
      <c r="A343" s="62" t="s">
        <v>185</v>
      </c>
      <c r="B343" s="62" t="s">
        <v>185</v>
      </c>
      <c r="C343" s="23" t="s">
        <v>189</v>
      </c>
      <c r="D343" s="62" t="s">
        <v>186</v>
      </c>
      <c r="E343" s="62" t="s">
        <v>187</v>
      </c>
      <c r="F343" s="23" t="s">
        <v>247</v>
      </c>
      <c r="G343" s="23">
        <v>0</v>
      </c>
      <c r="H343" s="63" t="s">
        <v>85</v>
      </c>
      <c r="I343" s="63" t="s">
        <v>85</v>
      </c>
      <c r="J343" s="63" t="s">
        <v>85</v>
      </c>
      <c r="K343" s="63" t="s">
        <v>85</v>
      </c>
      <c r="L343" s="63" t="s">
        <v>85</v>
      </c>
      <c r="M343" s="23" t="s">
        <v>772</v>
      </c>
      <c r="N343" s="63" t="s">
        <v>85</v>
      </c>
      <c r="O343" s="63" t="s">
        <v>85</v>
      </c>
      <c r="P343" s="63" t="s">
        <v>85</v>
      </c>
      <c r="Q343" s="63" t="s">
        <v>85</v>
      </c>
      <c r="R343" s="63" t="s">
        <v>85</v>
      </c>
      <c r="S343" s="63" t="s">
        <v>85</v>
      </c>
      <c r="T343" s="63" t="s">
        <v>85</v>
      </c>
      <c r="U343" s="23" t="s">
        <v>91</v>
      </c>
    </row>
  </sheetData>
  <autoFilter ref="A1:U343" xr:uid="{3F1A1382-BFBC-4520-AAAB-4E6FAD4677E8}"/>
  <sortState xmlns:xlrd2="http://schemas.microsoft.com/office/spreadsheetml/2017/richdata2" ref="A122:U135">
    <sortCondition ref="A122:A135"/>
    <sortCondition ref="B122:B135"/>
  </sortState>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C118-8A3D-4571-BB0D-00F58D8379D5}">
  <dimension ref="A1:L8"/>
  <sheetViews>
    <sheetView workbookViewId="0">
      <pane xSplit="1" ySplit="1" topLeftCell="C2" activePane="bottomRight" state="frozen"/>
      <selection pane="topRight" activeCell="B1" sqref="B1"/>
      <selection pane="bottomLeft" activeCell="A2" sqref="A2"/>
      <selection pane="bottomRight" activeCell="A11" sqref="A11"/>
    </sheetView>
  </sheetViews>
  <sheetFormatPr baseColWidth="10" defaultColWidth="9.140625" defaultRowHeight="15" x14ac:dyDescent="0.25"/>
  <cols>
    <col min="1" max="1" width="30" style="8" customWidth="1"/>
    <col min="2" max="2" width="41.140625" style="8" customWidth="1"/>
    <col min="3" max="3" width="9.140625" style="8"/>
    <col min="4" max="4" width="15.28515625" style="8" customWidth="1"/>
    <col min="5" max="5" width="19.85546875" style="8" customWidth="1"/>
    <col min="6" max="6" width="15.28515625" style="8" customWidth="1"/>
    <col min="7" max="7" width="18.7109375" style="8" customWidth="1"/>
    <col min="8" max="9" width="27" style="8" customWidth="1"/>
    <col min="10" max="10" width="19.85546875" style="8" customWidth="1"/>
    <col min="11" max="11" width="27.5703125" style="8" customWidth="1"/>
    <col min="12" max="12" width="27.42578125" style="8" customWidth="1"/>
    <col min="13" max="16384" width="9.140625" style="8"/>
  </cols>
  <sheetData>
    <row r="1" spans="1:12" s="12" customFormat="1" ht="81.75" customHeight="1" x14ac:dyDescent="0.25">
      <c r="A1" s="12" t="s">
        <v>29</v>
      </c>
      <c r="B1" s="12" t="s">
        <v>30</v>
      </c>
      <c r="C1" s="12" t="s">
        <v>31</v>
      </c>
      <c r="D1" s="12" t="s">
        <v>33</v>
      </c>
      <c r="E1" s="12" t="s">
        <v>32</v>
      </c>
      <c r="F1" s="12" t="s">
        <v>28</v>
      </c>
      <c r="G1" s="12" t="s">
        <v>14</v>
      </c>
      <c r="H1" s="12" t="s">
        <v>36</v>
      </c>
      <c r="I1" s="12" t="s">
        <v>72</v>
      </c>
      <c r="J1" s="12" t="s">
        <v>37</v>
      </c>
      <c r="K1" s="12" t="s">
        <v>38</v>
      </c>
      <c r="L1" s="12" t="s">
        <v>39</v>
      </c>
    </row>
    <row r="2" spans="1:12" x14ac:dyDescent="0.25">
      <c r="A2" s="8" t="s">
        <v>512</v>
      </c>
      <c r="B2" s="8" t="s">
        <v>511</v>
      </c>
      <c r="C2" s="8" t="s">
        <v>112</v>
      </c>
      <c r="D2" s="8" t="s">
        <v>519</v>
      </c>
      <c r="F2" s="8" t="s">
        <v>523</v>
      </c>
      <c r="G2" s="8" t="s">
        <v>524</v>
      </c>
      <c r="H2" s="8" t="s">
        <v>753</v>
      </c>
      <c r="I2" s="8" t="s">
        <v>763</v>
      </c>
      <c r="J2" s="8" t="s">
        <v>766</v>
      </c>
      <c r="K2" s="8" t="s">
        <v>770</v>
      </c>
      <c r="L2" s="8" t="s">
        <v>771</v>
      </c>
    </row>
    <row r="3" spans="1:12" x14ac:dyDescent="0.25">
      <c r="A3" s="8" t="s">
        <v>513</v>
      </c>
      <c r="B3" s="8" t="s">
        <v>511</v>
      </c>
      <c r="C3" s="8" t="s">
        <v>113</v>
      </c>
      <c r="D3" s="8" t="s">
        <v>519</v>
      </c>
      <c r="F3" s="8" t="s">
        <v>523</v>
      </c>
      <c r="G3" s="8" t="s">
        <v>524</v>
      </c>
      <c r="H3" s="8" t="s">
        <v>753</v>
      </c>
      <c r="I3" s="8" t="s">
        <v>763</v>
      </c>
      <c r="J3" s="8" t="s">
        <v>767</v>
      </c>
      <c r="K3" s="8" t="s">
        <v>769</v>
      </c>
      <c r="L3" s="8" t="s">
        <v>771</v>
      </c>
    </row>
    <row r="4" spans="1:12" x14ac:dyDescent="0.25">
      <c r="A4" s="8" t="s">
        <v>514</v>
      </c>
      <c r="B4" s="8" t="s">
        <v>511</v>
      </c>
      <c r="C4" s="8" t="s">
        <v>518</v>
      </c>
      <c r="D4" s="8" t="s">
        <v>521</v>
      </c>
      <c r="F4" s="8" t="s">
        <v>523</v>
      </c>
      <c r="G4" s="8" t="s">
        <v>542</v>
      </c>
      <c r="H4" s="8" t="s">
        <v>753</v>
      </c>
      <c r="I4" s="8" t="s">
        <v>760</v>
      </c>
      <c r="J4" s="8" t="s">
        <v>767</v>
      </c>
      <c r="K4" s="8" t="s">
        <v>768</v>
      </c>
      <c r="L4" s="8" t="s">
        <v>771</v>
      </c>
    </row>
    <row r="5" spans="1:12" x14ac:dyDescent="0.25">
      <c r="A5" s="8" t="s">
        <v>515</v>
      </c>
      <c r="B5" s="8" t="s">
        <v>511</v>
      </c>
      <c r="C5" s="8" t="s">
        <v>517</v>
      </c>
      <c r="D5" s="8" t="s">
        <v>520</v>
      </c>
      <c r="F5" s="8" t="s">
        <v>523</v>
      </c>
      <c r="G5" s="8" t="s">
        <v>542</v>
      </c>
      <c r="H5" s="8" t="s">
        <v>761</v>
      </c>
      <c r="I5" s="8" t="s">
        <v>762</v>
      </c>
      <c r="J5" s="8" t="s">
        <v>747</v>
      </c>
      <c r="K5" s="42" t="s">
        <v>85</v>
      </c>
      <c r="L5" s="8" t="s">
        <v>771</v>
      </c>
    </row>
    <row r="6" spans="1:12" x14ac:dyDescent="0.25">
      <c r="A6" s="8" t="s">
        <v>516</v>
      </c>
      <c r="B6" s="8" t="s">
        <v>511</v>
      </c>
      <c r="C6" s="8" t="s">
        <v>183</v>
      </c>
      <c r="D6" s="8" t="s">
        <v>522</v>
      </c>
      <c r="F6" s="8" t="s">
        <v>523</v>
      </c>
      <c r="G6" s="8" t="s">
        <v>542</v>
      </c>
      <c r="H6" s="8" t="s">
        <v>764</v>
      </c>
      <c r="I6" s="8" t="s">
        <v>760</v>
      </c>
      <c r="J6" s="8" t="s">
        <v>767</v>
      </c>
      <c r="K6" s="8" t="s">
        <v>765</v>
      </c>
      <c r="L6" s="8" t="s">
        <v>771</v>
      </c>
    </row>
    <row r="7" spans="1:12" x14ac:dyDescent="0.25">
      <c r="A7" s="14" t="s">
        <v>177</v>
      </c>
      <c r="B7" s="18" t="s">
        <v>189</v>
      </c>
      <c r="C7" s="18" t="s">
        <v>127</v>
      </c>
      <c r="D7" s="8" t="s">
        <v>759</v>
      </c>
      <c r="E7" s="14"/>
      <c r="F7" s="8" t="s">
        <v>523</v>
      </c>
      <c r="G7" s="8" t="s">
        <v>542</v>
      </c>
      <c r="H7" s="8" t="s">
        <v>753</v>
      </c>
      <c r="I7" s="8" t="s">
        <v>760</v>
      </c>
      <c r="J7" s="8" t="s">
        <v>747</v>
      </c>
      <c r="K7" s="42" t="s">
        <v>85</v>
      </c>
      <c r="L7" s="42" t="s">
        <v>85</v>
      </c>
    </row>
    <row r="8" spans="1:12" x14ac:dyDescent="0.25">
      <c r="A8" s="14" t="s">
        <v>179</v>
      </c>
      <c r="B8" s="18" t="s">
        <v>189</v>
      </c>
      <c r="C8" s="18" t="s">
        <v>127</v>
      </c>
      <c r="D8" s="8" t="s">
        <v>759</v>
      </c>
      <c r="E8" s="14"/>
      <c r="F8" s="8" t="s">
        <v>523</v>
      </c>
      <c r="G8" s="8" t="s">
        <v>542</v>
      </c>
      <c r="H8" s="8" t="s">
        <v>753</v>
      </c>
      <c r="I8" s="8" t="s">
        <v>760</v>
      </c>
      <c r="J8" s="8" t="s">
        <v>747</v>
      </c>
      <c r="K8" s="42" t="s">
        <v>85</v>
      </c>
      <c r="L8" s="42" t="s">
        <v>85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4C5F-D531-49F9-856F-3E3C3450FD49}">
  <dimension ref="A1:M21"/>
  <sheetViews>
    <sheetView workbookViewId="0">
      <pane xSplit="1" ySplit="1" topLeftCell="B2" activePane="bottomRight" state="frozen"/>
      <selection pane="topRight" activeCell="B1" sqref="B1"/>
      <selection pane="bottomLeft" activeCell="A2" sqref="A2"/>
      <selection pane="bottomRight" activeCell="G8" sqref="G8"/>
    </sheetView>
  </sheetViews>
  <sheetFormatPr baseColWidth="10" defaultColWidth="9.140625" defaultRowHeight="15" x14ac:dyDescent="0.25"/>
  <cols>
    <col min="1" max="1" width="17.85546875" style="8" customWidth="1"/>
    <col min="2" max="2" width="17.5703125" style="8" customWidth="1"/>
    <col min="3" max="3" width="9.140625" style="8"/>
    <col min="4" max="4" width="19.85546875" style="8" customWidth="1"/>
    <col min="5" max="5" width="11.140625" style="8" customWidth="1"/>
    <col min="6" max="6" width="15.28515625" style="8" customWidth="1"/>
    <col min="7" max="8" width="18.7109375" style="8" customWidth="1"/>
    <col min="9" max="10" width="27" style="8" customWidth="1"/>
    <col min="11" max="11" width="19.85546875" style="8" customWidth="1"/>
    <col min="12" max="12" width="27.5703125" style="8" customWidth="1"/>
    <col min="13" max="13" width="27.42578125" style="8" customWidth="1"/>
    <col min="14" max="16384" width="9.140625" style="8"/>
  </cols>
  <sheetData>
    <row r="1" spans="1:13" s="12" customFormat="1" ht="94.5" customHeight="1" x14ac:dyDescent="0.25">
      <c r="A1" s="12" t="s">
        <v>40</v>
      </c>
      <c r="B1" s="12" t="s">
        <v>19</v>
      </c>
      <c r="C1" s="12" t="s">
        <v>2</v>
      </c>
      <c r="D1" s="12" t="s">
        <v>9</v>
      </c>
      <c r="E1" s="12" t="s">
        <v>3</v>
      </c>
      <c r="F1" s="12" t="s">
        <v>12</v>
      </c>
      <c r="G1" s="12" t="s">
        <v>14</v>
      </c>
      <c r="H1" s="12" t="s">
        <v>15</v>
      </c>
      <c r="I1" s="12" t="s">
        <v>17</v>
      </c>
      <c r="J1" s="12" t="s">
        <v>72</v>
      </c>
      <c r="K1" s="12" t="s">
        <v>11</v>
      </c>
      <c r="L1" s="12" t="s">
        <v>4</v>
      </c>
      <c r="M1" s="12" t="s">
        <v>18</v>
      </c>
    </row>
    <row r="3" spans="1:13" x14ac:dyDescent="0.25">
      <c r="A3" s="9" t="s">
        <v>235</v>
      </c>
    </row>
    <row r="4" spans="1:13" x14ac:dyDescent="0.25">
      <c r="A4" s="8" t="s">
        <v>221</v>
      </c>
      <c r="B4" s="8" t="s">
        <v>227</v>
      </c>
      <c r="C4" s="8" t="s">
        <v>228</v>
      </c>
      <c r="D4" s="8" t="s">
        <v>230</v>
      </c>
      <c r="E4" s="8">
        <v>0.5</v>
      </c>
      <c r="F4" s="8" t="s">
        <v>229</v>
      </c>
      <c r="G4" s="8" t="s">
        <v>742</v>
      </c>
      <c r="H4" s="8" t="s">
        <v>741</v>
      </c>
      <c r="I4" s="42" t="s">
        <v>85</v>
      </c>
      <c r="J4" s="8" t="s">
        <v>746</v>
      </c>
      <c r="K4" s="8" t="s">
        <v>747</v>
      </c>
      <c r="L4" s="42" t="s">
        <v>85</v>
      </c>
      <c r="M4" s="42" t="s">
        <v>85</v>
      </c>
    </row>
    <row r="5" spans="1:13" x14ac:dyDescent="0.25">
      <c r="A5" s="8" t="s">
        <v>222</v>
      </c>
      <c r="B5" s="8" t="s">
        <v>227</v>
      </c>
      <c r="C5" s="8" t="s">
        <v>228</v>
      </c>
      <c r="D5" s="8" t="s">
        <v>233</v>
      </c>
      <c r="E5" s="8">
        <v>14.1</v>
      </c>
      <c r="F5" s="8" t="s">
        <v>237</v>
      </c>
      <c r="G5" s="8" t="s">
        <v>742</v>
      </c>
      <c r="H5" s="8" t="s">
        <v>740</v>
      </c>
      <c r="I5" s="42" t="s">
        <v>85</v>
      </c>
      <c r="J5" s="8" t="s">
        <v>746</v>
      </c>
      <c r="K5" s="8" t="s">
        <v>747</v>
      </c>
      <c r="L5" s="42" t="s">
        <v>85</v>
      </c>
      <c r="M5" s="42" t="s">
        <v>85</v>
      </c>
    </row>
    <row r="6" spans="1:13" x14ac:dyDescent="0.25">
      <c r="A6" s="8" t="s">
        <v>223</v>
      </c>
      <c r="B6" s="8" t="s">
        <v>227</v>
      </c>
      <c r="C6" s="8" t="s">
        <v>228</v>
      </c>
      <c r="D6" s="8" t="s">
        <v>231</v>
      </c>
      <c r="E6" s="8">
        <v>1.3</v>
      </c>
      <c r="F6" s="8" t="s">
        <v>238</v>
      </c>
      <c r="G6" s="8" t="s">
        <v>742</v>
      </c>
      <c r="H6" s="8" t="s">
        <v>743</v>
      </c>
      <c r="I6" s="42" t="s">
        <v>85</v>
      </c>
      <c r="J6" s="8" t="s">
        <v>746</v>
      </c>
      <c r="K6" s="8" t="s">
        <v>747</v>
      </c>
      <c r="L6" s="42" t="s">
        <v>85</v>
      </c>
      <c r="M6" s="42" t="s">
        <v>85</v>
      </c>
    </row>
    <row r="7" spans="1:13" x14ac:dyDescent="0.25">
      <c r="A7" s="8" t="s">
        <v>224</v>
      </c>
      <c r="B7" s="8" t="s">
        <v>227</v>
      </c>
      <c r="C7" s="8" t="s">
        <v>228</v>
      </c>
      <c r="D7" s="8" t="s">
        <v>232</v>
      </c>
      <c r="E7" s="8">
        <v>11</v>
      </c>
      <c r="G7" s="8" t="s">
        <v>742</v>
      </c>
      <c r="H7" s="8" t="s">
        <v>744</v>
      </c>
      <c r="I7" s="42" t="s">
        <v>85</v>
      </c>
      <c r="J7" s="8" t="s">
        <v>746</v>
      </c>
      <c r="K7" s="8" t="s">
        <v>747</v>
      </c>
      <c r="L7" s="42" t="s">
        <v>85</v>
      </c>
      <c r="M7" s="42" t="s">
        <v>85</v>
      </c>
    </row>
    <row r="8" spans="1:13" x14ac:dyDescent="0.25">
      <c r="A8" s="8" t="s">
        <v>225</v>
      </c>
      <c r="B8" s="8" t="s">
        <v>227</v>
      </c>
      <c r="C8" s="8" t="s">
        <v>239</v>
      </c>
      <c r="D8" s="8" t="s">
        <v>234</v>
      </c>
      <c r="E8" s="8">
        <v>6.0000000000000001E-3</v>
      </c>
      <c r="G8" s="8" t="s">
        <v>742</v>
      </c>
      <c r="H8" s="8" t="s">
        <v>745</v>
      </c>
      <c r="I8" s="42" t="s">
        <v>85</v>
      </c>
      <c r="J8" s="8" t="s">
        <v>746</v>
      </c>
      <c r="K8" s="8" t="s">
        <v>747</v>
      </c>
      <c r="L8" s="42" t="s">
        <v>85</v>
      </c>
      <c r="M8" s="42" t="s">
        <v>85</v>
      </c>
    </row>
    <row r="10" spans="1:13" x14ac:dyDescent="0.25">
      <c r="A10" s="9" t="s">
        <v>246</v>
      </c>
    </row>
    <row r="11" spans="1:13" x14ac:dyDescent="0.25">
      <c r="A11" s="8" t="s">
        <v>236</v>
      </c>
      <c r="B11" s="8" t="s">
        <v>240</v>
      </c>
      <c r="C11" s="8" t="s">
        <v>241</v>
      </c>
    </row>
    <row r="12" spans="1:13" x14ac:dyDescent="0.25">
      <c r="A12" s="8" t="s">
        <v>226</v>
      </c>
      <c r="B12" s="8" t="s">
        <v>244</v>
      </c>
      <c r="C12" s="8" t="s">
        <v>243</v>
      </c>
      <c r="D12" s="8" t="s">
        <v>242</v>
      </c>
      <c r="E12" s="8">
        <v>6</v>
      </c>
      <c r="G12" s="8" t="s">
        <v>245</v>
      </c>
    </row>
    <row r="13" spans="1:13" s="13" customFormat="1" x14ac:dyDescent="0.25">
      <c r="E13" s="13">
        <v>12</v>
      </c>
      <c r="G13" s="13" t="s">
        <v>209</v>
      </c>
      <c r="H13" s="13" t="s">
        <v>206</v>
      </c>
      <c r="I13" s="13" t="s">
        <v>208</v>
      </c>
      <c r="J13" s="13" t="s">
        <v>207</v>
      </c>
    </row>
    <row r="14" spans="1:13" s="13" customFormat="1" x14ac:dyDescent="0.25">
      <c r="E14" s="13">
        <v>6</v>
      </c>
      <c r="G14" s="13" t="s">
        <v>210</v>
      </c>
      <c r="H14" s="13" t="s">
        <v>211</v>
      </c>
    </row>
    <row r="15" spans="1:13" s="13" customFormat="1" x14ac:dyDescent="0.25">
      <c r="E15" s="13">
        <v>2.2999999999999998</v>
      </c>
      <c r="G15" s="13" t="s">
        <v>212</v>
      </c>
    </row>
    <row r="17" spans="1:1" x14ac:dyDescent="0.25">
      <c r="A17" s="9" t="s">
        <v>525</v>
      </c>
    </row>
    <row r="18" spans="1:1" x14ac:dyDescent="0.25">
      <c r="A18" s="8" t="s">
        <v>526</v>
      </c>
    </row>
    <row r="19" spans="1:1" x14ac:dyDescent="0.25">
      <c r="A19" s="8" t="s">
        <v>527</v>
      </c>
    </row>
    <row r="20" spans="1:1" x14ac:dyDescent="0.25">
      <c r="A20" s="8" t="s">
        <v>528</v>
      </c>
    </row>
    <row r="21" spans="1:1" x14ac:dyDescent="0.25">
      <c r="A21" s="8" t="s">
        <v>529</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7C53-EF9F-4CD6-8334-BFDF01599FFB}">
  <dimension ref="A1:D11"/>
  <sheetViews>
    <sheetView workbookViewId="0">
      <pane ySplit="1" topLeftCell="A2" activePane="bottomLeft" state="frozen"/>
      <selection pane="bottomLeft" activeCell="D48" sqref="D48"/>
    </sheetView>
  </sheetViews>
  <sheetFormatPr baseColWidth="10" defaultColWidth="9.140625" defaultRowHeight="15" x14ac:dyDescent="0.25"/>
  <cols>
    <col min="1" max="1" width="19" customWidth="1"/>
    <col min="2" max="2" width="37" customWidth="1"/>
    <col min="3" max="3" width="23.7109375" customWidth="1"/>
    <col min="4" max="4" width="44.85546875" customWidth="1"/>
  </cols>
  <sheetData>
    <row r="1" spans="1:4" s="1" customFormat="1" ht="69" customHeight="1" x14ac:dyDescent="0.25">
      <c r="A1" s="1" t="s">
        <v>56</v>
      </c>
      <c r="B1" s="1" t="s">
        <v>57</v>
      </c>
      <c r="C1" s="1" t="s">
        <v>58</v>
      </c>
      <c r="D1" s="1" t="s">
        <v>59</v>
      </c>
    </row>
    <row r="2" spans="1:4" x14ac:dyDescent="0.25">
      <c r="A2" s="4"/>
      <c r="B2" s="4"/>
      <c r="C2" s="4"/>
      <c r="D2" s="4"/>
    </row>
    <row r="3" spans="1:4" x14ac:dyDescent="0.25">
      <c r="A3" s="4"/>
      <c r="B3" s="4"/>
      <c r="C3" s="4"/>
      <c r="D3" s="4"/>
    </row>
    <row r="4" spans="1:4" x14ac:dyDescent="0.25">
      <c r="A4" s="4"/>
      <c r="B4" s="4"/>
      <c r="C4" s="4"/>
      <c r="D4" s="4"/>
    </row>
    <row r="5" spans="1:4" x14ac:dyDescent="0.25">
      <c r="A5" s="4"/>
      <c r="B5" s="4"/>
      <c r="C5" s="4"/>
      <c r="D5" s="4"/>
    </row>
    <row r="6" spans="1:4" x14ac:dyDescent="0.25">
      <c r="A6" s="4"/>
      <c r="B6" s="4"/>
      <c r="C6" s="4"/>
      <c r="D6" s="4"/>
    </row>
    <row r="7" spans="1:4" x14ac:dyDescent="0.25">
      <c r="A7" s="4"/>
      <c r="B7" s="4"/>
      <c r="C7" s="4"/>
      <c r="D7" s="4"/>
    </row>
    <row r="8" spans="1:4" x14ac:dyDescent="0.25">
      <c r="A8" s="4"/>
      <c r="B8" s="4"/>
      <c r="C8" s="4"/>
      <c r="D8" s="4"/>
    </row>
    <row r="9" spans="1:4" x14ac:dyDescent="0.25">
      <c r="A9" s="4"/>
      <c r="B9" s="4"/>
      <c r="C9" s="4"/>
      <c r="D9" s="4"/>
    </row>
    <row r="10" spans="1:4" x14ac:dyDescent="0.25">
      <c r="A10" s="4"/>
      <c r="B10" s="4"/>
      <c r="C10" s="4"/>
      <c r="D10" s="4"/>
    </row>
    <row r="11" spans="1:4" x14ac:dyDescent="0.25">
      <c r="A11" s="4"/>
      <c r="B11" s="4"/>
      <c r="C11" s="4"/>
      <c r="D1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579D-D7C5-4D3D-939B-AB6CD933F83A}">
  <dimension ref="A1:F351"/>
  <sheetViews>
    <sheetView topLeftCell="A129" workbookViewId="0">
      <selection activeCell="E159" sqref="E159:G175"/>
    </sheetView>
  </sheetViews>
  <sheetFormatPr baseColWidth="10" defaultRowHeight="15" x14ac:dyDescent="0.25"/>
  <cols>
    <col min="1" max="1" width="50.28515625" customWidth="1"/>
  </cols>
  <sheetData>
    <row r="1" spans="1:3" x14ac:dyDescent="0.25">
      <c r="B1" t="s">
        <v>724</v>
      </c>
      <c r="C1" t="s">
        <v>725</v>
      </c>
    </row>
    <row r="2" spans="1:3" x14ac:dyDescent="0.25">
      <c r="A2" t="s">
        <v>129</v>
      </c>
      <c r="B2">
        <v>0.93918975329077004</v>
      </c>
      <c r="C2">
        <v>3.4076240408578103E-2</v>
      </c>
    </row>
    <row r="3" spans="1:3" x14ac:dyDescent="0.25">
      <c r="A3" t="s">
        <v>130</v>
      </c>
      <c r="B3">
        <v>3754931555.18641</v>
      </c>
      <c r="C3">
        <v>1414940043.5355</v>
      </c>
    </row>
    <row r="4" spans="1:3" x14ac:dyDescent="0.25">
      <c r="A4" t="s">
        <v>131</v>
      </c>
      <c r="B4">
        <v>0.70672224918829096</v>
      </c>
      <c r="C4">
        <v>1.0139977832401999E-2</v>
      </c>
    </row>
    <row r="5" spans="1:3" x14ac:dyDescent="0.25">
      <c r="A5" t="s">
        <v>132</v>
      </c>
      <c r="B5">
        <v>0.69712102850933599</v>
      </c>
      <c r="C5">
        <v>7.1303222807803804E-3</v>
      </c>
    </row>
    <row r="6" spans="1:3" x14ac:dyDescent="0.25">
      <c r="A6" t="s">
        <v>133</v>
      </c>
      <c r="B6">
        <v>5247729521501960</v>
      </c>
      <c r="C6">
        <v>1704648769167990</v>
      </c>
    </row>
    <row r="7" spans="1:3" x14ac:dyDescent="0.25">
      <c r="A7" t="s">
        <v>134</v>
      </c>
      <c r="B7">
        <v>2.0845524662699599</v>
      </c>
      <c r="C7">
        <v>2.03460361457187</v>
      </c>
    </row>
    <row r="8" spans="1:3" x14ac:dyDescent="0.25">
      <c r="A8" t="s">
        <v>286</v>
      </c>
      <c r="B8">
        <v>188.67425898528299</v>
      </c>
      <c r="C8">
        <v>206.23149952664099</v>
      </c>
    </row>
    <row r="9" spans="1:3" x14ac:dyDescent="0.25">
      <c r="A9" t="s">
        <v>287</v>
      </c>
      <c r="B9">
        <v>165.153401636186</v>
      </c>
      <c r="C9">
        <v>160.98023637087601</v>
      </c>
    </row>
    <row r="10" spans="1:3" x14ac:dyDescent="0.25">
      <c r="A10" t="s">
        <v>288</v>
      </c>
      <c r="B10">
        <v>170.20159472020799</v>
      </c>
      <c r="C10">
        <v>170.64491759928899</v>
      </c>
    </row>
    <row r="11" spans="1:3" x14ac:dyDescent="0.25">
      <c r="A11" t="s">
        <v>289</v>
      </c>
      <c r="B11">
        <v>177.59850914738399</v>
      </c>
      <c r="C11">
        <v>217.74482462270899</v>
      </c>
    </row>
    <row r="12" spans="1:3" x14ac:dyDescent="0.25">
      <c r="A12" t="s">
        <v>290</v>
      </c>
      <c r="B12">
        <v>281.15750311752902</v>
      </c>
      <c r="C12">
        <v>290.48006044424602</v>
      </c>
    </row>
    <row r="13" spans="1:3" x14ac:dyDescent="0.25">
      <c r="A13" t="s">
        <v>291</v>
      </c>
      <c r="B13">
        <v>260.52282137392598</v>
      </c>
      <c r="C13">
        <v>245.71758168947099</v>
      </c>
    </row>
    <row r="14" spans="1:3" x14ac:dyDescent="0.25">
      <c r="A14" t="s">
        <v>292</v>
      </c>
      <c r="B14">
        <v>277.165977551639</v>
      </c>
      <c r="C14">
        <v>343.07217176718899</v>
      </c>
    </row>
    <row r="15" spans="1:3" x14ac:dyDescent="0.25">
      <c r="A15" t="s">
        <v>682</v>
      </c>
      <c r="B15">
        <v>51.8595654886117</v>
      </c>
      <c r="C15">
        <v>46.05834563706</v>
      </c>
    </row>
    <row r="16" spans="1:3" x14ac:dyDescent="0.25">
      <c r="A16" t="s">
        <v>683</v>
      </c>
      <c r="B16">
        <v>53.171500280916803</v>
      </c>
      <c r="C16">
        <v>56.402295337313497</v>
      </c>
    </row>
    <row r="17" spans="1:3" x14ac:dyDescent="0.25">
      <c r="A17" t="s">
        <v>135</v>
      </c>
      <c r="B17">
        <v>2.10451166227775</v>
      </c>
      <c r="C17">
        <v>0.85189692084660495</v>
      </c>
    </row>
    <row r="18" spans="1:3" x14ac:dyDescent="0.25">
      <c r="A18" t="s">
        <v>136</v>
      </c>
      <c r="B18">
        <v>0.59340901995455397</v>
      </c>
      <c r="C18">
        <v>0.47404312161910001</v>
      </c>
    </row>
    <row r="19" spans="1:3" x14ac:dyDescent="0.25">
      <c r="A19" t="s">
        <v>137</v>
      </c>
      <c r="B19">
        <v>5</v>
      </c>
      <c r="C19">
        <v>0</v>
      </c>
    </row>
    <row r="20" spans="1:3" x14ac:dyDescent="0.25">
      <c r="A20" t="s">
        <v>151</v>
      </c>
      <c r="B20">
        <v>0.36</v>
      </c>
      <c r="C20">
        <v>0</v>
      </c>
    </row>
    <row r="21" spans="1:3" x14ac:dyDescent="0.25">
      <c r="A21" t="s">
        <v>152</v>
      </c>
      <c r="B21">
        <v>0.5</v>
      </c>
      <c r="C21">
        <v>0</v>
      </c>
    </row>
    <row r="22" spans="1:3" x14ac:dyDescent="0.25">
      <c r="A22" t="s">
        <v>153</v>
      </c>
      <c r="B22">
        <v>7.0000000000000007E-2</v>
      </c>
      <c r="C22">
        <v>0</v>
      </c>
    </row>
    <row r="23" spans="1:3" x14ac:dyDescent="0.25">
      <c r="A23" t="s">
        <v>154</v>
      </c>
      <c r="B23">
        <v>0.06</v>
      </c>
      <c r="C23">
        <v>0</v>
      </c>
    </row>
    <row r="24" spans="1:3" x14ac:dyDescent="0.25">
      <c r="A24" t="s">
        <v>155</v>
      </c>
      <c r="B24">
        <v>0.01</v>
      </c>
      <c r="C24">
        <v>0</v>
      </c>
    </row>
    <row r="25" spans="1:3" x14ac:dyDescent="0.25">
      <c r="A25" t="s">
        <v>140</v>
      </c>
      <c r="B25">
        <v>0.36</v>
      </c>
      <c r="C25">
        <v>0</v>
      </c>
    </row>
    <row r="26" spans="1:3" x14ac:dyDescent="0.25">
      <c r="A26" t="s">
        <v>141</v>
      </c>
      <c r="B26">
        <v>0.5</v>
      </c>
      <c r="C26">
        <v>0</v>
      </c>
    </row>
    <row r="27" spans="1:3" x14ac:dyDescent="0.25">
      <c r="A27" t="s">
        <v>142</v>
      </c>
      <c r="B27">
        <v>7.0000000000000007E-2</v>
      </c>
      <c r="C27">
        <v>0</v>
      </c>
    </row>
    <row r="28" spans="1:3" x14ac:dyDescent="0.25">
      <c r="A28" t="s">
        <v>143</v>
      </c>
      <c r="B28">
        <v>0.06</v>
      </c>
      <c r="C28">
        <v>0</v>
      </c>
    </row>
    <row r="29" spans="1:3" x14ac:dyDescent="0.25">
      <c r="A29" t="s">
        <v>144</v>
      </c>
      <c r="B29">
        <v>0.01</v>
      </c>
      <c r="C29">
        <v>0</v>
      </c>
    </row>
    <row r="30" spans="1:3" x14ac:dyDescent="0.25">
      <c r="A30" t="s">
        <v>164</v>
      </c>
      <c r="B30">
        <v>0.36</v>
      </c>
      <c r="C30">
        <v>0</v>
      </c>
    </row>
    <row r="31" spans="1:3" x14ac:dyDescent="0.25">
      <c r="A31" t="s">
        <v>165</v>
      </c>
      <c r="B31">
        <v>0.5</v>
      </c>
      <c r="C31">
        <v>0</v>
      </c>
    </row>
    <row r="32" spans="1:3" x14ac:dyDescent="0.25">
      <c r="A32" t="s">
        <v>166</v>
      </c>
      <c r="B32">
        <v>7.0000000000000007E-2</v>
      </c>
      <c r="C32">
        <v>0</v>
      </c>
    </row>
    <row r="33" spans="1:3" x14ac:dyDescent="0.25">
      <c r="A33" t="s">
        <v>167</v>
      </c>
      <c r="B33">
        <v>0.06</v>
      </c>
      <c r="C33">
        <v>0</v>
      </c>
    </row>
    <row r="34" spans="1:3" x14ac:dyDescent="0.25">
      <c r="A34" t="s">
        <v>168</v>
      </c>
      <c r="B34">
        <v>0.01</v>
      </c>
      <c r="C34">
        <v>0</v>
      </c>
    </row>
    <row r="35" spans="1:3" x14ac:dyDescent="0.25">
      <c r="A35" t="s">
        <v>150</v>
      </c>
      <c r="B35">
        <v>22847.810866594398</v>
      </c>
      <c r="C35">
        <v>2477.30755621342</v>
      </c>
    </row>
    <row r="36" spans="1:3" x14ac:dyDescent="0.25">
      <c r="A36" t="s">
        <v>163</v>
      </c>
      <c r="B36">
        <v>20146.320069258702</v>
      </c>
      <c r="C36">
        <v>1997.22693987151</v>
      </c>
    </row>
    <row r="37" spans="1:3" x14ac:dyDescent="0.25">
      <c r="A37" t="s">
        <v>684</v>
      </c>
      <c r="B37">
        <v>18082.728018469199</v>
      </c>
      <c r="C37">
        <v>1807.8556716391299</v>
      </c>
    </row>
    <row r="38" spans="1:3" x14ac:dyDescent="0.25">
      <c r="A38" t="s">
        <v>139</v>
      </c>
      <c r="B38">
        <v>9.9825164947507095E-2</v>
      </c>
      <c r="C38">
        <v>2.9409875809674199E-3</v>
      </c>
    </row>
    <row r="39" spans="1:3" x14ac:dyDescent="0.25">
      <c r="A39" t="s">
        <v>138</v>
      </c>
      <c r="B39">
        <v>0.19949126879550799</v>
      </c>
      <c r="C39">
        <v>5.3786959155283304E-3</v>
      </c>
    </row>
    <row r="40" spans="1:3" x14ac:dyDescent="0.25">
      <c r="A40" t="s">
        <v>685</v>
      </c>
      <c r="B40">
        <v>0</v>
      </c>
      <c r="C40">
        <v>0</v>
      </c>
    </row>
    <row r="41" spans="1:3" x14ac:dyDescent="0.25">
      <c r="A41" t="s">
        <v>686</v>
      </c>
      <c r="B41">
        <v>0</v>
      </c>
      <c r="C41">
        <v>0</v>
      </c>
    </row>
    <row r="42" spans="1:3" x14ac:dyDescent="0.25">
      <c r="A42" t="s">
        <v>687</v>
      </c>
      <c r="B42">
        <v>0</v>
      </c>
      <c r="C42">
        <v>0</v>
      </c>
    </row>
    <row r="43" spans="1:3" x14ac:dyDescent="0.25">
      <c r="A43" t="s">
        <v>688</v>
      </c>
      <c r="B43">
        <v>0</v>
      </c>
      <c r="C43">
        <v>0</v>
      </c>
    </row>
    <row r="44" spans="1:3" x14ac:dyDescent="0.25">
      <c r="A44" t="s">
        <v>689</v>
      </c>
      <c r="B44">
        <v>0</v>
      </c>
      <c r="C44">
        <v>0</v>
      </c>
    </row>
    <row r="45" spans="1:3" x14ac:dyDescent="0.25">
      <c r="A45" t="s">
        <v>690</v>
      </c>
      <c r="B45">
        <v>0</v>
      </c>
      <c r="C45">
        <v>0</v>
      </c>
    </row>
    <row r="46" spans="1:3" x14ac:dyDescent="0.25">
      <c r="A46" t="s">
        <v>691</v>
      </c>
      <c r="B46">
        <v>0</v>
      </c>
      <c r="C46">
        <v>0</v>
      </c>
    </row>
    <row r="47" spans="1:3" x14ac:dyDescent="0.25">
      <c r="A47" t="s">
        <v>692</v>
      </c>
      <c r="B47">
        <v>0</v>
      </c>
      <c r="C47">
        <v>0</v>
      </c>
    </row>
    <row r="48" spans="1:3" x14ac:dyDescent="0.25">
      <c r="A48" t="s">
        <v>693</v>
      </c>
      <c r="B48">
        <v>0</v>
      </c>
      <c r="C48">
        <v>0</v>
      </c>
    </row>
    <row r="49" spans="1:3" x14ac:dyDescent="0.25">
      <c r="A49" t="s">
        <v>694</v>
      </c>
      <c r="B49">
        <v>0</v>
      </c>
      <c r="C49">
        <v>0</v>
      </c>
    </row>
    <row r="50" spans="1:3" x14ac:dyDescent="0.25">
      <c r="A50" t="s">
        <v>695</v>
      </c>
      <c r="B50">
        <v>0</v>
      </c>
      <c r="C50">
        <v>0</v>
      </c>
    </row>
    <row r="51" spans="1:3" x14ac:dyDescent="0.25">
      <c r="A51" t="s">
        <v>696</v>
      </c>
      <c r="B51">
        <v>0</v>
      </c>
      <c r="C51">
        <v>0</v>
      </c>
    </row>
    <row r="52" spans="1:3" x14ac:dyDescent="0.25">
      <c r="A52" t="s">
        <v>697</v>
      </c>
      <c r="B52">
        <v>0</v>
      </c>
      <c r="C52">
        <v>0</v>
      </c>
    </row>
    <row r="53" spans="1:3" x14ac:dyDescent="0.25">
      <c r="A53" t="s">
        <v>698</v>
      </c>
      <c r="B53">
        <v>0</v>
      </c>
      <c r="C53">
        <v>0</v>
      </c>
    </row>
    <row r="54" spans="1:3" x14ac:dyDescent="0.25">
      <c r="A54" t="s">
        <v>699</v>
      </c>
      <c r="B54">
        <v>0</v>
      </c>
      <c r="C54">
        <v>0</v>
      </c>
    </row>
    <row r="55" spans="1:3" x14ac:dyDescent="0.25">
      <c r="A55" t="s">
        <v>700</v>
      </c>
      <c r="B55">
        <v>0</v>
      </c>
      <c r="C55">
        <v>0</v>
      </c>
    </row>
    <row r="56" spans="1:3" x14ac:dyDescent="0.25">
      <c r="A56" t="s">
        <v>701</v>
      </c>
      <c r="B56">
        <v>0</v>
      </c>
      <c r="C56">
        <v>0</v>
      </c>
    </row>
    <row r="57" spans="1:3" x14ac:dyDescent="0.25">
      <c r="A57" t="s">
        <v>702</v>
      </c>
      <c r="B57">
        <v>0</v>
      </c>
      <c r="C57">
        <v>0</v>
      </c>
    </row>
    <row r="58" spans="1:3" x14ac:dyDescent="0.25">
      <c r="A58" t="s">
        <v>703</v>
      </c>
      <c r="B58">
        <v>0</v>
      </c>
      <c r="C58">
        <v>0</v>
      </c>
    </row>
    <row r="59" spans="1:3" x14ac:dyDescent="0.25">
      <c r="A59" t="s">
        <v>248</v>
      </c>
      <c r="B59" s="48">
        <v>1E-10</v>
      </c>
      <c r="C59">
        <v>0</v>
      </c>
    </row>
    <row r="60" spans="1:3" x14ac:dyDescent="0.25">
      <c r="A60" t="s">
        <v>249</v>
      </c>
      <c r="B60" s="48">
        <v>1E-10</v>
      </c>
      <c r="C60">
        <v>0</v>
      </c>
    </row>
    <row r="61" spans="1:3" x14ac:dyDescent="0.25">
      <c r="A61" t="s">
        <v>250</v>
      </c>
      <c r="B61" s="48">
        <v>1E-10</v>
      </c>
      <c r="C61">
        <v>0</v>
      </c>
    </row>
    <row r="62" spans="1:3" x14ac:dyDescent="0.25">
      <c r="A62" t="s">
        <v>251</v>
      </c>
      <c r="B62" s="48">
        <v>1E-10</v>
      </c>
      <c r="C62">
        <v>0</v>
      </c>
    </row>
    <row r="63" spans="1:3" x14ac:dyDescent="0.25">
      <c r="A63" t="s">
        <v>252</v>
      </c>
      <c r="B63" s="48">
        <v>9.9999999999999995E-8</v>
      </c>
      <c r="C63">
        <v>0</v>
      </c>
    </row>
    <row r="64" spans="1:3" x14ac:dyDescent="0.25">
      <c r="A64" t="s">
        <v>253</v>
      </c>
      <c r="B64" s="48">
        <v>9.9999999999999995E-8</v>
      </c>
      <c r="C64">
        <v>0</v>
      </c>
    </row>
    <row r="65" spans="1:3" x14ac:dyDescent="0.25">
      <c r="A65" t="s">
        <v>254</v>
      </c>
      <c r="B65" s="48">
        <v>9.9999999999999995E-8</v>
      </c>
      <c r="C65">
        <v>0</v>
      </c>
    </row>
    <row r="66" spans="1:3" x14ac:dyDescent="0.25">
      <c r="A66" t="s">
        <v>704</v>
      </c>
      <c r="B66">
        <v>0.01</v>
      </c>
      <c r="C66">
        <v>0</v>
      </c>
    </row>
    <row r="67" spans="1:3" x14ac:dyDescent="0.25">
      <c r="A67" t="s">
        <v>705</v>
      </c>
      <c r="B67">
        <v>0.01</v>
      </c>
      <c r="C67">
        <v>0</v>
      </c>
    </row>
    <row r="68" spans="1:3" x14ac:dyDescent="0.25">
      <c r="A68" t="s">
        <v>319</v>
      </c>
      <c r="B68" s="48">
        <v>2.0999999999999999E-5</v>
      </c>
      <c r="C68">
        <v>0</v>
      </c>
    </row>
    <row r="69" spans="1:3" x14ac:dyDescent="0.25">
      <c r="A69" t="s">
        <v>320</v>
      </c>
      <c r="B69" s="48">
        <v>6.7000000000000002E-6</v>
      </c>
      <c r="C69">
        <v>0</v>
      </c>
    </row>
    <row r="70" spans="1:3" x14ac:dyDescent="0.25">
      <c r="A70" t="s">
        <v>321</v>
      </c>
      <c r="B70">
        <v>1.02E-4</v>
      </c>
      <c r="C70">
        <v>0</v>
      </c>
    </row>
    <row r="71" spans="1:3" x14ac:dyDescent="0.25">
      <c r="A71" t="s">
        <v>322</v>
      </c>
      <c r="B71" s="48">
        <v>9.9999999999999995E-7</v>
      </c>
      <c r="C71">
        <v>0</v>
      </c>
    </row>
    <row r="72" spans="1:3" x14ac:dyDescent="0.25">
      <c r="A72" t="s">
        <v>323</v>
      </c>
      <c r="B72" s="48">
        <v>4.0000000000000003E-5</v>
      </c>
      <c r="C72">
        <v>0</v>
      </c>
    </row>
    <row r="73" spans="1:3" x14ac:dyDescent="0.25">
      <c r="A73" t="s">
        <v>324</v>
      </c>
      <c r="B73" s="48">
        <v>6.0000000000000002E-5</v>
      </c>
      <c r="C73">
        <v>0</v>
      </c>
    </row>
    <row r="74" spans="1:3" x14ac:dyDescent="0.25">
      <c r="A74" t="s">
        <v>325</v>
      </c>
      <c r="B74" s="48">
        <v>5.6000000000000004E-7</v>
      </c>
      <c r="C74">
        <v>0</v>
      </c>
    </row>
    <row r="75" spans="1:3" x14ac:dyDescent="0.25">
      <c r="A75" t="s">
        <v>326</v>
      </c>
      <c r="B75" s="48">
        <v>4.6000000000000002E-8</v>
      </c>
      <c r="C75">
        <v>0</v>
      </c>
    </row>
    <row r="76" spans="1:3" x14ac:dyDescent="0.25">
      <c r="A76" t="s">
        <v>327</v>
      </c>
      <c r="B76">
        <v>1.41E-3</v>
      </c>
      <c r="C76">
        <v>0</v>
      </c>
    </row>
    <row r="77" spans="1:3" x14ac:dyDescent="0.25">
      <c r="A77" t="s">
        <v>328</v>
      </c>
      <c r="B77">
        <v>5.2999999999999998E-4</v>
      </c>
      <c r="C77">
        <v>0</v>
      </c>
    </row>
    <row r="78" spans="1:3" x14ac:dyDescent="0.25">
      <c r="A78" t="s">
        <v>329</v>
      </c>
      <c r="B78">
        <v>1.16E-3</v>
      </c>
      <c r="C78">
        <v>0</v>
      </c>
    </row>
    <row r="79" spans="1:3" x14ac:dyDescent="0.25">
      <c r="A79" t="s">
        <v>330</v>
      </c>
      <c r="B79">
        <v>5.8E-4</v>
      </c>
      <c r="C79">
        <v>0</v>
      </c>
    </row>
    <row r="80" spans="1:3" x14ac:dyDescent="0.25">
      <c r="A80" t="s">
        <v>331</v>
      </c>
      <c r="B80">
        <v>2.2100000000000002E-3</v>
      </c>
      <c r="C80">
        <v>0</v>
      </c>
    </row>
    <row r="81" spans="1:3" x14ac:dyDescent="0.25">
      <c r="A81" t="s">
        <v>332</v>
      </c>
      <c r="B81">
        <v>8.5800000000000001E-2</v>
      </c>
      <c r="C81">
        <v>0</v>
      </c>
    </row>
    <row r="82" spans="1:3" x14ac:dyDescent="0.25">
      <c r="A82" t="s">
        <v>333</v>
      </c>
      <c r="B82">
        <v>5.3E-3</v>
      </c>
      <c r="C82">
        <v>0</v>
      </c>
    </row>
    <row r="83" spans="1:3" x14ac:dyDescent="0.25">
      <c r="A83" t="s">
        <v>334</v>
      </c>
      <c r="B83">
        <v>9.2599999999999991E-3</v>
      </c>
      <c r="C83">
        <v>0</v>
      </c>
    </row>
    <row r="84" spans="1:3" x14ac:dyDescent="0.25">
      <c r="A84" t="s">
        <v>335</v>
      </c>
      <c r="B84">
        <v>3.2399999999999998E-3</v>
      </c>
      <c r="C84">
        <v>0</v>
      </c>
    </row>
    <row r="85" spans="1:3" x14ac:dyDescent="0.25">
      <c r="A85" t="s">
        <v>336</v>
      </c>
      <c r="B85">
        <v>1.1299999999999999E-3</v>
      </c>
      <c r="C85">
        <v>0</v>
      </c>
    </row>
    <row r="86" spans="1:3" x14ac:dyDescent="0.25">
      <c r="A86" t="s">
        <v>337</v>
      </c>
      <c r="B86">
        <v>3.5E-4</v>
      </c>
      <c r="C86">
        <v>0</v>
      </c>
    </row>
    <row r="87" spans="1:3" x14ac:dyDescent="0.25">
      <c r="A87" t="s">
        <v>415</v>
      </c>
      <c r="B87">
        <v>5.2744129716611701E-2</v>
      </c>
      <c r="C87">
        <v>5.5701111170101897E-3</v>
      </c>
    </row>
    <row r="88" spans="1:3" x14ac:dyDescent="0.25">
      <c r="A88" t="s">
        <v>416</v>
      </c>
      <c r="B88">
        <v>1.94413322928981E-2</v>
      </c>
      <c r="C88">
        <v>2.0974553110882301E-3</v>
      </c>
    </row>
    <row r="89" spans="1:3" x14ac:dyDescent="0.25">
      <c r="A89" t="s">
        <v>417</v>
      </c>
      <c r="B89">
        <v>0.115163652676625</v>
      </c>
      <c r="C89">
        <v>1.17629365292651E-2</v>
      </c>
    </row>
    <row r="90" spans="1:3" x14ac:dyDescent="0.25">
      <c r="A90" t="s">
        <v>418</v>
      </c>
      <c r="B90">
        <v>5.2028759736046501E-3</v>
      </c>
      <c r="C90">
        <v>5.3439388084385595E-4</v>
      </c>
    </row>
    <row r="91" spans="1:3" x14ac:dyDescent="0.25">
      <c r="A91" t="s">
        <v>419</v>
      </c>
      <c r="B91">
        <v>0.37069309597958799</v>
      </c>
      <c r="C91">
        <v>3.4662711692210003E-2</v>
      </c>
    </row>
    <row r="92" spans="1:3" x14ac:dyDescent="0.25">
      <c r="A92" t="s">
        <v>420</v>
      </c>
      <c r="B92">
        <v>0.15181860644858799</v>
      </c>
      <c r="C92">
        <v>1.5869700235022099E-2</v>
      </c>
    </row>
    <row r="93" spans="1:3" x14ac:dyDescent="0.25">
      <c r="A93" t="s">
        <v>421</v>
      </c>
      <c r="B93">
        <v>0.32802698330395302</v>
      </c>
      <c r="C93">
        <v>3.11843203038203E-2</v>
      </c>
    </row>
    <row r="94" spans="1:3" x14ac:dyDescent="0.25">
      <c r="A94" t="s">
        <v>422</v>
      </c>
      <c r="B94">
        <v>0.29536099789194697</v>
      </c>
      <c r="C94">
        <v>2.9583088962546598E-2</v>
      </c>
    </row>
    <row r="95" spans="1:3" x14ac:dyDescent="0.25">
      <c r="A95" t="s">
        <v>423</v>
      </c>
      <c r="B95">
        <v>2.9947840364312899E-2</v>
      </c>
      <c r="C95">
        <v>2.9225006882736999E-3</v>
      </c>
    </row>
    <row r="96" spans="1:3" x14ac:dyDescent="0.25">
      <c r="A96" t="s">
        <v>424</v>
      </c>
      <c r="B96">
        <v>0.15620058163952999</v>
      </c>
      <c r="C96">
        <v>1.5316444854569299E-2</v>
      </c>
    </row>
    <row r="97" spans="1:3" x14ac:dyDescent="0.25">
      <c r="A97" t="s">
        <v>425</v>
      </c>
      <c r="B97">
        <v>6.4762714272131898E-3</v>
      </c>
      <c r="C97">
        <v>5.84422774784242E-4</v>
      </c>
    </row>
    <row r="98" spans="1:3" x14ac:dyDescent="0.25">
      <c r="A98" t="s">
        <v>426</v>
      </c>
      <c r="B98">
        <v>8.2869113031540403E-2</v>
      </c>
      <c r="C98">
        <v>8.4577004267426207E-3</v>
      </c>
    </row>
    <row r="99" spans="1:3" x14ac:dyDescent="0.25">
      <c r="A99" t="s">
        <v>427</v>
      </c>
      <c r="B99" t="s">
        <v>213</v>
      </c>
      <c r="C99" t="s">
        <v>213</v>
      </c>
    </row>
    <row r="100" spans="1:3" x14ac:dyDescent="0.25">
      <c r="A100" t="s">
        <v>428</v>
      </c>
      <c r="B100">
        <v>3.0885382915247998E-2</v>
      </c>
      <c r="C100">
        <v>3.23013465987418E-3</v>
      </c>
    </row>
    <row r="101" spans="1:3" x14ac:dyDescent="0.25">
      <c r="A101" t="s">
        <v>429</v>
      </c>
      <c r="B101">
        <v>1.24490834317288E-3</v>
      </c>
      <c r="C101">
        <v>1.2469284101149499E-4</v>
      </c>
    </row>
    <row r="102" spans="1:3" x14ac:dyDescent="0.25">
      <c r="A102" t="s">
        <v>430</v>
      </c>
      <c r="B102">
        <v>1.5765003516011501E-3</v>
      </c>
      <c r="C102">
        <v>1.6494328621632001E-4</v>
      </c>
    </row>
    <row r="103" spans="1:3" x14ac:dyDescent="0.25">
      <c r="A103" t="s">
        <v>431</v>
      </c>
      <c r="B103">
        <v>4.3083992469888002E-3</v>
      </c>
      <c r="C103">
        <v>4.33290470266662E-4</v>
      </c>
    </row>
    <row r="104" spans="1:3" x14ac:dyDescent="0.25">
      <c r="A104" t="s">
        <v>432</v>
      </c>
      <c r="B104">
        <v>0.13097066037428501</v>
      </c>
      <c r="C104">
        <v>1.3772588902653E-2</v>
      </c>
    </row>
    <row r="105" spans="1:3" x14ac:dyDescent="0.25">
      <c r="A105" t="s">
        <v>433</v>
      </c>
      <c r="B105">
        <v>6.9584340594451496E-2</v>
      </c>
      <c r="C105">
        <v>7.2285385036948199E-3</v>
      </c>
    </row>
    <row r="106" spans="1:3" x14ac:dyDescent="0.25">
      <c r="A106" t="s">
        <v>434</v>
      </c>
      <c r="B106">
        <v>9.7560945247757696E-3</v>
      </c>
      <c r="C106">
        <v>1.06254495650323E-3</v>
      </c>
    </row>
    <row r="107" spans="1:3" x14ac:dyDescent="0.25">
      <c r="A107" t="s">
        <v>435</v>
      </c>
      <c r="B107">
        <v>3.1856904400906702E-2</v>
      </c>
      <c r="C107">
        <v>3.1216776407941701E-3</v>
      </c>
    </row>
    <row r="108" spans="1:3" x14ac:dyDescent="0.25">
      <c r="A108" t="s">
        <v>436</v>
      </c>
      <c r="B108">
        <v>7.2323775064844303E-2</v>
      </c>
      <c r="C108">
        <v>7.1104385653969603E-3</v>
      </c>
    </row>
    <row r="109" spans="1:3" x14ac:dyDescent="0.25">
      <c r="A109" t="s">
        <v>437</v>
      </c>
      <c r="B109">
        <v>9.2307643323207594E-2</v>
      </c>
      <c r="C109">
        <v>9.02451660557212E-3</v>
      </c>
    </row>
    <row r="110" spans="1:3" x14ac:dyDescent="0.25">
      <c r="A110" t="s">
        <v>438</v>
      </c>
      <c r="B110">
        <v>9.44996401448704E-3</v>
      </c>
      <c r="C110">
        <v>8.9272398083110199E-4</v>
      </c>
    </row>
    <row r="111" spans="1:3" x14ac:dyDescent="0.25">
      <c r="A111" t="s">
        <v>439</v>
      </c>
      <c r="B111" t="s">
        <v>213</v>
      </c>
      <c r="C111" t="s">
        <v>213</v>
      </c>
    </row>
    <row r="112" spans="1:3" x14ac:dyDescent="0.25">
      <c r="A112" t="s">
        <v>440</v>
      </c>
      <c r="B112" t="s">
        <v>213</v>
      </c>
      <c r="C112" t="s">
        <v>213</v>
      </c>
    </row>
    <row r="113" spans="1:3" x14ac:dyDescent="0.25">
      <c r="A113" t="s">
        <v>441</v>
      </c>
      <c r="B113">
        <v>1.2137761372409E-2</v>
      </c>
      <c r="C113">
        <v>1.2252439109941499E-3</v>
      </c>
    </row>
    <row r="114" spans="1:3" x14ac:dyDescent="0.25">
      <c r="A114" t="s">
        <v>442</v>
      </c>
      <c r="B114" t="s">
        <v>213</v>
      </c>
      <c r="C114" t="s">
        <v>213</v>
      </c>
    </row>
    <row r="115" spans="1:3" x14ac:dyDescent="0.25">
      <c r="A115" t="s">
        <v>443</v>
      </c>
      <c r="B115">
        <v>0.122852988390759</v>
      </c>
      <c r="C115">
        <v>1.26141634249252E-2</v>
      </c>
    </row>
    <row r="116" spans="1:3" x14ac:dyDescent="0.25">
      <c r="A116" t="s">
        <v>444</v>
      </c>
      <c r="B116">
        <v>8.2784190417014597E-2</v>
      </c>
      <c r="C116">
        <v>8.0282909781627596E-3</v>
      </c>
    </row>
    <row r="117" spans="1:3" x14ac:dyDescent="0.25">
      <c r="A117" t="s">
        <v>445</v>
      </c>
      <c r="B117">
        <v>0.430904243614885</v>
      </c>
      <c r="C117">
        <v>4.2244765609760003E-2</v>
      </c>
    </row>
    <row r="118" spans="1:3" x14ac:dyDescent="0.25">
      <c r="A118" t="s">
        <v>446</v>
      </c>
      <c r="B118">
        <v>5.7570259577803699E-2</v>
      </c>
      <c r="C118">
        <v>5.7763893764656996E-3</v>
      </c>
    </row>
    <row r="119" spans="1:3" x14ac:dyDescent="0.25">
      <c r="A119" t="s">
        <v>447</v>
      </c>
      <c r="B119" t="s">
        <v>213</v>
      </c>
      <c r="C119" t="s">
        <v>213</v>
      </c>
    </row>
    <row r="120" spans="1:3" x14ac:dyDescent="0.25">
      <c r="A120" t="s">
        <v>448</v>
      </c>
      <c r="B120">
        <v>1.02290386574782</v>
      </c>
      <c r="C120">
        <v>9.5848895159174302E-2</v>
      </c>
    </row>
    <row r="121" spans="1:3" x14ac:dyDescent="0.25">
      <c r="A121" t="s">
        <v>449</v>
      </c>
      <c r="B121">
        <v>0.286934559213192</v>
      </c>
      <c r="C121">
        <v>2.7456955358134801E-2</v>
      </c>
    </row>
    <row r="122" spans="1:3" x14ac:dyDescent="0.25">
      <c r="A122" t="s">
        <v>450</v>
      </c>
      <c r="B122">
        <v>0.288261157018178</v>
      </c>
      <c r="C122">
        <v>2.5851906979507702E-2</v>
      </c>
    </row>
    <row r="123" spans="1:3" x14ac:dyDescent="0.25">
      <c r="A123" t="s">
        <v>451</v>
      </c>
      <c r="B123" t="s">
        <v>213</v>
      </c>
      <c r="C123" t="s">
        <v>213</v>
      </c>
    </row>
    <row r="124" spans="1:3" x14ac:dyDescent="0.25">
      <c r="A124" t="s">
        <v>452</v>
      </c>
      <c r="B124">
        <v>2.0324364609882101E-2</v>
      </c>
      <c r="C124">
        <v>2.0858039281634998E-3</v>
      </c>
    </row>
    <row r="125" spans="1:3" x14ac:dyDescent="0.25">
      <c r="A125" t="s">
        <v>453</v>
      </c>
      <c r="B125">
        <v>2.4231003344493299E-2</v>
      </c>
      <c r="C125">
        <v>2.31444039822411E-3</v>
      </c>
    </row>
    <row r="126" spans="1:3" x14ac:dyDescent="0.25">
      <c r="A126" t="s">
        <v>454</v>
      </c>
      <c r="B126" t="s">
        <v>213</v>
      </c>
      <c r="C126" t="s">
        <v>213</v>
      </c>
    </row>
    <row r="127" spans="1:3" x14ac:dyDescent="0.25">
      <c r="A127" t="s">
        <v>455</v>
      </c>
      <c r="B127">
        <v>1.26668957395848</v>
      </c>
      <c r="C127">
        <v>0.13629279158426699</v>
      </c>
    </row>
    <row r="128" spans="1:3" x14ac:dyDescent="0.25">
      <c r="A128" t="s">
        <v>456</v>
      </c>
      <c r="B128">
        <v>2.7631149343645802</v>
      </c>
      <c r="C128">
        <v>0.25098454405910497</v>
      </c>
    </row>
    <row r="129" spans="1:3" x14ac:dyDescent="0.25">
      <c r="A129" t="s">
        <v>457</v>
      </c>
      <c r="B129">
        <v>1.33837845520081</v>
      </c>
      <c r="C129">
        <v>0.134327198329456</v>
      </c>
    </row>
    <row r="130" spans="1:3" x14ac:dyDescent="0.25">
      <c r="A130" t="s">
        <v>458</v>
      </c>
      <c r="B130">
        <v>1.53785029021246</v>
      </c>
      <c r="C130">
        <v>0.15044330855252599</v>
      </c>
    </row>
    <row r="131" spans="1:3" x14ac:dyDescent="0.25">
      <c r="A131" t="s">
        <v>459</v>
      </c>
      <c r="B131">
        <v>0.29094644858524599</v>
      </c>
      <c r="C131">
        <v>2.8118249563834099E-2</v>
      </c>
    </row>
    <row r="132" spans="1:3" x14ac:dyDescent="0.25">
      <c r="A132" t="s">
        <v>460</v>
      </c>
      <c r="B132">
        <v>7.7601908537548295E-2</v>
      </c>
      <c r="C132">
        <v>7.5475032783572597E-3</v>
      </c>
    </row>
    <row r="133" spans="1:3" x14ac:dyDescent="0.25">
      <c r="A133" t="s">
        <v>461</v>
      </c>
      <c r="B133">
        <v>0.19907255469430199</v>
      </c>
      <c r="C133">
        <v>2.0038818177077099E-2</v>
      </c>
    </row>
    <row r="134" spans="1:3" x14ac:dyDescent="0.25">
      <c r="A134" t="s">
        <v>462</v>
      </c>
      <c r="B134">
        <v>5.7926138369771001E-2</v>
      </c>
      <c r="C134">
        <v>5.5964875278147102E-3</v>
      </c>
    </row>
    <row r="135" spans="1:3" x14ac:dyDescent="0.25">
      <c r="A135" t="s">
        <v>463</v>
      </c>
      <c r="B135">
        <v>0.14855090522779299</v>
      </c>
      <c r="C135">
        <v>1.58794963636275E-2</v>
      </c>
    </row>
    <row r="136" spans="1:3" x14ac:dyDescent="0.25">
      <c r="A136" t="s">
        <v>464</v>
      </c>
      <c r="B136">
        <v>8.92011976541211E-2</v>
      </c>
      <c r="C136">
        <v>9.5342562387653994E-3</v>
      </c>
    </row>
    <row r="137" spans="1:3" x14ac:dyDescent="0.25">
      <c r="A137" t="s">
        <v>465</v>
      </c>
      <c r="B137">
        <v>0.118770362958753</v>
      </c>
      <c r="C137">
        <v>1.1993369868719499E-2</v>
      </c>
    </row>
    <row r="138" spans="1:3" x14ac:dyDescent="0.25">
      <c r="A138" t="s">
        <v>466</v>
      </c>
      <c r="B138">
        <v>0.19491685473860201</v>
      </c>
      <c r="C138">
        <v>1.87539067741293E-2</v>
      </c>
    </row>
    <row r="139" spans="1:3" x14ac:dyDescent="0.25">
      <c r="A139" t="s">
        <v>467</v>
      </c>
      <c r="B139">
        <v>0.30166827163857401</v>
      </c>
      <c r="C139">
        <v>3.1815561200710801E-2</v>
      </c>
    </row>
    <row r="140" spans="1:3" x14ac:dyDescent="0.25">
      <c r="A140" t="s">
        <v>468</v>
      </c>
      <c r="B140">
        <v>0.50779623164004295</v>
      </c>
      <c r="C140">
        <v>5.01406976431822E-2</v>
      </c>
    </row>
    <row r="141" spans="1:3" x14ac:dyDescent="0.25">
      <c r="A141" t="s">
        <v>469</v>
      </c>
      <c r="B141">
        <v>9.1908514991270604E-2</v>
      </c>
      <c r="C141">
        <v>8.6885502283009907E-3</v>
      </c>
    </row>
    <row r="142" spans="1:3" x14ac:dyDescent="0.25">
      <c r="A142" t="s">
        <v>470</v>
      </c>
      <c r="B142">
        <v>0.244034409849507</v>
      </c>
      <c r="C142">
        <v>2.4197754405982101E-2</v>
      </c>
    </row>
    <row r="143" spans="1:3" x14ac:dyDescent="0.25">
      <c r="A143" t="s">
        <v>471</v>
      </c>
      <c r="B143">
        <v>2.07186428631378E-2</v>
      </c>
      <c r="C143">
        <v>2.2171201697617402E-3</v>
      </c>
    </row>
    <row r="144" spans="1:3" x14ac:dyDescent="0.25">
      <c r="A144" t="s">
        <v>472</v>
      </c>
      <c r="B144">
        <v>2.50984460645618E-2</v>
      </c>
      <c r="C144">
        <v>2.3463194091394102E-3</v>
      </c>
    </row>
    <row r="145" spans="1:6" x14ac:dyDescent="0.25">
      <c r="A145" t="s">
        <v>473</v>
      </c>
      <c r="B145">
        <v>6.7437739391016202E-2</v>
      </c>
      <c r="C145">
        <v>6.8493283449386202E-3</v>
      </c>
    </row>
    <row r="146" spans="1:6" x14ac:dyDescent="0.25">
      <c r="A146" t="s">
        <v>474</v>
      </c>
      <c r="B146">
        <v>3.558223264602E-2</v>
      </c>
      <c r="C146">
        <v>3.4008447275105402E-3</v>
      </c>
    </row>
    <row r="147" spans="1:6" x14ac:dyDescent="0.25">
      <c r="A147" t="s">
        <v>257</v>
      </c>
      <c r="B147">
        <v>5.9877410903277197E-3</v>
      </c>
      <c r="C147">
        <v>5.7487970464014998E-4</v>
      </c>
    </row>
    <row r="148" spans="1:6" x14ac:dyDescent="0.25">
      <c r="A148" t="s">
        <v>258</v>
      </c>
      <c r="B148">
        <v>2.7080684561305801E-2</v>
      </c>
      <c r="C148">
        <v>2.3715166257435201E-3</v>
      </c>
    </row>
    <row r="149" spans="1:6" x14ac:dyDescent="0.25">
      <c r="A149" t="s">
        <v>259</v>
      </c>
      <c r="B149">
        <v>2.0912208864167999E-2</v>
      </c>
      <c r="C149">
        <v>1.9568976602976598E-3</v>
      </c>
    </row>
    <row r="150" spans="1:6" x14ac:dyDescent="0.25">
      <c r="A150" t="s">
        <v>260</v>
      </c>
      <c r="B150">
        <v>1.4897069831275899E-2</v>
      </c>
      <c r="C150">
        <v>1.4932280689413701E-3</v>
      </c>
    </row>
    <row r="151" spans="1:6" x14ac:dyDescent="0.25">
      <c r="A151" t="s">
        <v>261</v>
      </c>
      <c r="B151">
        <v>5.1025449153715499E-2</v>
      </c>
      <c r="C151">
        <v>5.3215382640256596E-3</v>
      </c>
    </row>
    <row r="152" spans="1:6" x14ac:dyDescent="0.25">
      <c r="A152" t="s">
        <v>262</v>
      </c>
      <c r="B152">
        <v>5.36440485069727E-2</v>
      </c>
      <c r="C152">
        <v>4.9945186144118303E-3</v>
      </c>
    </row>
    <row r="153" spans="1:6" x14ac:dyDescent="0.25">
      <c r="A153" t="s">
        <v>263</v>
      </c>
      <c r="B153">
        <v>0.107232418314987</v>
      </c>
      <c r="C153">
        <v>1.0504032766695599E-2</v>
      </c>
    </row>
    <row r="154" spans="1:6" x14ac:dyDescent="0.25">
      <c r="A154" t="s">
        <v>264</v>
      </c>
      <c r="B154">
        <v>3.8609900100224102E-2</v>
      </c>
      <c r="C154">
        <v>4.0600096139742203E-3</v>
      </c>
    </row>
    <row r="155" spans="1:6" x14ac:dyDescent="0.25">
      <c r="A155" t="s">
        <v>265</v>
      </c>
      <c r="B155">
        <v>5.0344331575726098E-2</v>
      </c>
      <c r="C155">
        <v>5.2724706982629098E-3</v>
      </c>
    </row>
    <row r="156" spans="1:6" x14ac:dyDescent="0.25">
      <c r="A156" t="s">
        <v>266</v>
      </c>
      <c r="B156">
        <v>0.12927168170973499</v>
      </c>
      <c r="C156">
        <v>1.30728828098409E-2</v>
      </c>
    </row>
    <row r="157" spans="1:6" x14ac:dyDescent="0.25">
      <c r="A157" t="s">
        <v>267</v>
      </c>
      <c r="B157">
        <v>9.3496057757604001E-2</v>
      </c>
      <c r="C157">
        <v>8.8954024652263299E-3</v>
      </c>
    </row>
    <row r="158" spans="1:6" x14ac:dyDescent="0.25">
      <c r="A158" t="s">
        <v>268</v>
      </c>
      <c r="B158">
        <v>7.7913355813441706E-2</v>
      </c>
      <c r="C158">
        <v>7.8168528171061995E-3</v>
      </c>
    </row>
    <row r="159" spans="1:6" x14ac:dyDescent="0.25">
      <c r="A159" t="s">
        <v>269</v>
      </c>
      <c r="B159" s="48">
        <v>5.7926255967846599E-3</v>
      </c>
      <c r="C159" s="48">
        <v>5.8310778861461591E-4</v>
      </c>
      <c r="E159" s="48"/>
      <c r="F159" s="48"/>
    </row>
    <row r="160" spans="1:6" x14ac:dyDescent="0.25">
      <c r="A160" t="s">
        <v>270</v>
      </c>
      <c r="B160" s="48">
        <v>9.1953575135384588E-2</v>
      </c>
      <c r="C160" s="48">
        <v>8.7426929393602092E-3</v>
      </c>
      <c r="E160" s="48"/>
      <c r="F160" s="48"/>
    </row>
    <row r="161" spans="1:6" x14ac:dyDescent="0.25">
      <c r="A161" t="s">
        <v>271</v>
      </c>
      <c r="B161" s="48">
        <v>6.2485874959716504E-2</v>
      </c>
      <c r="C161" s="48">
        <v>6.3566266279342599E-3</v>
      </c>
      <c r="E161" s="48"/>
      <c r="F161" s="48"/>
    </row>
    <row r="162" spans="1:6" x14ac:dyDescent="0.25">
      <c r="A162" t="s">
        <v>272</v>
      </c>
      <c r="B162" s="48">
        <v>2.0980194272733402E-2</v>
      </c>
      <c r="C162" s="48">
        <v>2.0834482866244901E-3</v>
      </c>
      <c r="E162" s="48"/>
      <c r="F162" s="48"/>
    </row>
    <row r="163" spans="1:6" x14ac:dyDescent="0.25">
      <c r="A163" t="s">
        <v>273</v>
      </c>
      <c r="B163" s="48">
        <v>7.1066918609331606E-2</v>
      </c>
      <c r="C163" s="48">
        <v>6.8777105051631192E-3</v>
      </c>
      <c r="E163" s="48"/>
      <c r="F163" s="48"/>
    </row>
    <row r="164" spans="1:6" x14ac:dyDescent="0.25">
      <c r="A164" t="s">
        <v>274</v>
      </c>
      <c r="B164" s="48">
        <v>0.24078280696107598</v>
      </c>
      <c r="C164" s="48">
        <v>2.3960560814330699E-2</v>
      </c>
      <c r="F164" s="48"/>
    </row>
    <row r="165" spans="1:6" x14ac:dyDescent="0.25">
      <c r="A165" t="s">
        <v>275</v>
      </c>
      <c r="B165" s="48">
        <v>0.140271620720577</v>
      </c>
      <c r="C165" s="48">
        <v>1.4351561952351299E-2</v>
      </c>
      <c r="F165" s="48"/>
    </row>
    <row r="166" spans="1:6" x14ac:dyDescent="0.25">
      <c r="A166" t="s">
        <v>276</v>
      </c>
      <c r="B166" s="48">
        <v>5.8895687751474801E-2</v>
      </c>
      <c r="C166" s="48">
        <v>5.6638771247787996E-3</v>
      </c>
      <c r="E166" s="48"/>
      <c r="F166" s="48"/>
    </row>
    <row r="167" spans="1:6" x14ac:dyDescent="0.25">
      <c r="A167" t="s">
        <v>277</v>
      </c>
      <c r="B167" s="48">
        <v>0.10730239666386701</v>
      </c>
      <c r="C167" s="48">
        <v>9.9758311090976104E-3</v>
      </c>
      <c r="F167" s="48"/>
    </row>
    <row r="168" spans="1:6" x14ac:dyDescent="0.25">
      <c r="A168" t="s">
        <v>278</v>
      </c>
      <c r="B168" s="48">
        <v>0.201272826012726</v>
      </c>
      <c r="C168" s="48">
        <v>1.9504214752038999E-2</v>
      </c>
      <c r="F168" s="48"/>
    </row>
    <row r="169" spans="1:6" x14ac:dyDescent="0.25">
      <c r="A169" t="s">
        <v>279</v>
      </c>
      <c r="B169" s="48">
        <v>8.5282648089968396E-2</v>
      </c>
      <c r="C169" s="48">
        <v>8.7548231717865296E-3</v>
      </c>
      <c r="E169" s="48"/>
      <c r="F169" s="48"/>
    </row>
    <row r="170" spans="1:6" x14ac:dyDescent="0.25">
      <c r="A170" t="s">
        <v>280</v>
      </c>
      <c r="B170" s="48">
        <v>5.1420651787495997E-2</v>
      </c>
      <c r="C170" s="48">
        <v>5.1992568814019004E-3</v>
      </c>
      <c r="E170" s="48"/>
      <c r="F170" s="48"/>
    </row>
    <row r="171" spans="1:6" x14ac:dyDescent="0.25">
      <c r="A171" t="s">
        <v>281</v>
      </c>
      <c r="B171" s="48">
        <v>5.6874915671235197E-2</v>
      </c>
      <c r="C171" s="48">
        <v>5.8231347158435205E-3</v>
      </c>
      <c r="E171" s="48"/>
      <c r="F171" s="48"/>
    </row>
    <row r="172" spans="1:6" x14ac:dyDescent="0.25">
      <c r="A172" t="s">
        <v>282</v>
      </c>
      <c r="B172" s="48">
        <v>0.18547793608965199</v>
      </c>
      <c r="C172" s="48">
        <v>1.8715964647063703E-2</v>
      </c>
      <c r="F172" s="48"/>
    </row>
    <row r="173" spans="1:6" x14ac:dyDescent="0.25">
      <c r="A173" t="s">
        <v>283</v>
      </c>
      <c r="B173" s="48">
        <v>2.26742322200549E-2</v>
      </c>
      <c r="C173" s="48">
        <v>2.19863807616559E-3</v>
      </c>
      <c r="E173" s="48"/>
      <c r="F173" s="48"/>
    </row>
    <row r="174" spans="1:6" x14ac:dyDescent="0.25">
      <c r="A174" t="s">
        <v>284</v>
      </c>
      <c r="B174" s="48">
        <v>2.7614677641364199E-2</v>
      </c>
      <c r="C174" s="48">
        <v>2.80542896353041E-3</v>
      </c>
      <c r="E174" s="48"/>
      <c r="F174" s="48"/>
    </row>
    <row r="175" spans="1:6" x14ac:dyDescent="0.25">
      <c r="A175" t="s">
        <v>475</v>
      </c>
      <c r="B175">
        <v>3.9108266548368797E-2</v>
      </c>
      <c r="C175">
        <v>4.0162746615349599E-3</v>
      </c>
    </row>
    <row r="176" spans="1:6" x14ac:dyDescent="0.25">
      <c r="A176" t="s">
        <v>476</v>
      </c>
      <c r="B176">
        <v>5.1163508362684802E-2</v>
      </c>
      <c r="C176">
        <v>5.4176579926825197E-3</v>
      </c>
    </row>
    <row r="177" spans="1:3" x14ac:dyDescent="0.25">
      <c r="A177" t="s">
        <v>477</v>
      </c>
      <c r="B177">
        <v>5.1913110170748601E-2</v>
      </c>
      <c r="C177">
        <v>5.2763659395098699E-3</v>
      </c>
    </row>
    <row r="178" spans="1:3" x14ac:dyDescent="0.25">
      <c r="A178" t="s">
        <v>478</v>
      </c>
      <c r="B178">
        <v>0.26912913154093299</v>
      </c>
      <c r="C178">
        <v>2.8642672825621E-2</v>
      </c>
    </row>
    <row r="179" spans="1:3" x14ac:dyDescent="0.25">
      <c r="A179" t="s">
        <v>479</v>
      </c>
      <c r="B179">
        <v>3.1160943803133102E-2</v>
      </c>
      <c r="C179">
        <v>3.2028043771566098E-3</v>
      </c>
    </row>
    <row r="180" spans="1:3" x14ac:dyDescent="0.25">
      <c r="A180" t="s">
        <v>480</v>
      </c>
      <c r="B180">
        <v>3.4161592426799101E-2</v>
      </c>
      <c r="C180">
        <v>3.17506808877962E-3</v>
      </c>
    </row>
    <row r="181" spans="1:3" x14ac:dyDescent="0.25">
      <c r="A181" t="s">
        <v>481</v>
      </c>
      <c r="B181">
        <v>5.5095532384254201E-2</v>
      </c>
      <c r="C181">
        <v>5.3986775642422902E-3</v>
      </c>
    </row>
    <row r="182" spans="1:3" x14ac:dyDescent="0.25">
      <c r="A182" t="s">
        <v>482</v>
      </c>
      <c r="B182">
        <v>4.7696933744004598E-2</v>
      </c>
      <c r="C182">
        <v>4.63389243022665E-3</v>
      </c>
    </row>
    <row r="183" spans="1:3" x14ac:dyDescent="0.25">
      <c r="A183" t="s">
        <v>483</v>
      </c>
      <c r="B183">
        <v>4.1876601429748798E-2</v>
      </c>
      <c r="C183">
        <v>3.9823085594018204E-3</v>
      </c>
    </row>
    <row r="184" spans="1:3" x14ac:dyDescent="0.25">
      <c r="A184" t="s">
        <v>484</v>
      </c>
      <c r="B184">
        <v>5.2636433821360903E-3</v>
      </c>
      <c r="C184">
        <v>5.1856776284623198E-4</v>
      </c>
    </row>
    <row r="185" spans="1:3" x14ac:dyDescent="0.25">
      <c r="A185" t="s">
        <v>485</v>
      </c>
      <c r="B185">
        <v>0.39617880800100302</v>
      </c>
      <c r="C185">
        <v>3.9002498638380199E-2</v>
      </c>
    </row>
    <row r="186" spans="1:3" x14ac:dyDescent="0.25">
      <c r="A186" t="s">
        <v>486</v>
      </c>
      <c r="B186">
        <v>0.102460404703667</v>
      </c>
      <c r="C186">
        <v>1.0481472764712599E-2</v>
      </c>
    </row>
    <row r="187" spans="1:3" x14ac:dyDescent="0.25">
      <c r="A187" t="s">
        <v>487</v>
      </c>
      <c r="B187">
        <v>9.8274047284035403E-3</v>
      </c>
      <c r="C187">
        <v>9.4460828729307604E-4</v>
      </c>
    </row>
    <row r="188" spans="1:3" x14ac:dyDescent="0.25">
      <c r="A188" t="s">
        <v>488</v>
      </c>
      <c r="B188">
        <v>1.6546963350646E-3</v>
      </c>
      <c r="C188">
        <v>1.6482697575216201E-4</v>
      </c>
    </row>
    <row r="189" spans="1:3" x14ac:dyDescent="0.25">
      <c r="A189" t="s">
        <v>489</v>
      </c>
      <c r="B189">
        <v>5.8721848318765597E-3</v>
      </c>
      <c r="C189">
        <v>5.3762451538788103E-4</v>
      </c>
    </row>
    <row r="190" spans="1:3" x14ac:dyDescent="0.25">
      <c r="A190" t="s">
        <v>490</v>
      </c>
      <c r="B190">
        <v>1.44592121471244E-2</v>
      </c>
      <c r="C190">
        <v>1.3579694976223601E-3</v>
      </c>
    </row>
    <row r="191" spans="1:3" x14ac:dyDescent="0.25">
      <c r="A191" t="s">
        <v>531</v>
      </c>
      <c r="B191">
        <v>1609.2889780902899</v>
      </c>
      <c r="C191">
        <v>148.12313616541601</v>
      </c>
    </row>
    <row r="192" spans="1:3" x14ac:dyDescent="0.25">
      <c r="A192" t="s">
        <v>532</v>
      </c>
      <c r="B192">
        <v>2996.5524993080298</v>
      </c>
      <c r="C192">
        <v>293.81233519124601</v>
      </c>
    </row>
    <row r="193" spans="1:3" x14ac:dyDescent="0.25">
      <c r="A193" t="s">
        <v>533</v>
      </c>
      <c r="B193">
        <v>3025.7272073938002</v>
      </c>
      <c r="C193">
        <v>298.113337666061</v>
      </c>
    </row>
    <row r="194" spans="1:3" x14ac:dyDescent="0.25">
      <c r="A194" t="s">
        <v>534</v>
      </c>
      <c r="B194">
        <v>167.448017883348</v>
      </c>
      <c r="C194">
        <v>16.815902062299799</v>
      </c>
    </row>
    <row r="195" spans="1:3" x14ac:dyDescent="0.25">
      <c r="A195" t="s">
        <v>358</v>
      </c>
      <c r="B195">
        <v>1.00903497377855</v>
      </c>
      <c r="C195">
        <v>0.28068384806424801</v>
      </c>
    </row>
    <row r="196" spans="1:3" x14ac:dyDescent="0.25">
      <c r="A196" t="s">
        <v>339</v>
      </c>
      <c r="B196">
        <v>1.0291226606799799</v>
      </c>
      <c r="C196">
        <v>0.24980601262844401</v>
      </c>
    </row>
    <row r="197" spans="1:3" x14ac:dyDescent="0.25">
      <c r="A197" t="s">
        <v>377</v>
      </c>
      <c r="B197">
        <v>0.99297831463461905</v>
      </c>
      <c r="C197">
        <v>1.0602827148101599</v>
      </c>
    </row>
    <row r="198" spans="1:3" x14ac:dyDescent="0.25">
      <c r="A198" t="s">
        <v>396</v>
      </c>
      <c r="B198">
        <v>0.91873174675403202</v>
      </c>
      <c r="C198">
        <v>0.83691111229266602</v>
      </c>
    </row>
    <row r="199" spans="1:3" x14ac:dyDescent="0.25">
      <c r="A199" t="s">
        <v>359</v>
      </c>
      <c r="B199">
        <v>0.98146481482329195</v>
      </c>
      <c r="C199">
        <v>0.26966243049854699</v>
      </c>
    </row>
    <row r="200" spans="1:3" x14ac:dyDescent="0.25">
      <c r="A200" t="s">
        <v>340</v>
      </c>
      <c r="B200">
        <v>0.99957588411957299</v>
      </c>
      <c r="C200">
        <v>0.24328826582326901</v>
      </c>
    </row>
    <row r="201" spans="1:3" x14ac:dyDescent="0.25">
      <c r="A201" t="s">
        <v>378</v>
      </c>
      <c r="B201">
        <v>1.04505617299596</v>
      </c>
      <c r="C201">
        <v>0.93820061520025799</v>
      </c>
    </row>
    <row r="202" spans="1:3" x14ac:dyDescent="0.25">
      <c r="A202" t="s">
        <v>397</v>
      </c>
      <c r="B202">
        <v>1.0578887768127501</v>
      </c>
      <c r="C202">
        <v>1.1735424589221799</v>
      </c>
    </row>
    <row r="203" spans="1:3" x14ac:dyDescent="0.25">
      <c r="A203" t="s">
        <v>360</v>
      </c>
      <c r="B203">
        <v>0.98080419313515099</v>
      </c>
      <c r="C203">
        <v>0.25992436082352199</v>
      </c>
    </row>
    <row r="204" spans="1:3" x14ac:dyDescent="0.25">
      <c r="A204" t="s">
        <v>341</v>
      </c>
      <c r="B204">
        <v>0.97392693450218604</v>
      </c>
      <c r="C204">
        <v>0.251098540329107</v>
      </c>
    </row>
    <row r="205" spans="1:3" x14ac:dyDescent="0.25">
      <c r="A205" t="s">
        <v>379</v>
      </c>
      <c r="B205">
        <v>0.90876126515974998</v>
      </c>
      <c r="C205">
        <v>0.72012179920937502</v>
      </c>
    </row>
    <row r="206" spans="1:3" x14ac:dyDescent="0.25">
      <c r="A206" t="s">
        <v>398</v>
      </c>
      <c r="B206">
        <v>1.1248857217441901</v>
      </c>
      <c r="C206">
        <v>1.32398159089652</v>
      </c>
    </row>
    <row r="207" spans="1:3" x14ac:dyDescent="0.25">
      <c r="A207" t="s">
        <v>361</v>
      </c>
      <c r="B207">
        <v>1.01454353594325</v>
      </c>
      <c r="C207">
        <v>0.268709829218721</v>
      </c>
    </row>
    <row r="208" spans="1:3" x14ac:dyDescent="0.25">
      <c r="A208" t="s">
        <v>342</v>
      </c>
      <c r="B208">
        <v>0.98887165472094896</v>
      </c>
      <c r="C208">
        <v>0.23547895040856301</v>
      </c>
    </row>
    <row r="209" spans="1:3" x14ac:dyDescent="0.25">
      <c r="A209" t="s">
        <v>380</v>
      </c>
      <c r="B209">
        <v>1.0205207740654501</v>
      </c>
      <c r="C209">
        <v>0.97615024431173403</v>
      </c>
    </row>
    <row r="210" spans="1:3" x14ac:dyDescent="0.25">
      <c r="A210" t="s">
        <v>399</v>
      </c>
      <c r="B210">
        <v>0.98854226566633796</v>
      </c>
      <c r="C210">
        <v>0.976442196711509</v>
      </c>
    </row>
    <row r="211" spans="1:3" x14ac:dyDescent="0.25">
      <c r="A211" t="s">
        <v>362</v>
      </c>
      <c r="B211">
        <v>1.0204370787564101</v>
      </c>
      <c r="C211">
        <v>0.25658443667631298</v>
      </c>
    </row>
    <row r="212" spans="1:3" x14ac:dyDescent="0.25">
      <c r="A212" t="s">
        <v>343</v>
      </c>
      <c r="B212">
        <v>1.01188890050896</v>
      </c>
      <c r="C212">
        <v>0.26651790930385499</v>
      </c>
    </row>
    <row r="213" spans="1:3" x14ac:dyDescent="0.25">
      <c r="A213" t="s">
        <v>381</v>
      </c>
      <c r="B213">
        <v>1.0895228216197601</v>
      </c>
      <c r="C213">
        <v>1.04668204688221</v>
      </c>
    </row>
    <row r="214" spans="1:3" x14ac:dyDescent="0.25">
      <c r="A214" t="s">
        <v>400</v>
      </c>
      <c r="B214">
        <v>1.01321477246891</v>
      </c>
      <c r="C214">
        <v>1.0485151587988999</v>
      </c>
    </row>
    <row r="215" spans="1:3" x14ac:dyDescent="0.25">
      <c r="A215" t="s">
        <v>363</v>
      </c>
      <c r="B215">
        <v>1.0172665416950599</v>
      </c>
      <c r="C215">
        <v>0.240135958175278</v>
      </c>
    </row>
    <row r="216" spans="1:3" x14ac:dyDescent="0.25">
      <c r="A216" t="s">
        <v>344</v>
      </c>
      <c r="B216">
        <v>0.97767144437682996</v>
      </c>
      <c r="C216">
        <v>0.21865044181382701</v>
      </c>
    </row>
    <row r="217" spans="1:3" x14ac:dyDescent="0.25">
      <c r="A217" t="s">
        <v>382</v>
      </c>
      <c r="B217">
        <v>1.0461416679931399</v>
      </c>
      <c r="C217">
        <v>0.98899860488500202</v>
      </c>
    </row>
    <row r="218" spans="1:3" x14ac:dyDescent="0.25">
      <c r="A218" t="s">
        <v>401</v>
      </c>
      <c r="B218">
        <v>0.97656077607368896</v>
      </c>
      <c r="C218">
        <v>1.14175561265263</v>
      </c>
    </row>
    <row r="219" spans="1:3" x14ac:dyDescent="0.25">
      <c r="A219" t="s">
        <v>364</v>
      </c>
      <c r="B219">
        <v>1.01873711124658</v>
      </c>
      <c r="C219">
        <v>0.23321910422495601</v>
      </c>
    </row>
    <row r="220" spans="1:3" x14ac:dyDescent="0.25">
      <c r="A220" t="s">
        <v>345</v>
      </c>
      <c r="B220">
        <v>0.92612947197691498</v>
      </c>
      <c r="C220">
        <v>0.281936075721126</v>
      </c>
    </row>
    <row r="221" spans="1:3" x14ac:dyDescent="0.25">
      <c r="A221" t="s">
        <v>383</v>
      </c>
      <c r="B221">
        <v>0.92115179855039497</v>
      </c>
      <c r="C221">
        <v>0.89142062053777904</v>
      </c>
    </row>
    <row r="222" spans="1:3" x14ac:dyDescent="0.25">
      <c r="A222" t="s">
        <v>402</v>
      </c>
      <c r="B222">
        <v>0.96351299301330096</v>
      </c>
      <c r="C222">
        <v>0.88733400442786603</v>
      </c>
    </row>
    <row r="223" spans="1:3" x14ac:dyDescent="0.25">
      <c r="A223" t="s">
        <v>365</v>
      </c>
      <c r="B223">
        <v>0.93805831980342302</v>
      </c>
      <c r="C223">
        <v>0.26850285617560998</v>
      </c>
    </row>
    <row r="224" spans="1:3" x14ac:dyDescent="0.25">
      <c r="A224" t="s">
        <v>346</v>
      </c>
      <c r="B224">
        <v>0.97641112317364098</v>
      </c>
      <c r="C224">
        <v>0.278612338280321</v>
      </c>
    </row>
    <row r="225" spans="1:3" x14ac:dyDescent="0.25">
      <c r="A225" t="s">
        <v>384</v>
      </c>
      <c r="B225">
        <v>0.84428561560863002</v>
      </c>
      <c r="C225">
        <v>0.81429184301392699</v>
      </c>
    </row>
    <row r="226" spans="1:3" x14ac:dyDescent="0.25">
      <c r="A226" t="s">
        <v>403</v>
      </c>
      <c r="B226">
        <v>1.05458494214245</v>
      </c>
      <c r="C226">
        <v>0.97489744326954897</v>
      </c>
    </row>
    <row r="227" spans="1:3" x14ac:dyDescent="0.25">
      <c r="A227" t="s">
        <v>366</v>
      </c>
      <c r="B227">
        <v>0.97355015307709902</v>
      </c>
      <c r="C227">
        <v>0.23297140621797799</v>
      </c>
    </row>
    <row r="228" spans="1:3" x14ac:dyDescent="0.25">
      <c r="A228" t="s">
        <v>347</v>
      </c>
      <c r="B228">
        <v>0.97668558660730198</v>
      </c>
      <c r="C228">
        <v>0.249935229581356</v>
      </c>
    </row>
    <row r="229" spans="1:3" x14ac:dyDescent="0.25">
      <c r="A229" t="s">
        <v>385</v>
      </c>
      <c r="B229">
        <v>0.90236510216239096</v>
      </c>
      <c r="C229">
        <v>0.82351336739354497</v>
      </c>
    </row>
    <row r="230" spans="1:3" x14ac:dyDescent="0.25">
      <c r="A230" t="s">
        <v>404</v>
      </c>
      <c r="B230">
        <v>0.97672008985369096</v>
      </c>
      <c r="C230">
        <v>1.10932823836984</v>
      </c>
    </row>
    <row r="231" spans="1:3" x14ac:dyDescent="0.25">
      <c r="A231" t="s">
        <v>367</v>
      </c>
      <c r="B231">
        <v>1.0201776508467</v>
      </c>
      <c r="C231">
        <v>0.26552784700332899</v>
      </c>
    </row>
    <row r="232" spans="1:3" x14ac:dyDescent="0.25">
      <c r="A232" t="s">
        <v>348</v>
      </c>
      <c r="B232">
        <v>0.94922426556063899</v>
      </c>
      <c r="C232">
        <v>0.25503907650626101</v>
      </c>
    </row>
    <row r="233" spans="1:3" x14ac:dyDescent="0.25">
      <c r="A233" t="s">
        <v>386</v>
      </c>
      <c r="B233">
        <v>0.95344953500771501</v>
      </c>
      <c r="C233">
        <v>0.88067739105114295</v>
      </c>
    </row>
    <row r="234" spans="1:3" x14ac:dyDescent="0.25">
      <c r="A234" t="s">
        <v>405</v>
      </c>
      <c r="B234">
        <v>1.03879267573437</v>
      </c>
      <c r="C234">
        <v>0.86114146129624503</v>
      </c>
    </row>
    <row r="235" spans="1:3" x14ac:dyDescent="0.25">
      <c r="A235" t="s">
        <v>368</v>
      </c>
      <c r="B235">
        <v>0.936243504767585</v>
      </c>
      <c r="C235">
        <v>0.26038392229380902</v>
      </c>
    </row>
    <row r="236" spans="1:3" x14ac:dyDescent="0.25">
      <c r="A236" t="s">
        <v>349</v>
      </c>
      <c r="B236">
        <v>0.98168331672926001</v>
      </c>
      <c r="C236">
        <v>0.25865392489455702</v>
      </c>
    </row>
    <row r="237" spans="1:3" x14ac:dyDescent="0.25">
      <c r="A237" t="s">
        <v>387</v>
      </c>
      <c r="B237">
        <v>0.83245983202445695</v>
      </c>
      <c r="C237">
        <v>0.74176639890810903</v>
      </c>
    </row>
    <row r="238" spans="1:3" x14ac:dyDescent="0.25">
      <c r="A238" t="s">
        <v>406</v>
      </c>
      <c r="B238">
        <v>0.93885748712420503</v>
      </c>
      <c r="C238">
        <v>1.0548296744713701</v>
      </c>
    </row>
    <row r="239" spans="1:3" x14ac:dyDescent="0.25">
      <c r="A239" t="s">
        <v>369</v>
      </c>
      <c r="B239">
        <v>0.97918963805953896</v>
      </c>
      <c r="C239">
        <v>0.24665156370746399</v>
      </c>
    </row>
    <row r="240" spans="1:3" x14ac:dyDescent="0.25">
      <c r="A240" t="s">
        <v>350</v>
      </c>
      <c r="B240">
        <v>0.99930419363488598</v>
      </c>
      <c r="C240">
        <v>0.234106827817253</v>
      </c>
    </row>
    <row r="241" spans="1:3" x14ac:dyDescent="0.25">
      <c r="A241" t="s">
        <v>388</v>
      </c>
      <c r="B241">
        <v>1.0700166186082201</v>
      </c>
      <c r="C241">
        <v>1.2330244022324699</v>
      </c>
    </row>
    <row r="242" spans="1:3" x14ac:dyDescent="0.25">
      <c r="A242" t="s">
        <v>407</v>
      </c>
      <c r="B242">
        <v>0.92207829806318897</v>
      </c>
      <c r="C242">
        <v>0.78317303850352304</v>
      </c>
    </row>
    <row r="243" spans="1:3" x14ac:dyDescent="0.25">
      <c r="A243" t="s">
        <v>370</v>
      </c>
      <c r="B243">
        <v>0.92435802972595904</v>
      </c>
      <c r="C243">
        <v>0.258706409878527</v>
      </c>
    </row>
    <row r="244" spans="1:3" x14ac:dyDescent="0.25">
      <c r="A244" t="s">
        <v>351</v>
      </c>
      <c r="B244">
        <v>0.94989761568141395</v>
      </c>
      <c r="C244">
        <v>0.25789592621783802</v>
      </c>
    </row>
    <row r="245" spans="1:3" x14ac:dyDescent="0.25">
      <c r="A245" t="s">
        <v>389</v>
      </c>
      <c r="B245">
        <v>0.97911198680648803</v>
      </c>
      <c r="C245">
        <v>0.91493976980692904</v>
      </c>
    </row>
    <row r="246" spans="1:3" x14ac:dyDescent="0.25">
      <c r="A246" t="s">
        <v>408</v>
      </c>
      <c r="B246">
        <v>1.0174347773927701</v>
      </c>
      <c r="C246">
        <v>0.95628603475968499</v>
      </c>
    </row>
    <row r="247" spans="1:3" x14ac:dyDescent="0.25">
      <c r="A247" t="s">
        <v>371</v>
      </c>
      <c r="B247">
        <v>0.98469626366254204</v>
      </c>
      <c r="C247">
        <v>0.27381448211383502</v>
      </c>
    </row>
    <row r="248" spans="1:3" x14ac:dyDescent="0.25">
      <c r="A248" t="s">
        <v>352</v>
      </c>
      <c r="B248">
        <v>0.95167962964084596</v>
      </c>
      <c r="C248">
        <v>0.242710137380757</v>
      </c>
    </row>
    <row r="249" spans="1:3" x14ac:dyDescent="0.25">
      <c r="A249" t="s">
        <v>390</v>
      </c>
      <c r="B249">
        <v>0.96359934630334698</v>
      </c>
      <c r="C249">
        <v>0.85592376410111703</v>
      </c>
    </row>
    <row r="250" spans="1:3" x14ac:dyDescent="0.25">
      <c r="A250" t="s">
        <v>409</v>
      </c>
      <c r="B250">
        <v>1.04201656435648</v>
      </c>
      <c r="C250">
        <v>1.0430746274934</v>
      </c>
    </row>
    <row r="251" spans="1:3" x14ac:dyDescent="0.25">
      <c r="A251" t="s">
        <v>372</v>
      </c>
      <c r="B251">
        <v>0.99991569470975294</v>
      </c>
      <c r="C251">
        <v>0.24707474046692701</v>
      </c>
    </row>
    <row r="252" spans="1:3" x14ac:dyDescent="0.25">
      <c r="A252" t="s">
        <v>353</v>
      </c>
      <c r="B252">
        <v>1.0136687656871299</v>
      </c>
      <c r="C252">
        <v>0.25942624549330701</v>
      </c>
    </row>
    <row r="253" spans="1:3" x14ac:dyDescent="0.25">
      <c r="A253" t="s">
        <v>391</v>
      </c>
      <c r="B253">
        <v>0.95611383242775005</v>
      </c>
      <c r="C253">
        <v>0.79529601356600699</v>
      </c>
    </row>
    <row r="254" spans="1:3" x14ac:dyDescent="0.25">
      <c r="A254" t="s">
        <v>410</v>
      </c>
      <c r="B254">
        <v>1.010669359659</v>
      </c>
      <c r="C254">
        <v>0.95617833170336997</v>
      </c>
    </row>
    <row r="255" spans="1:3" x14ac:dyDescent="0.25">
      <c r="A255" t="s">
        <v>373</v>
      </c>
      <c r="B255">
        <v>0.978605253070158</v>
      </c>
      <c r="C255">
        <v>0.26241336418118699</v>
      </c>
    </row>
    <row r="256" spans="1:3" x14ac:dyDescent="0.25">
      <c r="A256" t="s">
        <v>354</v>
      </c>
      <c r="B256">
        <v>0.99209383915010996</v>
      </c>
      <c r="C256">
        <v>0.22326713440544901</v>
      </c>
    </row>
    <row r="257" spans="1:3" x14ac:dyDescent="0.25">
      <c r="A257" t="s">
        <v>392</v>
      </c>
      <c r="B257">
        <v>1.0115977840567201</v>
      </c>
      <c r="C257">
        <v>0.90879634616996496</v>
      </c>
    </row>
    <row r="258" spans="1:3" x14ac:dyDescent="0.25">
      <c r="A258" t="s">
        <v>411</v>
      </c>
      <c r="B258">
        <v>0.98845897701095997</v>
      </c>
      <c r="C258">
        <v>1.0989680911827899</v>
      </c>
    </row>
    <row r="259" spans="1:3" x14ac:dyDescent="0.25">
      <c r="A259" t="s">
        <v>374</v>
      </c>
      <c r="B259">
        <v>1.0281400059702399</v>
      </c>
      <c r="C259">
        <v>0.25338934840930299</v>
      </c>
    </row>
    <row r="260" spans="1:3" x14ac:dyDescent="0.25">
      <c r="A260" t="s">
        <v>355</v>
      </c>
      <c r="B260">
        <v>0.99619792099230497</v>
      </c>
      <c r="C260">
        <v>0.24978655619586501</v>
      </c>
    </row>
    <row r="261" spans="1:3" x14ac:dyDescent="0.25">
      <c r="A261" t="s">
        <v>393</v>
      </c>
      <c r="B261">
        <v>0.98122137398182896</v>
      </c>
      <c r="C261">
        <v>0.83859338111843396</v>
      </c>
    </row>
    <row r="262" spans="1:3" x14ac:dyDescent="0.25">
      <c r="A262" t="s">
        <v>412</v>
      </c>
      <c r="B262">
        <v>1.1196307744892799</v>
      </c>
      <c r="C262">
        <v>1.0844928830362299</v>
      </c>
    </row>
    <row r="263" spans="1:3" x14ac:dyDescent="0.25">
      <c r="A263" t="s">
        <v>375</v>
      </c>
      <c r="B263">
        <v>0.98519835135856204</v>
      </c>
      <c r="C263">
        <v>0.239925875987923</v>
      </c>
    </row>
    <row r="264" spans="1:3" x14ac:dyDescent="0.25">
      <c r="A264" t="s">
        <v>356</v>
      </c>
      <c r="B264">
        <v>1.0076064846841299</v>
      </c>
      <c r="C264">
        <v>0.239379985500241</v>
      </c>
    </row>
    <row r="265" spans="1:3" x14ac:dyDescent="0.25">
      <c r="A265" t="s">
        <v>394</v>
      </c>
      <c r="B265">
        <v>0.99309046263603695</v>
      </c>
      <c r="C265">
        <v>0.94670478583269602</v>
      </c>
    </row>
    <row r="266" spans="1:3" x14ac:dyDescent="0.25">
      <c r="A266" t="s">
        <v>413</v>
      </c>
      <c r="B266">
        <v>1.0401263516228301</v>
      </c>
      <c r="C266">
        <v>1.11259801120172</v>
      </c>
    </row>
    <row r="267" spans="1:3" x14ac:dyDescent="0.25">
      <c r="A267" t="s">
        <v>376</v>
      </c>
      <c r="B267">
        <v>0.99946688555077201</v>
      </c>
      <c r="C267">
        <v>0.25674514815942101</v>
      </c>
    </row>
    <row r="268" spans="1:3" x14ac:dyDescent="0.25">
      <c r="A268" t="s">
        <v>357</v>
      </c>
      <c r="B268">
        <v>1.0019496662792799</v>
      </c>
      <c r="C268">
        <v>0.26007006587040998</v>
      </c>
    </row>
    <row r="269" spans="1:3" x14ac:dyDescent="0.25">
      <c r="A269" t="s">
        <v>395</v>
      </c>
      <c r="B269">
        <v>1.0183325135704899</v>
      </c>
      <c r="C269">
        <v>1.04718832514756</v>
      </c>
    </row>
    <row r="270" spans="1:3" x14ac:dyDescent="0.25">
      <c r="A270" t="s">
        <v>414</v>
      </c>
      <c r="B270">
        <v>1.0418068899819399</v>
      </c>
      <c r="C270">
        <v>1.0576738711751199</v>
      </c>
    </row>
    <row r="271" spans="1:3" x14ac:dyDescent="0.25">
      <c r="A271" t="s">
        <v>640</v>
      </c>
      <c r="B271">
        <v>0.96888496595364304</v>
      </c>
      <c r="C271">
        <v>0.25057760547041302</v>
      </c>
    </row>
    <row r="272" spans="1:3" x14ac:dyDescent="0.25">
      <c r="A272" t="s">
        <v>303</v>
      </c>
      <c r="B272">
        <v>1.0063585041830201</v>
      </c>
      <c r="C272">
        <v>0.24451548722098801</v>
      </c>
    </row>
    <row r="273" spans="1:3" x14ac:dyDescent="0.25">
      <c r="A273" t="s">
        <v>310</v>
      </c>
      <c r="B273">
        <v>44.128230542952302</v>
      </c>
      <c r="C273">
        <v>38.528132413082602</v>
      </c>
    </row>
    <row r="274" spans="1:3" x14ac:dyDescent="0.25">
      <c r="A274" t="s">
        <v>295</v>
      </c>
      <c r="B274">
        <v>0.24440163161364201</v>
      </c>
      <c r="C274">
        <v>0.112309040311317</v>
      </c>
    </row>
    <row r="275" spans="1:3" x14ac:dyDescent="0.25">
      <c r="A275" t="s">
        <v>569</v>
      </c>
      <c r="B275">
        <v>1.0119860107462</v>
      </c>
      <c r="C275">
        <v>0.20705556265346001</v>
      </c>
    </row>
    <row r="276" spans="1:3" x14ac:dyDescent="0.25">
      <c r="A276" t="s">
        <v>557</v>
      </c>
      <c r="B276">
        <v>0.52270801962296998</v>
      </c>
      <c r="C276">
        <v>0.288275045366851</v>
      </c>
    </row>
    <row r="277" spans="1:3" x14ac:dyDescent="0.25">
      <c r="A277" t="s">
        <v>553</v>
      </c>
      <c r="B277">
        <v>4.8783305937415999</v>
      </c>
      <c r="C277">
        <v>2.7518190027965099</v>
      </c>
    </row>
    <row r="278" spans="1:3" x14ac:dyDescent="0.25">
      <c r="A278" t="s">
        <v>565</v>
      </c>
      <c r="B278">
        <v>1.00924570446546E-2</v>
      </c>
      <c r="C278">
        <v>2.5020826892273298E-3</v>
      </c>
    </row>
    <row r="279" spans="1:3" x14ac:dyDescent="0.25">
      <c r="A279" t="s">
        <v>561</v>
      </c>
      <c r="B279">
        <v>7.4295169547827195E-2</v>
      </c>
      <c r="C279">
        <v>1.8805609223353E-2</v>
      </c>
    </row>
    <row r="280" spans="1:3" x14ac:dyDescent="0.25">
      <c r="A280" t="s">
        <v>643</v>
      </c>
      <c r="B280">
        <v>1.0132831499886501</v>
      </c>
      <c r="C280">
        <v>0.23672425470070199</v>
      </c>
    </row>
    <row r="281" spans="1:3" x14ac:dyDescent="0.25">
      <c r="A281" t="s">
        <v>304</v>
      </c>
      <c r="B281">
        <v>1.0129540175070999</v>
      </c>
      <c r="C281">
        <v>0.251062635083727</v>
      </c>
    </row>
    <row r="282" spans="1:3" x14ac:dyDescent="0.25">
      <c r="A282" t="s">
        <v>311</v>
      </c>
      <c r="B282">
        <v>40.038781879576</v>
      </c>
      <c r="C282">
        <v>38.594508047561</v>
      </c>
    </row>
    <row r="283" spans="1:3" x14ac:dyDescent="0.25">
      <c r="A283" t="s">
        <v>296</v>
      </c>
      <c r="B283">
        <v>0.23875579377232101</v>
      </c>
      <c r="C283">
        <v>0.10831492061454701</v>
      </c>
    </row>
    <row r="284" spans="1:3" x14ac:dyDescent="0.25">
      <c r="A284" t="s">
        <v>572</v>
      </c>
      <c r="B284">
        <v>0.98656855162121604</v>
      </c>
      <c r="C284">
        <v>0.189837235012456</v>
      </c>
    </row>
    <row r="285" spans="1:3" x14ac:dyDescent="0.25">
      <c r="A285" t="s">
        <v>558</v>
      </c>
      <c r="B285">
        <v>0.50090408793019403</v>
      </c>
      <c r="C285">
        <v>0.252449895916038</v>
      </c>
    </row>
    <row r="286" spans="1:3" x14ac:dyDescent="0.25">
      <c r="A286" t="s">
        <v>554</v>
      </c>
      <c r="B286">
        <v>4.9282320834326203</v>
      </c>
      <c r="C286">
        <v>2.5620691303915701</v>
      </c>
    </row>
    <row r="287" spans="1:3" x14ac:dyDescent="0.25">
      <c r="A287" t="s">
        <v>566</v>
      </c>
      <c r="B287">
        <v>9.8373326287519297E-3</v>
      </c>
      <c r="C287">
        <v>2.4076497275680201E-3</v>
      </c>
    </row>
    <row r="288" spans="1:3" x14ac:dyDescent="0.25">
      <c r="A288" t="s">
        <v>562</v>
      </c>
      <c r="B288">
        <v>7.7142818883353906E-2</v>
      </c>
      <c r="C288">
        <v>1.97454916278769E-2</v>
      </c>
    </row>
    <row r="289" spans="1:3" x14ac:dyDescent="0.25">
      <c r="A289" t="s">
        <v>642</v>
      </c>
      <c r="B289">
        <v>1.0067946088553299</v>
      </c>
      <c r="C289">
        <v>0.26788456075917799</v>
      </c>
    </row>
    <row r="290" spans="1:3" x14ac:dyDescent="0.25">
      <c r="A290" t="s">
        <v>305</v>
      </c>
      <c r="B290">
        <v>0.99531849596286603</v>
      </c>
      <c r="C290">
        <v>0.24860952471119799</v>
      </c>
    </row>
    <row r="291" spans="1:3" x14ac:dyDescent="0.25">
      <c r="A291" t="s">
        <v>312</v>
      </c>
      <c r="B291">
        <v>40.990894539658903</v>
      </c>
      <c r="C291">
        <v>43.1454745615574</v>
      </c>
    </row>
    <row r="292" spans="1:3" x14ac:dyDescent="0.25">
      <c r="A292" t="s">
        <v>297</v>
      </c>
      <c r="B292">
        <v>0.23775730228568301</v>
      </c>
      <c r="C292">
        <v>0.105913886295394</v>
      </c>
    </row>
    <row r="293" spans="1:3" x14ac:dyDescent="0.25">
      <c r="A293" t="s">
        <v>571</v>
      </c>
      <c r="B293">
        <v>1.00204901982732</v>
      </c>
      <c r="C293">
        <v>0.21007967833482699</v>
      </c>
    </row>
    <row r="294" spans="1:3" x14ac:dyDescent="0.25">
      <c r="A294" t="s">
        <v>559</v>
      </c>
      <c r="B294">
        <v>0.49529669220678302</v>
      </c>
      <c r="C294">
        <v>0.243232436879838</v>
      </c>
    </row>
    <row r="295" spans="1:3" x14ac:dyDescent="0.25">
      <c r="A295" t="s">
        <v>555</v>
      </c>
      <c r="B295">
        <v>4.9823769012477701</v>
      </c>
      <c r="C295">
        <v>2.6161106173450501</v>
      </c>
    </row>
    <row r="296" spans="1:3" x14ac:dyDescent="0.25">
      <c r="A296" t="s">
        <v>567</v>
      </c>
      <c r="B296">
        <v>1.03260738692661E-2</v>
      </c>
      <c r="C296">
        <v>2.4546482684526701E-3</v>
      </c>
    </row>
    <row r="297" spans="1:3" x14ac:dyDescent="0.25">
      <c r="A297" t="s">
        <v>563</v>
      </c>
      <c r="B297">
        <v>7.2931626659705595E-2</v>
      </c>
      <c r="C297">
        <v>1.9384013284526901E-2</v>
      </c>
    </row>
    <row r="298" spans="1:3" x14ac:dyDescent="0.25">
      <c r="A298" t="s">
        <v>641</v>
      </c>
      <c r="B298">
        <v>0.98866153419644398</v>
      </c>
      <c r="C298">
        <v>0.26490692246249298</v>
      </c>
    </row>
    <row r="299" spans="1:3" x14ac:dyDescent="0.25">
      <c r="A299" t="s">
        <v>306</v>
      </c>
      <c r="B299">
        <v>0.99797663384693402</v>
      </c>
      <c r="C299">
        <v>0.249557047129016</v>
      </c>
    </row>
    <row r="300" spans="1:3" x14ac:dyDescent="0.25">
      <c r="A300" t="s">
        <v>313</v>
      </c>
      <c r="B300">
        <v>43.188353232984099</v>
      </c>
      <c r="C300">
        <v>46.683792448640098</v>
      </c>
    </row>
    <row r="301" spans="1:3" x14ac:dyDescent="0.25">
      <c r="A301" t="s">
        <v>298</v>
      </c>
      <c r="B301">
        <v>0.234196949117426</v>
      </c>
      <c r="C301">
        <v>0.114380431552975</v>
      </c>
    </row>
    <row r="302" spans="1:3" x14ac:dyDescent="0.25">
      <c r="A302" t="s">
        <v>570</v>
      </c>
      <c r="B302">
        <v>1.0199930023067001</v>
      </c>
      <c r="C302">
        <v>0.18856432744500001</v>
      </c>
    </row>
    <row r="303" spans="1:3" x14ac:dyDescent="0.25">
      <c r="A303" t="s">
        <v>560</v>
      </c>
      <c r="B303">
        <v>0.47620420316394402</v>
      </c>
      <c r="C303">
        <v>0.21355864152763701</v>
      </c>
    </row>
    <row r="304" spans="1:3" x14ac:dyDescent="0.25">
      <c r="A304" t="s">
        <v>556</v>
      </c>
      <c r="B304">
        <v>4.6563800321891202</v>
      </c>
      <c r="C304">
        <v>2.3306476467684498</v>
      </c>
    </row>
    <row r="305" spans="1:3" x14ac:dyDescent="0.25">
      <c r="A305" t="s">
        <v>568</v>
      </c>
      <c r="B305">
        <v>9.7684681424998598E-3</v>
      </c>
      <c r="C305">
        <v>2.3588942199468102E-3</v>
      </c>
    </row>
    <row r="306" spans="1:3" x14ac:dyDescent="0.25">
      <c r="A306" t="s">
        <v>564</v>
      </c>
      <c r="B306">
        <v>7.46265807865681E-2</v>
      </c>
      <c r="C306">
        <v>1.7769685569465801E-2</v>
      </c>
    </row>
    <row r="307" spans="1:3" x14ac:dyDescent="0.25">
      <c r="A307" t="s">
        <v>637</v>
      </c>
      <c r="B307">
        <v>1.0144877987071701</v>
      </c>
      <c r="C307">
        <v>0.244792460162611</v>
      </c>
    </row>
    <row r="308" spans="1:3" x14ac:dyDescent="0.25">
      <c r="A308" t="s">
        <v>307</v>
      </c>
      <c r="B308">
        <v>0.97983733906042803</v>
      </c>
      <c r="C308">
        <v>0.23754924631131399</v>
      </c>
    </row>
    <row r="309" spans="1:3" x14ac:dyDescent="0.25">
      <c r="A309" t="s">
        <v>314</v>
      </c>
      <c r="B309">
        <v>35.053580553924697</v>
      </c>
      <c r="C309">
        <v>33.6736436122954</v>
      </c>
    </row>
    <row r="310" spans="1:3" x14ac:dyDescent="0.25">
      <c r="A310" t="s">
        <v>299</v>
      </c>
      <c r="B310">
        <v>0.332225578176574</v>
      </c>
      <c r="C310">
        <v>0.13490856267387599</v>
      </c>
    </row>
    <row r="311" spans="1:3" x14ac:dyDescent="0.25">
      <c r="A311" t="s">
        <v>594</v>
      </c>
      <c r="B311">
        <v>1.0049779019657099</v>
      </c>
      <c r="C311">
        <v>0.20503561765852199</v>
      </c>
    </row>
    <row r="312" spans="1:3" x14ac:dyDescent="0.25">
      <c r="A312" t="s">
        <v>634</v>
      </c>
      <c r="B312">
        <v>0.51213019446623498</v>
      </c>
      <c r="C312">
        <v>0.25387969434041602</v>
      </c>
    </row>
    <row r="313" spans="1:3" x14ac:dyDescent="0.25">
      <c r="A313" t="s">
        <v>575</v>
      </c>
      <c r="B313">
        <v>5.2659196026254396</v>
      </c>
      <c r="C313">
        <v>2.7385040825285398</v>
      </c>
    </row>
    <row r="314" spans="1:3" x14ac:dyDescent="0.25">
      <c r="A314" t="s">
        <v>581</v>
      </c>
      <c r="B314">
        <v>9.7908006660011801E-3</v>
      </c>
      <c r="C314">
        <v>2.2439532686325098E-3</v>
      </c>
    </row>
    <row r="315" spans="1:3" x14ac:dyDescent="0.25">
      <c r="A315" t="s">
        <v>578</v>
      </c>
      <c r="B315">
        <v>7.5539913327929503E-2</v>
      </c>
      <c r="C315">
        <v>1.85194875666258E-2</v>
      </c>
    </row>
    <row r="316" spans="1:3" x14ac:dyDescent="0.25">
      <c r="A316" t="s">
        <v>639</v>
      </c>
      <c r="B316">
        <v>0.99984721842789703</v>
      </c>
      <c r="C316">
        <v>0.25500109028449203</v>
      </c>
    </row>
    <row r="317" spans="1:3" x14ac:dyDescent="0.25">
      <c r="A317" t="s">
        <v>308</v>
      </c>
      <c r="B317">
        <v>0.99367069296225696</v>
      </c>
      <c r="C317">
        <v>0.25590191386923999</v>
      </c>
    </row>
    <row r="318" spans="1:3" x14ac:dyDescent="0.25">
      <c r="A318" t="s">
        <v>315</v>
      </c>
      <c r="B318">
        <v>41.219145574825298</v>
      </c>
      <c r="C318">
        <v>37.755200189837502</v>
      </c>
    </row>
    <row r="319" spans="1:3" x14ac:dyDescent="0.25">
      <c r="A319" t="s">
        <v>300</v>
      </c>
      <c r="B319">
        <v>0.319838489432613</v>
      </c>
      <c r="C319">
        <v>0.127348341410986</v>
      </c>
    </row>
    <row r="320" spans="1:3" x14ac:dyDescent="0.25">
      <c r="A320" t="s">
        <v>596</v>
      </c>
      <c r="B320">
        <v>1.0047822049863</v>
      </c>
      <c r="C320">
        <v>0.214913287505439</v>
      </c>
    </row>
    <row r="321" spans="1:3" x14ac:dyDescent="0.25">
      <c r="A321" t="s">
        <v>636</v>
      </c>
      <c r="B321">
        <v>0.490897118571054</v>
      </c>
      <c r="C321">
        <v>0.23682864185750399</v>
      </c>
    </row>
    <row r="322" spans="1:3" x14ac:dyDescent="0.25">
      <c r="A322" t="s">
        <v>576</v>
      </c>
      <c r="B322">
        <v>5.0952556899972397</v>
      </c>
      <c r="C322">
        <v>2.6316899208634799</v>
      </c>
    </row>
    <row r="323" spans="1:3" x14ac:dyDescent="0.25">
      <c r="A323" t="s">
        <v>582</v>
      </c>
      <c r="B323">
        <v>1.0143240252929101E-2</v>
      </c>
      <c r="C323">
        <v>2.5130965730620599E-3</v>
      </c>
    </row>
    <row r="324" spans="1:3" x14ac:dyDescent="0.25">
      <c r="A324" t="s">
        <v>579</v>
      </c>
      <c r="B324">
        <v>7.5575678400005994E-2</v>
      </c>
      <c r="C324">
        <v>1.9734241662711101E-2</v>
      </c>
    </row>
    <row r="325" spans="1:3" x14ac:dyDescent="0.25">
      <c r="A325" t="s">
        <v>638</v>
      </c>
      <c r="B325">
        <v>1.0160217380362899</v>
      </c>
      <c r="C325">
        <v>0.233285014549488</v>
      </c>
    </row>
    <row r="326" spans="1:3" x14ac:dyDescent="0.25">
      <c r="A326" t="s">
        <v>309</v>
      </c>
      <c r="B326">
        <v>0.99437378181903302</v>
      </c>
      <c r="C326">
        <v>0.22736757244181199</v>
      </c>
    </row>
    <row r="327" spans="1:3" x14ac:dyDescent="0.25">
      <c r="A327" t="s">
        <v>316</v>
      </c>
      <c r="B327">
        <v>37.040624283282703</v>
      </c>
      <c r="C327">
        <v>31.786574915302701</v>
      </c>
    </row>
    <row r="328" spans="1:3" x14ac:dyDescent="0.25">
      <c r="A328" t="s">
        <v>301</v>
      </c>
      <c r="B328">
        <v>0.326893214709568</v>
      </c>
      <c r="C328">
        <v>0.15465977626162999</v>
      </c>
    </row>
    <row r="329" spans="1:3" x14ac:dyDescent="0.25">
      <c r="A329" t="s">
        <v>595</v>
      </c>
      <c r="B329">
        <v>1.0058470728894899</v>
      </c>
      <c r="C329">
        <v>0.18635975066535301</v>
      </c>
    </row>
    <row r="330" spans="1:3" x14ac:dyDescent="0.25">
      <c r="A330" t="s">
        <v>635</v>
      </c>
      <c r="B330">
        <v>0.49799197493657599</v>
      </c>
      <c r="C330">
        <v>0.25869137885070498</v>
      </c>
    </row>
    <row r="331" spans="1:3" x14ac:dyDescent="0.25">
      <c r="A331" t="s">
        <v>577</v>
      </c>
      <c r="B331">
        <v>5.14105869030218</v>
      </c>
      <c r="C331">
        <v>2.7002420002013099</v>
      </c>
    </row>
    <row r="332" spans="1:3" x14ac:dyDescent="0.25">
      <c r="A332" t="s">
        <v>583</v>
      </c>
      <c r="B332">
        <v>1.00926729151953E-2</v>
      </c>
      <c r="C332">
        <v>2.7880243804147601E-3</v>
      </c>
    </row>
    <row r="333" spans="1:3" x14ac:dyDescent="0.25">
      <c r="A333" t="s">
        <v>580</v>
      </c>
      <c r="B333">
        <v>7.3400326471794203E-2</v>
      </c>
      <c r="C333">
        <v>1.8179182727062902E-2</v>
      </c>
    </row>
    <row r="334" spans="1:3" x14ac:dyDescent="0.25">
      <c r="A334" t="s">
        <v>706</v>
      </c>
      <c r="B334">
        <v>1.00756814962774</v>
      </c>
      <c r="C334">
        <v>0.25017171911145403</v>
      </c>
    </row>
    <row r="335" spans="1:3" x14ac:dyDescent="0.25">
      <c r="A335" t="s">
        <v>707</v>
      </c>
      <c r="B335">
        <v>0.998689852859452</v>
      </c>
      <c r="C335">
        <v>0.23643320482806399</v>
      </c>
    </row>
    <row r="336" spans="1:3" x14ac:dyDescent="0.25">
      <c r="A336" t="s">
        <v>708</v>
      </c>
      <c r="B336">
        <v>38.806576712467098</v>
      </c>
      <c r="C336">
        <v>39.9255357530932</v>
      </c>
    </row>
    <row r="337" spans="1:3" x14ac:dyDescent="0.25">
      <c r="A337" t="s">
        <v>709</v>
      </c>
      <c r="B337">
        <v>0.235203505894061</v>
      </c>
      <c r="C337">
        <v>0.110352217751837</v>
      </c>
    </row>
    <row r="338" spans="1:3" x14ac:dyDescent="0.25">
      <c r="A338" t="s">
        <v>710</v>
      </c>
      <c r="B338">
        <v>0.99001807383679497</v>
      </c>
      <c r="C338">
        <v>0.212658561733126</v>
      </c>
    </row>
    <row r="339" spans="1:3" x14ac:dyDescent="0.25">
      <c r="A339" t="s">
        <v>711</v>
      </c>
      <c r="B339">
        <v>0.48443961152863702</v>
      </c>
      <c r="C339">
        <v>0.22456075908012699</v>
      </c>
    </row>
    <row r="340" spans="1:3" x14ac:dyDescent="0.25">
      <c r="A340" t="s">
        <v>712</v>
      </c>
      <c r="B340">
        <v>4.8520321952423204</v>
      </c>
      <c r="C340">
        <v>2.5263727386806001</v>
      </c>
    </row>
    <row r="341" spans="1:3" x14ac:dyDescent="0.25">
      <c r="A341" t="s">
        <v>713</v>
      </c>
      <c r="B341">
        <v>1.0061238676006799E-2</v>
      </c>
      <c r="C341">
        <v>2.4015247477037699E-3</v>
      </c>
    </row>
    <row r="342" spans="1:3" x14ac:dyDescent="0.25">
      <c r="A342" t="s">
        <v>714</v>
      </c>
      <c r="B342">
        <v>7.6112721907132697E-2</v>
      </c>
      <c r="C342">
        <v>1.9421147718953102E-2</v>
      </c>
    </row>
    <row r="343" spans="1:3" x14ac:dyDescent="0.25">
      <c r="A343" t="s">
        <v>715</v>
      </c>
      <c r="B343">
        <v>1.01189899802108</v>
      </c>
      <c r="C343">
        <v>0.251598538547461</v>
      </c>
    </row>
    <row r="344" spans="1:3" x14ac:dyDescent="0.25">
      <c r="A344" t="s">
        <v>716</v>
      </c>
      <c r="B344">
        <v>0.995070664951759</v>
      </c>
      <c r="C344">
        <v>0.25726520860337099</v>
      </c>
    </row>
    <row r="345" spans="1:3" x14ac:dyDescent="0.25">
      <c r="A345" t="s">
        <v>717</v>
      </c>
      <c r="B345">
        <v>44.173324699623599</v>
      </c>
      <c r="C345">
        <v>39.685125672602297</v>
      </c>
    </row>
    <row r="346" spans="1:3" x14ac:dyDescent="0.25">
      <c r="A346" t="s">
        <v>718</v>
      </c>
      <c r="B346">
        <v>0.239372880972156</v>
      </c>
      <c r="C346">
        <v>0.135184777396442</v>
      </c>
    </row>
    <row r="347" spans="1:3" x14ac:dyDescent="0.25">
      <c r="A347" t="s">
        <v>719</v>
      </c>
      <c r="B347">
        <v>0.99663321967266305</v>
      </c>
      <c r="C347">
        <v>0.197249364379633</v>
      </c>
    </row>
    <row r="348" spans="1:3" x14ac:dyDescent="0.25">
      <c r="A348" t="s">
        <v>720</v>
      </c>
      <c r="B348">
        <v>0.49987335871090299</v>
      </c>
      <c r="C348">
        <v>0.24807750727047401</v>
      </c>
    </row>
    <row r="349" spans="1:3" x14ac:dyDescent="0.25">
      <c r="A349" t="s">
        <v>721</v>
      </c>
      <c r="B349">
        <v>4.8319512736805503</v>
      </c>
      <c r="C349">
        <v>2.4099638850233398</v>
      </c>
    </row>
    <row r="350" spans="1:3" x14ac:dyDescent="0.25">
      <c r="A350" t="s">
        <v>722</v>
      </c>
      <c r="B350">
        <v>9.9301532562882499E-3</v>
      </c>
      <c r="C350">
        <v>2.3289419757114402E-3</v>
      </c>
    </row>
    <row r="351" spans="1:3" x14ac:dyDescent="0.25">
      <c r="A351" t="s">
        <v>723</v>
      </c>
      <c r="B351">
        <v>7.5190412663778905E-2</v>
      </c>
      <c r="C351">
        <v>1.8418163672238901E-2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2b2bc4a-8c05-4ac9-8444-39aa43079f4e" xsi:nil="true"/>
    <lcf76f155ced4ddcb4097134ff3c332f xmlns="e8c9f281-3412-4e7c-aa99-f11e77b2980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A361FC52636644AF018940F5BBAE47" ma:contentTypeVersion="16" ma:contentTypeDescription="Create a new document." ma:contentTypeScope="" ma:versionID="a0e4778441a68b52bfb4825cf402616b">
  <xsd:schema xmlns:xsd="http://www.w3.org/2001/XMLSchema" xmlns:xs="http://www.w3.org/2001/XMLSchema" xmlns:p="http://schemas.microsoft.com/office/2006/metadata/properties" xmlns:ns2="e8c9f281-3412-4e7c-aa99-f11e77b29808" xmlns:ns3="12b2bc4a-8c05-4ac9-8444-39aa43079f4e" targetNamespace="http://schemas.microsoft.com/office/2006/metadata/properties" ma:root="true" ma:fieldsID="9afa15085c38b3f0867a3e015a8378a1" ns2:_="" ns3:_="">
    <xsd:import namespace="e8c9f281-3412-4e7c-aa99-f11e77b29808"/>
    <xsd:import namespace="12b2bc4a-8c05-4ac9-8444-39aa43079f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c9f281-3412-4e7c-aa99-f11e77b298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483a60f-3d25-42ae-b010-69d7fed1370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b2bc4a-8c05-4ac9-8444-39aa43079f4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2c757e8-f5ca-42fb-966e-1bf4dd28d8b4}" ma:internalName="TaxCatchAll" ma:showField="CatchAllData" ma:web="12b2bc4a-8c05-4ac9-8444-39aa43079f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24FA5-677D-4BAA-A78B-652B76B93CC0}">
  <ds:schemaRefs>
    <ds:schemaRef ds:uri="http://schemas.microsoft.com/sharepoint/v3/contenttype/forms"/>
  </ds:schemaRefs>
</ds:datastoreItem>
</file>

<file path=customXml/itemProps2.xml><?xml version="1.0" encoding="utf-8"?>
<ds:datastoreItem xmlns:ds="http://schemas.openxmlformats.org/officeDocument/2006/customXml" ds:itemID="{4CF36573-CCA3-4728-93A8-5030AF973AE2}">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purl.org/dc/terms/"/>
    <ds:schemaRef ds:uri="12b2bc4a-8c05-4ac9-8444-39aa43079f4e"/>
    <ds:schemaRef ds:uri="e8c9f281-3412-4e7c-aa99-f11e77b29808"/>
    <ds:schemaRef ds:uri="http://www.w3.org/XML/1998/namespace"/>
  </ds:schemaRefs>
</ds:datastoreItem>
</file>

<file path=customXml/itemProps3.xml><?xml version="1.0" encoding="utf-8"?>
<ds:datastoreItem xmlns:ds="http://schemas.openxmlformats.org/officeDocument/2006/customXml" ds:itemID="{9B095F1F-412A-4E17-A58C-4D78949E7D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c9f281-3412-4e7c-aa99-f11e77b29808"/>
    <ds:schemaRef ds:uri="12b2bc4a-8c05-4ac9-8444-39aa43079f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Meta information</vt:lpstr>
      <vt:lpstr>Input parameters</vt:lpstr>
      <vt:lpstr>Input files</vt:lpstr>
      <vt:lpstr>Intermediary parameters</vt:lpstr>
      <vt:lpstr>Unused references</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Amelie J. Schmolke</dc:creator>
  <cp:lastModifiedBy>OConnor, Isabel</cp:lastModifiedBy>
  <dcterms:created xsi:type="dcterms:W3CDTF">2020-08-12T22:34:59Z</dcterms:created>
  <dcterms:modified xsi:type="dcterms:W3CDTF">2025-01-09T15:08:23Z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0x01010065A361FC52636644AF018940F5BBAE47</vt:lpwstr>
  </property>
  <property fmtid="{D5CDD505-2E9C-101B-9397-08002B2CF9AE}" pid="3" name="MediaServiceImageTags">
    <vt:lpwstr/>
  </property>
</Properties>
</file>