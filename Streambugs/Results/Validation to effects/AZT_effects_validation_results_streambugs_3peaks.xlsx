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220256\40_BEARBEITUNG_INTERN\3_7_validation_effect_multiple_exposure_3p\output\FINAL_with_shade\Best run\"/>
    </mc:Choice>
  </mc:AlternateContent>
  <xr:revisionPtr revIDLastSave="0" documentId="13_ncr:1_{92567B83-00FE-4A08-8F06-7BB74393FD1A}" xr6:coauthVersionLast="47" xr6:coauthVersionMax="47" xr10:uidLastSave="{00000000-0000-0000-0000-000000000000}"/>
  <bookViews>
    <workbookView xWindow="23880" yWindow="-120" windowWidth="38640" windowHeight="21240" xr2:uid="{D6307FC1-56E5-4FFB-9BD9-3284609FB3FE}"/>
  </bookViews>
  <sheets>
    <sheet name="Info" sheetId="1" r:id="rId1"/>
    <sheet name="Phytoplankton" sheetId="2" r:id="rId2"/>
    <sheet name="Copepoda predatory" sheetId="3" state="hidden" r:id="rId3"/>
    <sheet name="Nauplia" sheetId="8" state="hidden" r:id="rId4"/>
    <sheet name="Copepoda predatory - ALL" sheetId="10" r:id="rId5"/>
    <sheet name="Rotifera herbivorous 2" sheetId="4" r:id="rId6"/>
    <sheet name="Cladocera_small" sheetId="5" r:id="rId7"/>
    <sheet name="Daphnidae" sheetId="6" r:id="rId8"/>
    <sheet name="raw_data_effect" sheetId="11" state="hidden" r:id="rId9"/>
    <sheet name="no_effect" sheetId="12" r:id="rId10"/>
    <sheet name="raw_data_no_effect" sheetId="13" state="hidden" r:id="rId11"/>
  </sheets>
  <definedNames>
    <definedName name="_xlnm._FilterDatabase" localSheetId="10" hidden="1">raw_data_no_effect!$A$16:$CW$82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3" l="1"/>
  <c r="B10" i="13"/>
  <c r="B9" i="13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C6" i="6" s="1"/>
  <c r="G6" i="2" l="1"/>
  <c r="J14" i="2"/>
  <c r="K7" i="10"/>
  <c r="L6" i="4"/>
  <c r="M7" i="5"/>
  <c r="I14" i="2"/>
  <c r="N6" i="6"/>
  <c r="J6" i="4"/>
  <c r="D6" i="2"/>
  <c r="G14" i="2"/>
  <c r="H7" i="10"/>
  <c r="I6" i="4"/>
  <c r="J7" i="5"/>
  <c r="K6" i="6"/>
  <c r="L7" i="5"/>
  <c r="I7" i="10"/>
  <c r="C6" i="2"/>
  <c r="F14" i="2"/>
  <c r="G7" i="10"/>
  <c r="H6" i="4"/>
  <c r="I7" i="5"/>
  <c r="J6" i="6"/>
  <c r="F6" i="2"/>
  <c r="N6" i="2"/>
  <c r="E14" i="2"/>
  <c r="F7" i="10"/>
  <c r="G6" i="4"/>
  <c r="H7" i="5"/>
  <c r="I6" i="6"/>
  <c r="L6" i="6"/>
  <c r="M6" i="2"/>
  <c r="B6" i="2"/>
  <c r="D14" i="2"/>
  <c r="E7" i="10"/>
  <c r="F6" i="4"/>
  <c r="G7" i="5"/>
  <c r="H6" i="6"/>
  <c r="K7" i="5"/>
  <c r="L6" i="2"/>
  <c r="B14" i="2"/>
  <c r="C14" i="2"/>
  <c r="D7" i="10"/>
  <c r="E6" i="4"/>
  <c r="F7" i="5"/>
  <c r="G6" i="6"/>
  <c r="J7" i="10"/>
  <c r="K6" i="2"/>
  <c r="N14" i="2"/>
  <c r="B7" i="10"/>
  <c r="C7" i="10"/>
  <c r="D6" i="4"/>
  <c r="E7" i="5"/>
  <c r="F6" i="6"/>
  <c r="K6" i="4"/>
  <c r="E6" i="2"/>
  <c r="J6" i="2"/>
  <c r="M14" i="2"/>
  <c r="N7" i="10"/>
  <c r="B6" i="4"/>
  <c r="C6" i="4"/>
  <c r="D7" i="5"/>
  <c r="E6" i="6"/>
  <c r="M6" i="6"/>
  <c r="I6" i="2"/>
  <c r="L14" i="2"/>
  <c r="M7" i="10"/>
  <c r="N6" i="4"/>
  <c r="B7" i="5"/>
  <c r="C7" i="5"/>
  <c r="D6" i="6"/>
  <c r="H14" i="2"/>
  <c r="H6" i="2"/>
  <c r="K14" i="2"/>
  <c r="L7" i="10"/>
  <c r="M6" i="4"/>
  <c r="N7" i="5"/>
  <c r="B6" i="6"/>
  <c r="B11" i="13" l="1"/>
  <c r="B12" i="13"/>
  <c r="C10" i="13" l="1"/>
  <c r="C8" i="13"/>
  <c r="C12" i="13"/>
  <c r="C9" i="13"/>
</calcChain>
</file>

<file path=xl/sharedStrings.xml><?xml version="1.0" encoding="utf-8"?>
<sst xmlns="http://schemas.openxmlformats.org/spreadsheetml/2006/main" count="8379" uniqueCount="146">
  <si>
    <t>****</t>
  </si>
  <si>
    <t>Species group</t>
  </si>
  <si>
    <t>CRITERIA TO ANALYZE MODEL OUTPUTS WHEN SIMULATING EFFECTS</t>
  </si>
  <si>
    <t>Effect size [%]</t>
  </si>
  <si>
    <t>Day after first application</t>
  </si>
  <si>
    <t>Date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</si>
  <si>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</si>
  <si>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</si>
  <si>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</si>
  <si>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</si>
  <si>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Simulated effect size  [%]</t>
  </si>
  <si>
    <t>Simulated effect size [%]</t>
  </si>
  <si>
    <t>Prepared by: Chiara Accolla, Amelie Schmolke</t>
  </si>
  <si>
    <t>Note: different dates w/r to phyto</t>
  </si>
  <si>
    <r>
      <t>Model output for the</t>
    </r>
    <r>
      <rPr>
        <b/>
        <sz val="14"/>
        <color rgb="FFFF0000"/>
        <rFont val="Calibri"/>
        <family val="2"/>
        <scheme val="minor"/>
      </rPr>
      <t xml:space="preserve"> 3-peak study</t>
    </r>
  </si>
  <si>
    <t xml:space="preserve">Instructions:  In each tab, fill in the simulated percentage effect size. 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</si>
  <si>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</si>
  <si>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</si>
  <si>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t>Ecosystem modeling of mesocosm studies: Azoxystrobin effect validation criteria - 3-peak scenario</t>
  </si>
  <si>
    <r>
      <t xml:space="preserve">2. the % simulated effect size (this time </t>
    </r>
    <r>
      <rPr>
        <b/>
        <sz val="11"/>
        <color theme="1"/>
        <rFont val="Calibri"/>
        <family val="2"/>
        <scheme val="minor"/>
      </rPr>
      <t>WITHOUT the MDD grey area</t>
    </r>
    <r>
      <rPr>
        <sz val="11"/>
        <color theme="1"/>
        <rFont val="Calibri"/>
        <family val="2"/>
        <scheme val="minor"/>
      </rPr>
      <t>).</t>
    </r>
  </si>
  <si>
    <t>Cryptophytes</t>
  </si>
  <si>
    <t xml:space="preserve">Diatoms </t>
  </si>
  <si>
    <t>Sum Copepoda</t>
  </si>
  <si>
    <t xml:space="preserve">Nauplii </t>
  </si>
  <si>
    <t xml:space="preserve">Copepodit + adults </t>
  </si>
  <si>
    <t>Cladocera_small</t>
  </si>
  <si>
    <t xml:space="preserve">Sum Rotatoria </t>
  </si>
  <si>
    <t xml:space="preserve">Daphnia </t>
  </si>
  <si>
    <t>day 5</t>
  </si>
  <si>
    <t>day 9</t>
  </si>
  <si>
    <t>day 12</t>
  </si>
  <si>
    <t>day 19</t>
  </si>
  <si>
    <t>day 26</t>
  </si>
  <si>
    <t>day 33</t>
  </si>
  <si>
    <t>day 40</t>
  </si>
  <si>
    <t>day 47</t>
  </si>
  <si>
    <t>day 54</t>
  </si>
  <si>
    <t>day 61</t>
  </si>
  <si>
    <t>day 68</t>
  </si>
  <si>
    <t>day 75</t>
  </si>
  <si>
    <t>day 82</t>
  </si>
  <si>
    <t>day 14</t>
  </si>
  <si>
    <t>day 28</t>
  </si>
  <si>
    <t>day 35</t>
  </si>
  <si>
    <t>day 42</t>
  </si>
  <si>
    <t>day 49</t>
  </si>
  <si>
    <t>day 56</t>
  </si>
  <si>
    <t>day 63</t>
  </si>
  <si>
    <t>day 70</t>
  </si>
  <si>
    <t>day 77</t>
  </si>
  <si>
    <t>day 84</t>
  </si>
  <si>
    <t>Note: sampling dates for phytoplankton differ with respect to the other species groups</t>
  </si>
  <si>
    <r>
      <t>The following sheets in this file provide the templates for reporting the effect-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 at relevant sampling dates. </t>
    </r>
    <r>
      <rPr>
        <b/>
        <sz val="11"/>
        <color rgb="FFFF0000"/>
        <rFont val="Calibri"/>
        <family val="2"/>
        <scheme val="minor"/>
      </rPr>
      <t>All dates listed apply to the highest treatment level (33 µg ai/L) applied in the 2021 AZT mesocosm study.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template. </t>
    </r>
  </si>
  <si>
    <t>Date: March 2 2023</t>
  </si>
  <si>
    <t>E213p33_hab1_PhDiatoms_Algae</t>
  </si>
  <si>
    <t>E213p33_hab1_PhCryptophytes_Algae</t>
  </si>
  <si>
    <t>E213p33_hab1_CopepodaPredatory_Invertebrates</t>
  </si>
  <si>
    <t>E213p33_hab1_RotiferaHerbivorous2_Invertebrates</t>
  </si>
  <si>
    <t>E213p33_hab1_CladoceraSmall_Invertebrates</t>
  </si>
  <si>
    <t>E213p33_hab1_Daphnidae_Invertebrates</t>
  </si>
  <si>
    <t>sim.b$DAT</t>
  </si>
  <si>
    <t>E213p03_hab1_FPOM_POM</t>
  </si>
  <si>
    <t>E213p03_hab1_PhBlueGreens_Algae</t>
  </si>
  <si>
    <t>E213p03_hab1_PhGreens_Algae</t>
  </si>
  <si>
    <t>E213p03_hab1_PhDiatoms_Algae</t>
  </si>
  <si>
    <t>E213p03_hab1_PhCryptophytes_Algae</t>
  </si>
  <si>
    <t>E213p03_hab1_PeBlueGreens_Algae</t>
  </si>
  <si>
    <t>E213p03_hab1_PeGreens_Algae</t>
  </si>
  <si>
    <t>E213p03_hab1_PeDiatoms_Algae</t>
  </si>
  <si>
    <t>E213p03_hab1_CladoceraPhytophilous_Invertebrates</t>
  </si>
  <si>
    <t>E213p03_hab1_CladoceraSmall_Invertebrates</t>
  </si>
  <si>
    <t>E213p03_hab1_CopepodaHerbivorous_Invertebrates</t>
  </si>
  <si>
    <t>E213p03_hab1_CopepodaPredatory_Invertebrates</t>
  </si>
  <si>
    <t>E213p03_hab1_Daphnidae_Invertebrates</t>
  </si>
  <si>
    <t>E213p03_hab1_Simocephalus_Invertebrates</t>
  </si>
  <si>
    <t>E213p03_hab1_RotiferaHerbivorous1_Invertebrates</t>
  </si>
  <si>
    <t>E213p03_hab1_RotiferaHerbivorous2_Invertebrates</t>
  </si>
  <si>
    <t>E213p03_hab1_Asellus_Invertebrates</t>
  </si>
  <si>
    <t>E213p03_hab1_Chaoborus_Invertebrates</t>
  </si>
  <si>
    <t>E213p03_hab1_Chironomidae_Invertebrates</t>
  </si>
  <si>
    <t>E213p03_hab1_Cloeon_Invertebrates</t>
  </si>
  <si>
    <t>E213p03_hab1_Gammarus_Invertebrates</t>
  </si>
  <si>
    <t>E213p03_hab1_Gastropoda_Invertebrates</t>
  </si>
  <si>
    <t>E213p03_hab1_Hirudinea_Invertebrates</t>
  </si>
  <si>
    <t>E213p03_hab1_Nepomorpha_Invertebrates</t>
  </si>
  <si>
    <t>E213p03_hab1_Odonata_Invertebrates</t>
  </si>
  <si>
    <t>E213p03_hab1_Oligochaeta_Invertebrates</t>
  </si>
  <si>
    <t>E213p03_hab1_Tanypodinae_Invertebrates</t>
  </si>
  <si>
    <t>E213p10_hab1_FPOM_POM</t>
  </si>
  <si>
    <t>E213p10_hab1_PhBlueGreens_Algae</t>
  </si>
  <si>
    <t>E213p10_hab1_PhGreens_Algae</t>
  </si>
  <si>
    <t>E213p10_hab1_PhDiatoms_Algae</t>
  </si>
  <si>
    <t>E213p10_hab1_PhCryptophytes_Algae</t>
  </si>
  <si>
    <t>E213p10_hab1_PeBlueGreens_Algae</t>
  </si>
  <si>
    <t>E213p10_hab1_PeGreens_Algae</t>
  </si>
  <si>
    <t>E213p10_hab1_PeDiatoms_Algae</t>
  </si>
  <si>
    <t>E213p10_hab1_CladoceraPhytophilous_Invertebrates</t>
  </si>
  <si>
    <t>E213p10_hab1_CladoceraSmall_Invertebrates</t>
  </si>
  <si>
    <t>E213p10_hab1_CopepodaHerbivorous_Invertebrates</t>
  </si>
  <si>
    <t>E213p10_hab1_CopepodaPredatory_Invertebrates</t>
  </si>
  <si>
    <t>E213p10_hab1_Daphnidae_Invertebrates</t>
  </si>
  <si>
    <t>E213p10_hab1_Simocephalus_Invertebrates</t>
  </si>
  <si>
    <t>E213p10_hab1_RotiferaHerbivorous1_Invertebrates</t>
  </si>
  <si>
    <t>E213p10_hab1_RotiferaHerbivorous2_Invertebrates</t>
  </si>
  <si>
    <t>E213p10_hab1_Asellus_Invertebrates</t>
  </si>
  <si>
    <t>E213p10_hab1_Chaoborus_Invertebrates</t>
  </si>
  <si>
    <t>E213p10_hab1_Chironomidae_Invertebrates</t>
  </si>
  <si>
    <t>E213p10_hab1_Cloeon_Invertebrates</t>
  </si>
  <si>
    <t>E213p10_hab1_Gammarus_Invertebrates</t>
  </si>
  <si>
    <t>E213p10_hab1_Gastropoda_Invertebrates</t>
  </si>
  <si>
    <t>E213p10_hab1_Hirudinea_Invertebrates</t>
  </si>
  <si>
    <t>E213p10_hab1_Nepomorpha_Invertebrates</t>
  </si>
  <si>
    <t>E213p10_hab1_Odonata_Invertebrates</t>
  </si>
  <si>
    <t>E213p10_hab1_Oligochaeta_Invertebrates</t>
  </si>
  <si>
    <t>E213p10_hab1_Tanypodinae_Invertebrates</t>
  </si>
  <si>
    <t>E213p33_hab1_FPOM_POM</t>
  </si>
  <si>
    <t>E213p33_hab1_PhBlueGreens_Algae</t>
  </si>
  <si>
    <t>E213p33_hab1_PhGreens_Algae</t>
  </si>
  <si>
    <t>E213p33_hab1_PeBlueGreens_Algae</t>
  </si>
  <si>
    <t>E213p33_hab1_PeGreens_Algae</t>
  </si>
  <si>
    <t>E213p33_hab1_PeDiatoms_Algae</t>
  </si>
  <si>
    <t>E213p33_hab1_CladoceraPhytophilous_Invertebrates</t>
  </si>
  <si>
    <t>E213p33_hab1_CopepodaHerbivorous_Invertebrates</t>
  </si>
  <si>
    <t>E213p33_hab1_Simocephalus_Invertebrates</t>
  </si>
  <si>
    <t>E213p33_hab1_RotiferaHerbivorous1_Invertebrates</t>
  </si>
  <si>
    <t>E213p33_hab1_Asellus_Invertebrates</t>
  </si>
  <si>
    <t>E213p33_hab1_Chaoborus_Invertebrates</t>
  </si>
  <si>
    <t>E213p33_hab1_Chironomidae_Invertebrates</t>
  </si>
  <si>
    <t>E213p33_hab1_Cloeon_Invertebrates</t>
  </si>
  <si>
    <t>E213p33_hab1_Gammarus_Invertebrates</t>
  </si>
  <si>
    <t>E213p33_hab1_Gastropoda_Invertebrates</t>
  </si>
  <si>
    <t>E213p33_hab1_Hirudinea_Invertebrates</t>
  </si>
  <si>
    <t>E213p33_hab1_Nepomorpha_Invertebrates</t>
  </si>
  <si>
    <t>E213p33_hab1_Odonata_Invertebrates</t>
  </si>
  <si>
    <t>E213p33_hab1_Oligochaeta_Invertebrates</t>
  </si>
  <si>
    <t>E213p33_hab1_Tanypodinae_Invertebrates</t>
  </si>
  <si>
    <t>NA</t>
  </si>
  <si>
    <t>TRUE</t>
  </si>
  <si>
    <t>FALSE</t>
  </si>
  <si>
    <t>How many species - sampling days fulfill the criterion? (criterion: effect size &lt;20%)</t>
  </si>
  <si>
    <t>Total</t>
  </si>
  <si>
    <t>Score</t>
  </si>
  <si>
    <t>DAT 1 =17.06.2021</t>
  </si>
  <si>
    <t>85% of the species - sampling date combinations fulfill the criterion of no effect (effect size &lt;20%)</t>
  </si>
  <si>
    <t>not considered</t>
  </si>
  <si>
    <t>with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</si>
</sst>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/d/yyyy;@"/>
    <numFmt numFmtId="165" formatCode="_ * #,##0_ ;_ * \-#,##0_ ;_ * &quot;-&quot;??_ ;_ @_ "/>
    <numFmt numFmtId="166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10" xfId="0" applyBorder="1" applyAlignment="1">
      <alignment wrapText="1"/>
    </xf>
    <xf numFmtId="1" fontId="14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0" fillId="0" borderId="0" xfId="3" applyFont="1"/>
    <xf numFmtId="0" fontId="0" fillId="0" borderId="9" xfId="0" applyBorder="1"/>
    <xf numFmtId="9" fontId="0" fillId="0" borderId="9" xfId="3" applyFont="1" applyBorder="1"/>
    <xf numFmtId="0" fontId="0" fillId="0" borderId="13" xfId="0" applyBorder="1"/>
    <xf numFmtId="9" fontId="0" fillId="0" borderId="13" xfId="3" applyFont="1" applyBorder="1"/>
    <xf numFmtId="165" fontId="0" fillId="0" borderId="1" xfId="2" applyNumberFormat="1" applyFont="1" applyBorder="1" applyAlignment="1">
      <alignment vertical="center"/>
    </xf>
    <xf numFmtId="166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Komma" xfId="2" builtinId="3"/>
    <cellStyle name="Prozent" xfId="3" builtinId="5"/>
    <cellStyle name="Standard" xfId="0" builtinId="0"/>
    <cellStyle name="Standard 2" xfId="1" xr:uid="{B0276868-D239-44BE-82E6-C77F60FCD0FE}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3"/>
  <sheetViews>
    <sheetView tabSelected="1" workbookViewId="0">
      <selection activeCell="B23" sqref="B23"/>
    </sheetView>
  </sheetViews>
  <sheetFormatPr baseColWidth="10" defaultColWidth="9.140625" defaultRowHeight="15" x14ac:dyDescent="0.25"/>
  <cols>
    <col min="1" max="1" width="9.140625" style="3"/>
    <col min="2" max="2" width="200.42578125" customWidth="1"/>
    <col min="4" max="4" width="11" customWidth="1"/>
  </cols>
  <sheetData>
    <row r="1" spans="1:7" ht="27.95" customHeight="1" x14ac:dyDescent="0.25">
      <c r="A1" s="54" t="s">
        <v>2</v>
      </c>
      <c r="B1" s="55"/>
      <c r="C1" s="55"/>
      <c r="D1" s="55"/>
      <c r="E1" s="55"/>
      <c r="F1" s="55"/>
      <c r="G1" s="56"/>
    </row>
    <row r="2" spans="1:7" ht="27.95" customHeight="1" x14ac:dyDescent="0.25">
      <c r="A2" s="4"/>
      <c r="B2" s="4"/>
      <c r="C2" s="4"/>
      <c r="D2" s="4"/>
      <c r="E2" s="4"/>
      <c r="F2" s="4"/>
      <c r="G2" s="4"/>
    </row>
    <row r="3" spans="1:7" ht="27.95" customHeight="1" x14ac:dyDescent="0.25">
      <c r="A3" s="14" t="s">
        <v>18</v>
      </c>
      <c r="B3" s="4"/>
      <c r="C3" s="4"/>
      <c r="D3" s="4"/>
      <c r="E3" s="4"/>
      <c r="F3" s="4"/>
      <c r="G3" s="4"/>
    </row>
    <row r="4" spans="1:7" ht="27.95" customHeight="1" x14ac:dyDescent="0.25">
      <c r="A4" s="14" t="s">
        <v>53</v>
      </c>
      <c r="B4" s="4"/>
      <c r="C4" s="4"/>
      <c r="D4" s="4"/>
      <c r="E4" s="4"/>
      <c r="F4" s="4"/>
      <c r="G4" s="4"/>
    </row>
    <row r="5" spans="1:7" ht="27.95" customHeight="1" x14ac:dyDescent="0.25">
      <c r="A5" s="14" t="s">
        <v>12</v>
      </c>
      <c r="B5" s="4"/>
      <c r="C5" s="4"/>
      <c r="D5" s="4"/>
      <c r="E5" s="4"/>
      <c r="F5" s="4"/>
      <c r="G5" s="4"/>
    </row>
    <row r="6" spans="1:7" ht="66" customHeight="1" x14ac:dyDescent="0.25">
      <c r="B6" s="15" t="s">
        <v>52</v>
      </c>
      <c r="C6" s="16"/>
      <c r="D6" s="17"/>
      <c r="E6" s="4"/>
      <c r="F6" s="4"/>
      <c r="G6" s="4"/>
    </row>
    <row r="7" spans="1:7" ht="39" customHeight="1" x14ac:dyDescent="0.25">
      <c r="B7" s="15" t="s">
        <v>15</v>
      </c>
      <c r="C7" s="4"/>
      <c r="D7" s="4"/>
      <c r="E7" s="4"/>
      <c r="F7" s="4"/>
      <c r="G7" s="4"/>
    </row>
    <row r="8" spans="1:7" ht="27.95" customHeight="1" x14ac:dyDescent="0.25">
      <c r="A8" s="4"/>
      <c r="B8" s="4"/>
      <c r="C8" s="4"/>
      <c r="D8" s="4"/>
      <c r="E8" s="4"/>
      <c r="F8" s="4"/>
      <c r="G8" s="4"/>
    </row>
    <row r="10" spans="1:7" x14ac:dyDescent="0.25">
      <c r="A10" t="s">
        <v>0</v>
      </c>
      <c r="B10" t="s">
        <v>16</v>
      </c>
    </row>
    <row r="11" spans="1:7" x14ac:dyDescent="0.25">
      <c r="A11"/>
      <c r="B11" t="s">
        <v>17</v>
      </c>
    </row>
    <row r="12" spans="1:7" x14ac:dyDescent="0.25">
      <c r="A12"/>
      <c r="B12" t="s">
        <v>19</v>
      </c>
    </row>
    <row r="13" spans="1:7" x14ac:dyDescent="0.25">
      <c r="A13"/>
    </row>
    <row r="14" spans="1:7" x14ac:dyDescent="0.25">
      <c r="A14"/>
    </row>
    <row r="15" spans="1:7" x14ac:dyDescent="0.25">
      <c r="A15"/>
      <c r="B15" s="19"/>
    </row>
    <row r="16" spans="1:7" x14ac:dyDescent="0.25">
      <c r="A16"/>
    </row>
    <row r="18" spans="1:15" x14ac:dyDescent="0.25">
      <c r="A18"/>
      <c r="B18" s="40"/>
    </row>
    <row r="20" spans="1:15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C21" s="1"/>
    </row>
    <row r="22" spans="1:15" x14ac:dyDescent="0.25">
      <c r="B22" s="1"/>
      <c r="C22" s="1"/>
      <c r="D22" s="1"/>
    </row>
    <row r="23" spans="1:15" x14ac:dyDescent="0.25">
      <c r="A23"/>
      <c r="B23" s="1"/>
      <c r="C23" s="1"/>
      <c r="D23" s="1"/>
    </row>
    <row r="26" spans="1:15" x14ac:dyDescent="0.25">
      <c r="C26" s="1"/>
    </row>
    <row r="27" spans="1:15" x14ac:dyDescent="0.25">
      <c r="B27" s="1"/>
      <c r="C27" s="1"/>
      <c r="D27" s="1"/>
      <c r="E27" s="1"/>
      <c r="F27" s="1"/>
      <c r="G27" s="1"/>
      <c r="H27" s="1"/>
    </row>
    <row r="28" spans="1:15" x14ac:dyDescent="0.25">
      <c r="A28"/>
      <c r="B28" s="1"/>
      <c r="C28" s="1"/>
      <c r="D28" s="1"/>
      <c r="E28" s="1"/>
      <c r="F28" s="1"/>
      <c r="G28" s="1"/>
      <c r="H28" s="1"/>
    </row>
    <row r="31" spans="1:15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5" x14ac:dyDescent="0.25">
      <c r="C32" s="1"/>
    </row>
    <row r="33" spans="1:4" x14ac:dyDescent="0.25">
      <c r="A33" s="4"/>
      <c r="B33" s="11"/>
      <c r="C33" s="11"/>
      <c r="D33" s="11"/>
    </row>
    <row r="34" spans="1:4" x14ac:dyDescent="0.25">
      <c r="A34" s="11"/>
      <c r="B34" s="11"/>
      <c r="C34" s="11"/>
      <c r="D34" s="11"/>
    </row>
    <row r="38" spans="1:4" x14ac:dyDescent="0.25">
      <c r="C38" s="1"/>
    </row>
    <row r="39" spans="1:4" x14ac:dyDescent="0.25">
      <c r="B39" s="1"/>
      <c r="C39" s="1"/>
      <c r="D39" s="1"/>
    </row>
    <row r="40" spans="1:4" x14ac:dyDescent="0.25">
      <c r="A40"/>
      <c r="B40" s="1"/>
      <c r="C40" s="1"/>
      <c r="D40" s="1"/>
    </row>
    <row r="42" spans="1:4" x14ac:dyDescent="0.25">
      <c r="C42" s="1"/>
    </row>
    <row r="43" spans="1:4" x14ac:dyDescent="0.25">
      <c r="B43" s="1"/>
      <c r="C43" s="1"/>
    </row>
    <row r="44" spans="1:4" x14ac:dyDescent="0.25">
      <c r="A44"/>
      <c r="B44" s="1"/>
      <c r="C44" s="1"/>
    </row>
    <row r="46" spans="1:4" x14ac:dyDescent="0.25">
      <c r="C46" s="1"/>
    </row>
    <row r="47" spans="1:4" x14ac:dyDescent="0.25">
      <c r="B47" s="1"/>
      <c r="C47" s="1"/>
      <c r="D47" s="1"/>
    </row>
    <row r="48" spans="1:4" x14ac:dyDescent="0.25">
      <c r="A48"/>
      <c r="B48" s="1"/>
      <c r="C48" s="1"/>
      <c r="D48" s="1"/>
    </row>
    <row r="50" spans="1:5" x14ac:dyDescent="0.25">
      <c r="C50" s="1"/>
    </row>
    <row r="51" spans="1:5" x14ac:dyDescent="0.25">
      <c r="B51" s="1"/>
      <c r="C51" s="1"/>
      <c r="D51" s="1"/>
      <c r="E51" s="1"/>
    </row>
    <row r="52" spans="1:5" x14ac:dyDescent="0.25">
      <c r="A52"/>
      <c r="B52" s="1"/>
      <c r="C52" s="1"/>
      <c r="D52" s="1"/>
      <c r="E52" s="1"/>
    </row>
    <row r="53" spans="1:5" x14ac:dyDescent="0.25">
      <c r="A53"/>
      <c r="B53" s="1"/>
      <c r="C53" s="1"/>
      <c r="D53" s="1"/>
      <c r="E53" s="1"/>
    </row>
  </sheetData>
  <mergeCells count="2">
    <mergeCell ref="A31:O31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W27"/>
  <sheetViews>
    <sheetView workbookViewId="0">
      <selection activeCell="I17" sqref="I17"/>
    </sheetView>
  </sheetViews>
  <sheetFormatPr baseColWidth="10" defaultColWidth="9.140625" defaultRowHeight="15" x14ac:dyDescent="0.25"/>
  <cols>
    <col min="1" max="1" width="18.7109375" style="19" customWidth="1"/>
    <col min="2" max="15" width="10.7109375" customWidth="1"/>
  </cols>
  <sheetData>
    <row r="1" spans="1:23" ht="15.75" thickBot="1" x14ac:dyDescent="0.3">
      <c r="A1" s="2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R1" s="8"/>
      <c r="S1" s="8"/>
      <c r="T1" s="8"/>
      <c r="U1" s="8"/>
      <c r="V1" s="8"/>
    </row>
    <row r="2" spans="1:23" ht="27.95" customHeight="1" thickBot="1" x14ac:dyDescent="0.3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P2" s="7"/>
      <c r="Q2" s="6"/>
      <c r="R2" s="6"/>
      <c r="S2" s="6"/>
      <c r="T2" s="6"/>
      <c r="U2" s="6"/>
      <c r="V2" s="6"/>
    </row>
    <row r="3" spans="1:23" ht="27.95" customHeight="1" thickBot="1" x14ac:dyDescent="0.3">
      <c r="A3" s="29" t="s">
        <v>21</v>
      </c>
      <c r="B3" s="58" t="s">
        <v>14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21"/>
    </row>
    <row r="4" spans="1:23" ht="30" customHeight="1" x14ac:dyDescent="0.25">
      <c r="A4" s="32" t="s">
        <v>5</v>
      </c>
      <c r="B4" s="13">
        <v>44368</v>
      </c>
      <c r="C4" s="13">
        <v>44372</v>
      </c>
      <c r="D4" s="13">
        <v>44377</v>
      </c>
      <c r="E4" s="13">
        <v>44382</v>
      </c>
      <c r="F4" s="13">
        <v>44391</v>
      </c>
      <c r="G4" s="13">
        <v>44398</v>
      </c>
      <c r="H4" s="13">
        <v>44405</v>
      </c>
      <c r="I4" s="13">
        <v>44412</v>
      </c>
      <c r="J4" s="13">
        <v>44419</v>
      </c>
      <c r="K4" s="13">
        <v>44426</v>
      </c>
      <c r="L4" s="13">
        <v>44433</v>
      </c>
      <c r="M4" s="13">
        <v>44440</v>
      </c>
      <c r="N4" s="13">
        <v>44447</v>
      </c>
      <c r="O4" s="18"/>
    </row>
    <row r="5" spans="1:23" ht="30" customHeight="1" x14ac:dyDescent="0.25">
      <c r="A5" s="32" t="s">
        <v>4</v>
      </c>
      <c r="B5" s="2" t="s">
        <v>28</v>
      </c>
      <c r="C5" s="2" t="s">
        <v>29</v>
      </c>
      <c r="D5" s="2" t="s">
        <v>41</v>
      </c>
      <c r="E5" s="2" t="s">
        <v>31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  <c r="O5" s="1"/>
      <c r="W5" s="33"/>
    </row>
    <row r="6" spans="1:23" ht="30" customHeight="1" x14ac:dyDescent="0.25">
      <c r="A6" s="26" t="s">
        <v>10</v>
      </c>
      <c r="B6" s="51">
        <f>INDEX(raw_data_effect!$1:$1048576,MATCH(B$5,raw_data_effect!$I:$I,0),MATCH($A$3,raw_data_effect!$1:$1,0))</f>
        <v>-0.43111549669494897</v>
      </c>
      <c r="C6" s="51">
        <f>INDEX(raw_data_effect!$1:$1048576,MATCH(C$5,raw_data_effect!$I:$I,0),MATCH($A$3,raw_data_effect!$1:$1,0))</f>
        <v>-0.59154886006132301</v>
      </c>
      <c r="D6" s="51">
        <f>INDEX(raw_data_effect!$1:$1048576,MATCH(D$5,raw_data_effect!$I:$I,0),MATCH($A$3,raw_data_effect!$1:$1,0))</f>
        <v>4.8772557809771298E-3</v>
      </c>
      <c r="E6" s="51">
        <f>INDEX(raw_data_effect!$1:$1048576,MATCH(E$5,raw_data_effect!$I:$I,0),MATCH($A$3,raw_data_effect!$1:$1,0))</f>
        <v>0.41128594916456801</v>
      </c>
      <c r="F6" s="51">
        <f>INDEX(raw_data_effect!$1:$1048576,MATCH(F$5,raw_data_effect!$I:$I,0),MATCH($A$3,raw_data_effect!$1:$1,0))</f>
        <v>0.50535138166193305</v>
      </c>
      <c r="G6" s="51">
        <f>INDEX(raw_data_effect!$1:$1048576,MATCH(G$5,raw_data_effect!$I:$I,0),MATCH($A$3,raw_data_effect!$1:$1,0))</f>
        <v>-0.146079694322959</v>
      </c>
      <c r="H6" s="51">
        <f>INDEX(raw_data_effect!$1:$1048576,MATCH(H$5,raw_data_effect!$I:$I,0),MATCH($A$3,raw_data_effect!$1:$1,0))</f>
        <v>-1.3699969571038699</v>
      </c>
      <c r="I6" s="51">
        <f>INDEX(raw_data_effect!$1:$1048576,MATCH(I$5,raw_data_effect!$I:$I,0),MATCH($A$3,raw_data_effect!$1:$1,0))</f>
        <v>-2.5772948161518299</v>
      </c>
      <c r="J6" s="51">
        <f>INDEX(raw_data_effect!$1:$1048576,MATCH(J$5,raw_data_effect!$I:$I,0),MATCH($A$3,raw_data_effect!$1:$1,0))</f>
        <v>-3.6965488168149401</v>
      </c>
      <c r="K6" s="51">
        <f>INDEX(raw_data_effect!$1:$1048576,MATCH(K$5,raw_data_effect!$I:$I,0),MATCH($A$3,raw_data_effect!$1:$1,0))</f>
        <v>-5.0435465111369</v>
      </c>
      <c r="L6" s="51">
        <f>INDEX(raw_data_effect!$1:$1048576,MATCH(L$5,raw_data_effect!$I:$I,0),MATCH($A$3,raw_data_effect!$1:$1,0))</f>
        <v>-6.2898993167210699</v>
      </c>
      <c r="M6" s="51">
        <f>INDEX(raw_data_effect!$1:$1048576,MATCH(M$5,raw_data_effect!$I:$I,0),MATCH($A$3,raw_data_effect!$1:$1,0))</f>
        <v>-7.3431135528961198</v>
      </c>
      <c r="N6" s="51">
        <f>INDEX(raw_data_effect!$1:$1048576,MATCH(N$5,raw_data_effect!$I:$I,0),MATCH($A$3,raw_data_effect!$1:$1,0))</f>
        <v>-8.4140845686091605</v>
      </c>
      <c r="O6" s="1"/>
      <c r="W6" s="33"/>
    </row>
    <row r="7" spans="1:23" ht="30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W7" s="33"/>
    </row>
    <row r="8" spans="1:23" ht="30" customHeight="1" x14ac:dyDescent="0.25">
      <c r="O8" s="18"/>
      <c r="W8" s="33"/>
    </row>
    <row r="9" spans="1:23" ht="30" customHeight="1" thickBot="1" x14ac:dyDescent="0.3">
      <c r="A9" s="6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1"/>
      <c r="P9" t="s">
        <v>51</v>
      </c>
      <c r="R9" s="1"/>
      <c r="W9" s="33"/>
    </row>
    <row r="10" spans="1:23" ht="30" customHeight="1" thickBot="1" x14ac:dyDescent="0.3">
      <c r="A10" s="44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O10" s="1"/>
      <c r="R10" s="1"/>
      <c r="W10" s="33"/>
    </row>
    <row r="11" spans="1:23" ht="30" customHeight="1" thickBot="1" x14ac:dyDescent="0.3">
      <c r="A11" s="45" t="s">
        <v>20</v>
      </c>
      <c r="B11" s="59" t="s">
        <v>14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60"/>
      <c r="O11" s="1"/>
      <c r="W11" s="33"/>
    </row>
    <row r="12" spans="1:23" ht="30" customHeight="1" x14ac:dyDescent="0.25">
      <c r="A12" s="32" t="s">
        <v>5</v>
      </c>
      <c r="B12" s="13">
        <v>44368</v>
      </c>
      <c r="C12" s="13">
        <v>44372</v>
      </c>
      <c r="D12" s="13">
        <v>44377</v>
      </c>
      <c r="E12" s="13">
        <v>44382</v>
      </c>
      <c r="F12" s="13">
        <v>44391</v>
      </c>
      <c r="G12" s="13">
        <v>44398</v>
      </c>
      <c r="H12" s="13">
        <v>44405</v>
      </c>
      <c r="I12" s="13">
        <v>44412</v>
      </c>
      <c r="J12" s="13">
        <v>44419</v>
      </c>
      <c r="K12" s="13">
        <v>44426</v>
      </c>
      <c r="L12" s="13">
        <v>44433</v>
      </c>
      <c r="M12" s="13">
        <v>44440</v>
      </c>
      <c r="N12" s="13">
        <v>44447</v>
      </c>
      <c r="W12" s="33"/>
    </row>
    <row r="13" spans="1:23" ht="30" x14ac:dyDescent="0.25">
      <c r="A13" s="32" t="s">
        <v>4</v>
      </c>
      <c r="B13" s="2" t="s">
        <v>28</v>
      </c>
      <c r="C13" s="2" t="s">
        <v>29</v>
      </c>
      <c r="D13" s="2" t="s">
        <v>41</v>
      </c>
      <c r="E13" s="2" t="s">
        <v>31</v>
      </c>
      <c r="F13" s="2" t="s">
        <v>42</v>
      </c>
      <c r="G13" s="2" t="s">
        <v>43</v>
      </c>
      <c r="H13" s="2" t="s">
        <v>44</v>
      </c>
      <c r="I13" s="2" t="s">
        <v>45</v>
      </c>
      <c r="J13" s="2" t="s">
        <v>46</v>
      </c>
      <c r="K13" s="2" t="s">
        <v>47</v>
      </c>
      <c r="L13" s="2" t="s">
        <v>48</v>
      </c>
      <c r="M13" s="2" t="s">
        <v>49</v>
      </c>
      <c r="N13" s="2" t="s">
        <v>50</v>
      </c>
      <c r="W13" s="33"/>
    </row>
    <row r="14" spans="1:23" ht="30" x14ac:dyDescent="0.25">
      <c r="A14" s="26" t="s">
        <v>10</v>
      </c>
      <c r="B14" s="51">
        <f>INDEX(raw_data_effect!$1:$1048576,MATCH(B$13,raw_data_effect!$I:$I,0),MATCH($A$11,raw_data_effect!$1:$1,0))</f>
        <v>-0.41034794403907798</v>
      </c>
      <c r="C14" s="51">
        <f>INDEX(raw_data_effect!$1:$1048576,MATCH(C$13,raw_data_effect!$I:$I,0),MATCH($A$11,raw_data_effect!$1:$1,0))</f>
        <v>-0.56892876470617104</v>
      </c>
      <c r="D14" s="51">
        <f>INDEX(raw_data_effect!$1:$1048576,MATCH(D$13,raw_data_effect!$I:$I,0),MATCH($A$11,raw_data_effect!$1:$1,0))</f>
        <v>2.9314183359756499E-2</v>
      </c>
      <c r="E14" s="51">
        <f>INDEX(raw_data_effect!$1:$1048576,MATCH(E$13,raw_data_effect!$I:$I,0),MATCH($A$11,raw_data_effect!$1:$1,0))</f>
        <v>0.43727187353264901</v>
      </c>
      <c r="F14" s="51">
        <f>INDEX(raw_data_effect!$1:$1048576,MATCH(F$13,raw_data_effect!$I:$I,0),MATCH($A$11,raw_data_effect!$1:$1,0))</f>
        <v>0.53228230045293401</v>
      </c>
      <c r="G14" s="51">
        <f>INDEX(raw_data_effect!$1:$1048576,MATCH(G$13,raw_data_effect!$I:$I,0),MATCH($A$11,raw_data_effect!$1:$1,0))</f>
        <v>-0.11910971725479901</v>
      </c>
      <c r="H14" s="51">
        <f>INDEX(raw_data_effect!$1:$1048576,MATCH(H$13,raw_data_effect!$I:$I,0),MATCH($A$11,raw_data_effect!$1:$1,0))</f>
        <v>-1.3431268177453199</v>
      </c>
      <c r="I14" s="51">
        <f>INDEX(raw_data_effect!$1:$1048576,MATCH(I$13,raw_data_effect!$I:$I,0),MATCH($A$11,raw_data_effect!$1:$1,0))</f>
        <v>-2.5505842146833899</v>
      </c>
      <c r="J14" s="51">
        <f>INDEX(raw_data_effect!$1:$1048576,MATCH(J$13,raw_data_effect!$I:$I,0),MATCH($A$11,raw_data_effect!$1:$1,0))</f>
        <v>-3.67010784439295</v>
      </c>
      <c r="K14" s="51">
        <f>INDEX(raw_data_effect!$1:$1048576,MATCH(K$13,raw_data_effect!$I:$I,0),MATCH($A$11,raw_data_effect!$1:$1,0))</f>
        <v>-5.01750034157077</v>
      </c>
      <c r="L14" s="51">
        <f>INDEX(raw_data_effect!$1:$1048576,MATCH(L$13,raw_data_effect!$I:$I,0),MATCH($A$11,raw_data_effect!$1:$1,0))</f>
        <v>-6.2641898624314498</v>
      </c>
      <c r="M14" s="51">
        <f>INDEX(raw_data_effect!$1:$1048576,MATCH(M$13,raw_data_effect!$I:$I,0),MATCH($A$11,raw_data_effect!$1:$1,0))</f>
        <v>-7.3176752551196698</v>
      </c>
      <c r="N14" s="51">
        <f>INDEX(raw_data_effect!$1:$1048576,MATCH(N$13,raw_data_effect!$I:$I,0),MATCH($A$11,raw_data_effect!$1:$1,0))</f>
        <v>-8.3889554826294699</v>
      </c>
      <c r="W14" s="33"/>
    </row>
    <row r="15" spans="1:23" ht="27.9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9"/>
      <c r="P15" s="36"/>
      <c r="W15" s="35"/>
    </row>
    <row r="16" spans="1:23" ht="30" customHeight="1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22" ht="30" customHeight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7"/>
      <c r="R17" s="57"/>
      <c r="S17" s="57"/>
      <c r="T17" s="57"/>
      <c r="U17" s="1"/>
      <c r="V17" s="1"/>
    </row>
    <row r="18" spans="1:22" ht="30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2" ht="30" customHeight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1" spans="1:22" ht="27.95" customHeight="1" x14ac:dyDescent="0.25">
      <c r="O21" s="39"/>
    </row>
    <row r="22" spans="1:22" ht="30" customHeight="1" x14ac:dyDescent="0.25">
      <c r="O22" s="18"/>
    </row>
    <row r="23" spans="1:22" ht="30" customHeight="1" x14ac:dyDescent="0.25">
      <c r="O23" s="1"/>
    </row>
    <row r="24" spans="1:22" ht="30" customHeight="1" x14ac:dyDescent="0.25">
      <c r="O24" s="1"/>
    </row>
    <row r="25" spans="1:22" ht="30" customHeight="1" x14ac:dyDescent="0.25">
      <c r="O25" s="1"/>
    </row>
    <row r="27" spans="1:22" x14ac:dyDescent="0.25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">
    <mergeCell ref="Q17:T17"/>
    <mergeCell ref="B3:N3"/>
    <mergeCell ref="B11:N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U25"/>
  <sheetViews>
    <sheetView workbookViewId="0">
      <selection activeCell="H12" sqref="H12"/>
    </sheetView>
  </sheetViews>
  <sheetFormatPr baseColWidth="10" defaultColWidth="9.140625" defaultRowHeight="15" x14ac:dyDescent="0.25"/>
  <cols>
    <col min="1" max="1" width="21.7109375" style="19" customWidth="1"/>
    <col min="2" max="15" width="10.7109375" customWidth="1"/>
  </cols>
  <sheetData>
    <row r="1" spans="1:21" ht="36" customHeight="1" x14ac:dyDescent="0.25">
      <c r="A1" s="30" t="s">
        <v>6</v>
      </c>
      <c r="B1" s="24" t="s">
        <v>7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6" customHeight="1" thickBot="1" x14ac:dyDescent="0.3">
      <c r="A2" s="31"/>
      <c r="B2" s="22"/>
      <c r="C2" s="23"/>
      <c r="D2" s="23"/>
      <c r="E2" s="23"/>
      <c r="F2" s="23"/>
      <c r="G2" s="23"/>
    </row>
    <row r="3" spans="1:21" ht="27.95" customHeight="1" thickBot="1" x14ac:dyDescent="0.3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3.75" customHeight="1" thickBot="1" x14ac:dyDescent="0.3">
      <c r="A4" s="29" t="s">
        <v>24</v>
      </c>
      <c r="B4" s="58" t="s">
        <v>14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60"/>
      <c r="O4" s="21"/>
    </row>
    <row r="5" spans="1:21" ht="30" customHeight="1" x14ac:dyDescent="0.25">
      <c r="A5" s="26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38">
        <v>44445</v>
      </c>
      <c r="O5" s="18"/>
    </row>
    <row r="6" spans="1:21" ht="30" customHeight="1" x14ac:dyDescent="0.2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25">
      <c r="A7" s="26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8"/>
      <c r="Q7" t="s">
        <v>13</v>
      </c>
    </row>
    <row r="8" spans="1:21" ht="30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8"/>
    </row>
    <row r="10" spans="1:21" ht="27.95" customHeight="1" x14ac:dyDescent="0.25">
      <c r="O10" s="21"/>
      <c r="R10" s="1"/>
    </row>
    <row r="11" spans="1:21" ht="30" customHeight="1" x14ac:dyDescent="0.25">
      <c r="A11" s="6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18"/>
      <c r="R11" s="1"/>
    </row>
    <row r="12" spans="1:21" ht="30" customHeight="1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</row>
    <row r="13" spans="1:21" ht="30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1" ht="30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 x14ac:dyDescent="0.25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1" ht="18.75" x14ac:dyDescent="0.25">
      <c r="A16" s="2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2:20" ht="27.95" customHeight="1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9"/>
    </row>
    <row r="18" spans="2:20" ht="30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8"/>
    </row>
    <row r="19" spans="2:20" ht="30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O19" s="1"/>
      <c r="Q19" s="57"/>
      <c r="R19" s="57"/>
      <c r="S19" s="57"/>
      <c r="T19" s="57"/>
    </row>
    <row r="20" spans="2:20" ht="30" customHeight="1" x14ac:dyDescent="0.25">
      <c r="O20" s="1"/>
    </row>
    <row r="22" spans="2:20" ht="27.95" customHeight="1" x14ac:dyDescent="0.25">
      <c r="O22" s="39"/>
    </row>
    <row r="23" spans="2:20" ht="30" customHeight="1" x14ac:dyDescent="0.25">
      <c r="O23" s="18"/>
    </row>
    <row r="24" spans="2:20" ht="30" customHeight="1" x14ac:dyDescent="0.25">
      <c r="O24" s="1"/>
    </row>
    <row r="25" spans="2:20" ht="30" customHeight="1" x14ac:dyDescent="0.25"/>
  </sheetData>
  <mergeCells count="2">
    <mergeCell ref="Q19:T19"/>
    <mergeCell ref="B4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U25"/>
  <sheetViews>
    <sheetView workbookViewId="0">
      <selection activeCell="Q7" sqref="Q7"/>
    </sheetView>
  </sheetViews>
  <sheetFormatPr baseColWidth="10" defaultColWidth="9.140625" defaultRowHeight="15" x14ac:dyDescent="0.25"/>
  <cols>
    <col min="1" max="1" width="20.7109375" style="19" customWidth="1"/>
    <col min="2" max="15" width="10.7109375" customWidth="1"/>
  </cols>
  <sheetData>
    <row r="1" spans="1:21" ht="35.1" customHeight="1" x14ac:dyDescent="0.25">
      <c r="A1" s="30" t="s">
        <v>6</v>
      </c>
      <c r="B1" s="24" t="s">
        <v>9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0" customHeight="1" thickBot="1" x14ac:dyDescent="0.3"/>
    <row r="3" spans="1:21" ht="30" customHeight="1" thickBot="1" x14ac:dyDescent="0.3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0" customHeight="1" thickBot="1" x14ac:dyDescent="0.3">
      <c r="A4" s="29" t="s">
        <v>23</v>
      </c>
      <c r="B4" s="58" t="s">
        <v>14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60"/>
      <c r="O4" s="21"/>
    </row>
    <row r="5" spans="1:21" ht="30" customHeight="1" x14ac:dyDescent="0.25">
      <c r="A5" s="26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37"/>
    </row>
    <row r="6" spans="1:21" ht="30" customHeight="1" x14ac:dyDescent="0.2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25">
      <c r="A7" s="26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  <c r="Q7" t="s">
        <v>13</v>
      </c>
    </row>
    <row r="8" spans="1:21" ht="30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1" ht="30" customHeight="1" x14ac:dyDescent="0.25"/>
    <row r="10" spans="1:21" ht="30" customHeight="1" x14ac:dyDescent="0.25">
      <c r="O10" s="21"/>
    </row>
    <row r="11" spans="1:21" ht="30" customHeight="1" x14ac:dyDescent="0.25">
      <c r="O11" s="18"/>
      <c r="R11" s="1"/>
    </row>
    <row r="12" spans="1:21" ht="30" customHeight="1" x14ac:dyDescent="0.25">
      <c r="O12" s="1"/>
      <c r="R12" s="1"/>
    </row>
    <row r="13" spans="1:21" ht="30" customHeight="1" x14ac:dyDescent="0.25">
      <c r="O13" s="1"/>
      <c r="Q13" s="34"/>
    </row>
    <row r="14" spans="1:21" ht="30" customHeight="1" x14ac:dyDescent="0.25">
      <c r="O14" s="1"/>
      <c r="Q14" s="34"/>
    </row>
    <row r="15" spans="1:21" x14ac:dyDescent="0.25">
      <c r="Q15" s="34"/>
    </row>
    <row r="16" spans="1:21" x14ac:dyDescent="0.25">
      <c r="Q16" s="34"/>
    </row>
    <row r="17" spans="17:17" x14ac:dyDescent="0.25">
      <c r="Q17" s="33"/>
    </row>
    <row r="18" spans="17:17" x14ac:dyDescent="0.25">
      <c r="Q18" s="33"/>
    </row>
    <row r="19" spans="17:17" x14ac:dyDescent="0.25">
      <c r="Q19" s="34"/>
    </row>
    <row r="20" spans="17:17" x14ac:dyDescent="0.25">
      <c r="Q20" s="33"/>
    </row>
    <row r="21" spans="17:17" x14ac:dyDescent="0.25">
      <c r="Q21" s="33"/>
    </row>
    <row r="22" spans="17:17" x14ac:dyDescent="0.25">
      <c r="Q22" s="33"/>
    </row>
    <row r="23" spans="17:17" x14ac:dyDescent="0.25">
      <c r="Q23" s="33"/>
    </row>
    <row r="24" spans="17:17" x14ac:dyDescent="0.25">
      <c r="Q24" s="33"/>
    </row>
    <row r="25" spans="17:17" x14ac:dyDescent="0.25">
      <c r="Q25" s="35"/>
    </row>
  </sheetData>
  <mergeCells count="1">
    <mergeCell ref="B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U29"/>
  <sheetViews>
    <sheetView workbookViewId="0">
      <selection activeCell="B7" sqref="B7:N7"/>
    </sheetView>
  </sheetViews>
  <sheetFormatPr baseColWidth="10" defaultColWidth="9.140625" defaultRowHeight="15" x14ac:dyDescent="0.25"/>
  <cols>
    <col min="1" max="1" width="18.7109375" customWidth="1"/>
    <col min="2" max="15" width="10.7109375" customWidth="1"/>
  </cols>
  <sheetData>
    <row r="1" spans="1:21" s="8" customFormat="1" ht="35.1" customHeight="1" x14ac:dyDescent="0.25">
      <c r="A1" s="24" t="s">
        <v>6</v>
      </c>
      <c r="B1" s="24" t="s">
        <v>8</v>
      </c>
      <c r="C1" s="25"/>
      <c r="D1" s="25"/>
      <c r="E1" s="25"/>
      <c r="F1" s="25"/>
      <c r="G1" s="25"/>
    </row>
    <row r="2" spans="1:21" ht="30" customHeight="1" thickBot="1" x14ac:dyDescent="0.3"/>
    <row r="3" spans="1:21" ht="27.95" customHeight="1" thickBot="1" x14ac:dyDescent="0.3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27.95" customHeight="1" thickBot="1" x14ac:dyDescent="0.3">
      <c r="A4" s="10" t="s">
        <v>22</v>
      </c>
      <c r="B4" s="58" t="s">
        <v>14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60"/>
      <c r="O4" s="21"/>
    </row>
    <row r="5" spans="1:21" ht="30" customHeight="1" x14ac:dyDescent="0.25">
      <c r="A5" s="5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21" ht="30" customHeight="1" x14ac:dyDescent="0.2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25">
      <c r="A7" s="5" t="s">
        <v>3</v>
      </c>
      <c r="B7" s="52">
        <f>INDEX(raw_data_effect!$1:$1048576,MATCH(B$6,raw_data_effect!$I:$I,0),MATCH($A$4,raw_data_effect!$1:$1,0))</f>
        <v>0.46767671464161797</v>
      </c>
      <c r="C7" s="52">
        <f>INDEX(raw_data_effect!$1:$1048576,MATCH(C$6,raw_data_effect!$I:$I,0),MATCH($A$4,raw_data_effect!$1:$1,0))</f>
        <v>-3.1391403581650899</v>
      </c>
      <c r="D7" s="52">
        <f>INDEX(raw_data_effect!$1:$1048576,MATCH(D$6,raw_data_effect!$I:$I,0),MATCH($A$4,raw_data_effect!$1:$1,0))</f>
        <v>-2.8718431823477402</v>
      </c>
      <c r="E7" s="52">
        <f>INDEX(raw_data_effect!$1:$1048576,MATCH(E$6,raw_data_effect!$I:$I,0),MATCH($A$4,raw_data_effect!$1:$1,0))</f>
        <v>-2.0116740172369099</v>
      </c>
      <c r="F7" s="52">
        <f>INDEX(raw_data_effect!$1:$1048576,MATCH(F$6,raw_data_effect!$I:$I,0),MATCH($A$4,raw_data_effect!$1:$1,0))</f>
        <v>-1.2314858417966399</v>
      </c>
      <c r="G7" s="52">
        <f>INDEX(raw_data_effect!$1:$1048576,MATCH(G$6,raw_data_effect!$I:$I,0),MATCH($A$4,raw_data_effect!$1:$1,0))</f>
        <v>-0.54430797166109901</v>
      </c>
      <c r="H7" s="52">
        <f>INDEX(raw_data_effect!$1:$1048576,MATCH(H$6,raw_data_effect!$I:$I,0),MATCH($A$4,raw_data_effect!$1:$1,0))</f>
        <v>-1.6690319786228501E-2</v>
      </c>
      <c r="I7" s="52">
        <f>INDEX(raw_data_effect!$1:$1048576,MATCH(I$6,raw_data_effect!$I:$I,0),MATCH($A$4,raw_data_effect!$1:$1,0))</f>
        <v>0.29727513384548898</v>
      </c>
      <c r="J7" s="52">
        <f>INDEX(raw_data_effect!$1:$1048576,MATCH(J$6,raw_data_effect!$I:$I,0),MATCH($A$4,raw_data_effect!$1:$1,0))</f>
        <v>0.480809266772529</v>
      </c>
      <c r="K7" s="52">
        <f>INDEX(raw_data_effect!$1:$1048576,MATCH(K$6,raw_data_effect!$I:$I,0),MATCH($A$4,raw_data_effect!$1:$1,0))</f>
        <v>0.63259024163261901</v>
      </c>
      <c r="L7" s="52">
        <f>INDEX(raw_data_effect!$1:$1048576,MATCH(L$6,raw_data_effect!$I:$I,0),MATCH($A$4,raw_data_effect!$1:$1,0))</f>
        <v>0.75269516166789197</v>
      </c>
      <c r="M7" s="52">
        <f>INDEX(raw_data_effect!$1:$1048576,MATCH(M$6,raw_data_effect!$I:$I,0),MATCH($A$4,raw_data_effect!$1:$1,0))</f>
        <v>0.83163653118448899</v>
      </c>
      <c r="N7" s="52">
        <f>INDEX(raw_data_effect!$1:$1048576,MATCH(N$6,raw_data_effect!$I:$I,0),MATCH($A$4,raw_data_effect!$1:$1,0))</f>
        <v>0.89525058681738001</v>
      </c>
      <c r="O7" s="1"/>
      <c r="Q7" t="s">
        <v>13</v>
      </c>
    </row>
    <row r="8" spans="1:21" ht="30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21" ht="27.95" customHeight="1" x14ac:dyDescent="0.25">
      <c r="O10" s="21"/>
    </row>
    <row r="11" spans="1:21" ht="30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8"/>
    </row>
    <row r="12" spans="1:21" ht="30" customHeight="1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  <c r="R12" s="1"/>
    </row>
    <row r="13" spans="1:21" ht="30" customHeight="1" x14ac:dyDescent="0.25">
      <c r="A13" s="19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R13" s="1"/>
    </row>
    <row r="14" spans="1:21" ht="30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3"/>
    </row>
    <row r="16" spans="1:21" ht="15" customHeight="1" x14ac:dyDescent="0.25">
      <c r="A16" s="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33"/>
      <c r="M16" s="21"/>
      <c r="N16" s="21"/>
    </row>
    <row r="17" spans="1:20" ht="15" customHeight="1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33"/>
      <c r="M17" s="18"/>
      <c r="N17" s="18"/>
      <c r="O17" s="21"/>
    </row>
    <row r="18" spans="1:20" ht="15" customHeight="1" x14ac:dyDescent="0.25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  <c r="L18" s="33"/>
      <c r="M18" s="1"/>
      <c r="N18" s="1"/>
      <c r="O18" s="18"/>
    </row>
    <row r="19" spans="1:20" ht="15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3"/>
      <c r="O19" s="1"/>
      <c r="Q19" s="57"/>
      <c r="R19" s="57"/>
      <c r="S19" s="57"/>
      <c r="T19" s="57"/>
    </row>
    <row r="20" spans="1:20" ht="15" customHeight="1" x14ac:dyDescent="0.25">
      <c r="L20" s="33"/>
      <c r="O20" s="1"/>
    </row>
    <row r="21" spans="1:20" ht="15" customHeight="1" x14ac:dyDescent="0.25">
      <c r="L21" s="33"/>
    </row>
    <row r="22" spans="1:20" ht="15" customHeight="1" x14ac:dyDescent="0.25">
      <c r="L22" s="33"/>
      <c r="O22" s="21"/>
    </row>
    <row r="23" spans="1:20" ht="15" customHeight="1" x14ac:dyDescent="0.25">
      <c r="L23" s="33"/>
      <c r="O23" s="18"/>
    </row>
    <row r="24" spans="1:20" ht="15" customHeight="1" x14ac:dyDescent="0.25">
      <c r="L24" s="33"/>
      <c r="O24" s="1"/>
    </row>
    <row r="25" spans="1:20" ht="15" customHeight="1" x14ac:dyDescent="0.25">
      <c r="L25" s="33"/>
    </row>
    <row r="26" spans="1:20" ht="15" customHeight="1" x14ac:dyDescent="0.25">
      <c r="L26" s="33"/>
    </row>
    <row r="27" spans="1:20" ht="15" customHeight="1" x14ac:dyDescent="0.25">
      <c r="L27" s="35"/>
    </row>
    <row r="28" spans="1:20" ht="15" customHeight="1" x14ac:dyDescent="0.25"/>
    <row r="29" spans="1:20" ht="15" customHeight="1" x14ac:dyDescent="0.25"/>
  </sheetData>
  <mergeCells count="2">
    <mergeCell ref="Q19:T19"/>
    <mergeCell ref="B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R23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8.7109375" style="19" customWidth="1"/>
    <col min="2" max="15" width="10.7109375" customWidth="1"/>
  </cols>
  <sheetData>
    <row r="1" spans="1:18" ht="15.75" thickBot="1" x14ac:dyDescent="0.3"/>
    <row r="2" spans="1:18" ht="27.95" customHeight="1" thickBot="1" x14ac:dyDescent="0.3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7.95" customHeight="1" thickBot="1" x14ac:dyDescent="0.3">
      <c r="A3" s="29" t="s">
        <v>26</v>
      </c>
      <c r="B3" s="58" t="s">
        <v>14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21"/>
    </row>
    <row r="4" spans="1:18" ht="30" customHeight="1" x14ac:dyDescent="0.25">
      <c r="A4" s="26" t="s">
        <v>5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 x14ac:dyDescent="0.25">
      <c r="A5" s="12" t="s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1"/>
    </row>
    <row r="6" spans="1:18" ht="30" customHeight="1" x14ac:dyDescent="0.25">
      <c r="A6" s="26" t="s">
        <v>11</v>
      </c>
      <c r="B6" s="52">
        <f>INDEX(raw_data_effect!$1:$1048576,MATCH(B$5,raw_data_effect!$I:$I,0),MATCH($A$3,raw_data_effect!$1:$1,0))</f>
        <v>4.8310828064599196</v>
      </c>
      <c r="C6" s="52">
        <f>INDEX(raw_data_effect!$1:$1048576,MATCH(C$5,raw_data_effect!$I:$I,0),MATCH($A$3,raw_data_effect!$1:$1,0))</f>
        <v>6.5387980934697296</v>
      </c>
      <c r="D6" s="52">
        <f>INDEX(raw_data_effect!$1:$1048576,MATCH(D$5,raw_data_effect!$I:$I,0),MATCH($A$3,raw_data_effect!$1:$1,0))</f>
        <v>8.4030628157140406</v>
      </c>
      <c r="E6" s="52">
        <f>INDEX(raw_data_effect!$1:$1048576,MATCH(E$5,raw_data_effect!$I:$I,0),MATCH($A$3,raw_data_effect!$1:$1,0))</f>
        <v>12.741091556375199</v>
      </c>
      <c r="F6" s="52">
        <f>INDEX(raw_data_effect!$1:$1048576,MATCH(F$5,raw_data_effect!$I:$I,0),MATCH($A$3,raw_data_effect!$1:$1,0))</f>
        <v>16.7220595403404</v>
      </c>
      <c r="G6" s="52">
        <f>INDEX(raw_data_effect!$1:$1048576,MATCH(G$5,raw_data_effect!$I:$I,0),MATCH($A$3,raw_data_effect!$1:$1,0))</f>
        <v>20.7493871217189</v>
      </c>
      <c r="H6" s="52">
        <f>INDEX(raw_data_effect!$1:$1048576,MATCH(H$5,raw_data_effect!$I:$I,0),MATCH($A$3,raw_data_effect!$1:$1,0))</f>
        <v>24.7984736991373</v>
      </c>
      <c r="I6" s="52">
        <f>INDEX(raw_data_effect!$1:$1048576,MATCH(I$5,raw_data_effect!$I:$I,0),MATCH($A$3,raw_data_effect!$1:$1,0))</f>
        <v>28.167099548304201</v>
      </c>
      <c r="J6" s="52">
        <f>INDEX(raw_data_effect!$1:$1048576,MATCH(J$5,raw_data_effect!$I:$I,0),MATCH($A$3,raw_data_effect!$1:$1,0))</f>
        <v>30.822792736621999</v>
      </c>
      <c r="K6" s="52">
        <f>INDEX(raw_data_effect!$1:$1048576,MATCH(K$5,raw_data_effect!$I:$I,0),MATCH($A$3,raw_data_effect!$1:$1,0))</f>
        <v>33.703623273948097</v>
      </c>
      <c r="L6" s="52">
        <f>INDEX(raw_data_effect!$1:$1048576,MATCH(L$5,raw_data_effect!$I:$I,0),MATCH($A$3,raw_data_effect!$1:$1,0))</f>
        <v>36.707274617239001</v>
      </c>
      <c r="M6" s="52">
        <f>INDEX(raw_data_effect!$1:$1048576,MATCH(M$5,raw_data_effect!$I:$I,0),MATCH($A$3,raw_data_effect!$1:$1,0))</f>
        <v>39.2216513090655</v>
      </c>
      <c r="N6" s="52">
        <f>INDEX(raw_data_effect!$1:$1048576,MATCH(N$5,raw_data_effect!$I:$I,0),MATCH($A$3,raw_data_effect!$1:$1,0))</f>
        <v>41.704654085955198</v>
      </c>
      <c r="O6" s="1"/>
      <c r="Q6" t="s">
        <v>13</v>
      </c>
    </row>
    <row r="7" spans="1:18" ht="30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7.95" customHeight="1" x14ac:dyDescent="0.25">
      <c r="O9" s="21"/>
    </row>
    <row r="10" spans="1:18" ht="30" customHeight="1" x14ac:dyDescent="0.25">
      <c r="O10" s="18"/>
    </row>
    <row r="11" spans="1:18" ht="30" customHeight="1" x14ac:dyDescent="0.25">
      <c r="M11" s="33"/>
      <c r="O11" s="1"/>
      <c r="R11" s="1"/>
    </row>
    <row r="12" spans="1:18" ht="30" customHeight="1" x14ac:dyDescent="0.25">
      <c r="M12" s="33"/>
      <c r="O12" s="1"/>
      <c r="R12" s="1"/>
    </row>
    <row r="13" spans="1:18" ht="30" customHeight="1" x14ac:dyDescent="0.25">
      <c r="M13" s="33"/>
      <c r="O13" s="1"/>
    </row>
    <row r="14" spans="1:18" x14ac:dyDescent="0.25">
      <c r="M14" s="33"/>
    </row>
    <row r="15" spans="1:18" x14ac:dyDescent="0.25">
      <c r="M15" s="33"/>
    </row>
    <row r="16" spans="1:18" x14ac:dyDescent="0.25">
      <c r="M16" s="34"/>
    </row>
    <row r="17" spans="13:13" x14ac:dyDescent="0.25">
      <c r="M17" s="33"/>
    </row>
    <row r="18" spans="13:13" x14ac:dyDescent="0.25">
      <c r="M18" s="33"/>
    </row>
    <row r="19" spans="13:13" x14ac:dyDescent="0.25">
      <c r="M19" s="33"/>
    </row>
    <row r="20" spans="13:13" x14ac:dyDescent="0.25">
      <c r="M20" s="34"/>
    </row>
    <row r="21" spans="13:13" x14ac:dyDescent="0.25">
      <c r="M21" s="33"/>
    </row>
    <row r="22" spans="13:13" x14ac:dyDescent="0.25">
      <c r="M22" s="33"/>
    </row>
    <row r="23" spans="13:13" x14ac:dyDescent="0.25">
      <c r="M23" s="35"/>
    </row>
  </sheetData>
  <mergeCells count="1"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R24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25.28515625" customWidth="1"/>
    <col min="2" max="15" width="10.7109375" customWidth="1"/>
    <col min="16" max="16" width="8.85546875" customWidth="1"/>
  </cols>
  <sheetData>
    <row r="1" spans="1:18" x14ac:dyDescent="0.25">
      <c r="A1" s="57"/>
      <c r="B1" s="57"/>
      <c r="C1" s="57"/>
      <c r="D1" s="11"/>
      <c r="E1" s="11"/>
    </row>
    <row r="2" spans="1:18" ht="15.75" thickBot="1" x14ac:dyDescent="0.3"/>
    <row r="3" spans="1:18" ht="27.95" customHeight="1" thickBot="1" x14ac:dyDescent="0.3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8" ht="27.95" customHeight="1" thickBot="1" x14ac:dyDescent="0.3">
      <c r="A4" s="10" t="s">
        <v>25</v>
      </c>
      <c r="B4" s="58" t="s">
        <v>14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60"/>
      <c r="O4" s="21"/>
    </row>
    <row r="5" spans="1:18" ht="30" customHeight="1" x14ac:dyDescent="0.25">
      <c r="A5" s="5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18" ht="30" customHeight="1" x14ac:dyDescent="0.2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</row>
    <row r="7" spans="1:18" ht="30" customHeight="1" x14ac:dyDescent="0.25">
      <c r="A7" s="5" t="s">
        <v>11</v>
      </c>
      <c r="B7" s="52">
        <f>INDEX(raw_data_effect!$1:$1048576,MATCH(B$6,raw_data_effect!$I:$I,0),MATCH($A$4,raw_data_effect!$1:$1,0))</f>
        <v>3.8361605166992101</v>
      </c>
      <c r="C7" s="52">
        <f>INDEX(raw_data_effect!$1:$1048576,MATCH(C$6,raw_data_effect!$I:$I,0),MATCH($A$4,raw_data_effect!$1:$1,0))</f>
        <v>5.0508677250155998</v>
      </c>
      <c r="D7" s="52">
        <f>INDEX(raw_data_effect!$1:$1048576,MATCH(D$6,raw_data_effect!$I:$I,0),MATCH($A$4,raw_data_effect!$1:$1,0))</f>
        <v>5.9768424336274499</v>
      </c>
      <c r="E7" s="52">
        <f>INDEX(raw_data_effect!$1:$1048576,MATCH(E$6,raw_data_effect!$I:$I,0),MATCH($A$4,raw_data_effect!$1:$1,0))</f>
        <v>8.1599052757420392</v>
      </c>
      <c r="F7" s="52">
        <f>INDEX(raw_data_effect!$1:$1048576,MATCH(F$6,raw_data_effect!$I:$I,0),MATCH($A$4,raw_data_effect!$1:$1,0))</f>
        <v>10.371652423527101</v>
      </c>
      <c r="G7" s="52">
        <f>INDEX(raw_data_effect!$1:$1048576,MATCH(G$6,raw_data_effect!$I:$I,0),MATCH($A$4,raw_data_effect!$1:$1,0))</f>
        <v>12.956944350443401</v>
      </c>
      <c r="H7" s="52">
        <f>INDEX(raw_data_effect!$1:$1048576,MATCH(H$6,raw_data_effect!$I:$I,0),MATCH($A$4,raw_data_effect!$1:$1,0))</f>
        <v>15.9370793949149</v>
      </c>
      <c r="I7" s="52">
        <f>INDEX(raw_data_effect!$1:$1048576,MATCH(I$6,raw_data_effect!$I:$I,0),MATCH($A$4,raw_data_effect!$1:$1,0))</f>
        <v>18.641246915138701</v>
      </c>
      <c r="J7" s="52">
        <f>INDEX(raw_data_effect!$1:$1048576,MATCH(J$6,raw_data_effect!$I:$I,0),MATCH($A$4,raw_data_effect!$1:$1,0))</f>
        <v>20.862120751159999</v>
      </c>
      <c r="K7" s="52">
        <f>INDEX(raw_data_effect!$1:$1048576,MATCH(K$6,raw_data_effect!$I:$I,0),MATCH($A$4,raw_data_effect!$1:$1,0))</f>
        <v>23.3199101703837</v>
      </c>
      <c r="L7" s="52">
        <f>INDEX(raw_data_effect!$1:$1048576,MATCH(L$6,raw_data_effect!$I:$I,0),MATCH($A$4,raw_data_effect!$1:$1,0))</f>
        <v>25.905996940455498</v>
      </c>
      <c r="M7" s="52">
        <f>INDEX(raw_data_effect!$1:$1048576,MATCH(M$6,raw_data_effect!$I:$I,0),MATCH($A$4,raw_data_effect!$1:$1,0))</f>
        <v>28.079907348682301</v>
      </c>
      <c r="N7" s="52">
        <f>INDEX(raw_data_effect!$1:$1048576,MATCH(N$6,raw_data_effect!$I:$I,0),MATCH($A$4,raw_data_effect!$1:$1,0))</f>
        <v>30.226799854103199</v>
      </c>
      <c r="O7" s="1"/>
      <c r="Q7" t="s">
        <v>13</v>
      </c>
    </row>
    <row r="8" spans="1:18" ht="30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18" ht="27.95" customHeight="1" x14ac:dyDescent="0.25">
      <c r="O10" s="21"/>
    </row>
    <row r="11" spans="1:18" ht="30" customHeight="1" x14ac:dyDescent="0.25">
      <c r="O11" s="18"/>
    </row>
    <row r="12" spans="1:18" ht="30" customHeight="1" x14ac:dyDescent="0.25">
      <c r="N12" s="34"/>
      <c r="O12" s="1"/>
      <c r="R12" s="1"/>
    </row>
    <row r="13" spans="1:18" ht="30" customHeight="1" x14ac:dyDescent="0.25">
      <c r="N13" s="33"/>
      <c r="O13" s="1"/>
      <c r="R13" s="1"/>
    </row>
    <row r="14" spans="1:18" ht="30" customHeight="1" x14ac:dyDescent="0.25">
      <c r="N14" s="34"/>
      <c r="O14" s="1"/>
    </row>
    <row r="15" spans="1:18" x14ac:dyDescent="0.25">
      <c r="N15" s="33"/>
    </row>
    <row r="16" spans="1:18" x14ac:dyDescent="0.25">
      <c r="N16" s="34"/>
    </row>
    <row r="17" spans="5:17" x14ac:dyDescent="0.25">
      <c r="N17" s="33"/>
    </row>
    <row r="18" spans="5:17" x14ac:dyDescent="0.25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5:17" x14ac:dyDescent="0.25">
      <c r="N19" s="33"/>
    </row>
    <row r="20" spans="5:17" x14ac:dyDescent="0.25">
      <c r="N20" s="33"/>
    </row>
    <row r="21" spans="5:17" x14ac:dyDescent="0.25">
      <c r="N21" s="33"/>
    </row>
    <row r="22" spans="5:17" x14ac:dyDescent="0.25">
      <c r="N22" s="33"/>
    </row>
    <row r="23" spans="5:17" x14ac:dyDescent="0.25">
      <c r="N23" s="33"/>
    </row>
    <row r="24" spans="5:17" x14ac:dyDescent="0.25">
      <c r="N24" s="35"/>
    </row>
  </sheetData>
  <mergeCells count="2">
    <mergeCell ref="A1:C1"/>
    <mergeCell ref="B4:N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R36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8.7109375" customWidth="1"/>
    <col min="2" max="15" width="10.7109375" customWidth="1"/>
  </cols>
  <sheetData>
    <row r="1" spans="1:18" ht="15.75" thickBot="1" x14ac:dyDescent="0.3"/>
    <row r="2" spans="1:18" ht="27.95" customHeight="1" thickBot="1" x14ac:dyDescent="0.3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7.95" customHeight="1" thickBot="1" x14ac:dyDescent="0.3">
      <c r="A3" s="43" t="s">
        <v>27</v>
      </c>
      <c r="B3" s="58" t="s">
        <v>14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21"/>
    </row>
    <row r="4" spans="1:18" ht="30" customHeight="1" x14ac:dyDescent="0.25">
      <c r="A4" s="5" t="s">
        <v>5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 x14ac:dyDescent="0.25">
      <c r="A5" s="26" t="s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1"/>
    </row>
    <row r="6" spans="1:18" ht="30" customHeight="1" x14ac:dyDescent="0.25">
      <c r="A6" s="26" t="s">
        <v>11</v>
      </c>
      <c r="B6" s="52">
        <f>INDEX(raw_data_effect!$1:$1048576,MATCH(B$5,raw_data_effect!$I:$I,0),MATCH($A$3,raw_data_effect!$1:$1,0))</f>
        <v>4.5336745710457302</v>
      </c>
      <c r="C6" s="52">
        <f>INDEX(raw_data_effect!$1:$1048576,MATCH(C$5,raw_data_effect!$I:$I,0),MATCH($A$3,raw_data_effect!$1:$1,0))</f>
        <v>2.18350314285414</v>
      </c>
      <c r="D6" s="52">
        <f>INDEX(raw_data_effect!$1:$1048576,MATCH(D$5,raw_data_effect!$I:$I,0),MATCH($A$3,raw_data_effect!$1:$1,0))</f>
        <v>3.1505594482174799</v>
      </c>
      <c r="E6" s="52">
        <f>INDEX(raw_data_effect!$1:$1048576,MATCH(E$5,raw_data_effect!$I:$I,0),MATCH($A$3,raw_data_effect!$1:$1,0))</f>
        <v>5.5659426817141799</v>
      </c>
      <c r="F6" s="52">
        <f>INDEX(raw_data_effect!$1:$1048576,MATCH(F$5,raw_data_effect!$I:$I,0),MATCH($A$3,raw_data_effect!$1:$1,0))</f>
        <v>7.9920091099607902</v>
      </c>
      <c r="G6" s="52">
        <f>INDEX(raw_data_effect!$1:$1048576,MATCH(G$5,raw_data_effect!$I:$I,0),MATCH($A$3,raw_data_effect!$1:$1,0))</f>
        <v>10.826130312104899</v>
      </c>
      <c r="H6" s="52">
        <f>INDEX(raw_data_effect!$1:$1048576,MATCH(H$5,raw_data_effect!$I:$I,0),MATCH($A$3,raw_data_effect!$1:$1,0))</f>
        <v>14.0978495685992</v>
      </c>
      <c r="I6" s="52">
        <f>INDEX(raw_data_effect!$1:$1048576,MATCH(I$5,raw_data_effect!$I:$I,0),MATCH($A$3,raw_data_effect!$1:$1,0))</f>
        <v>17.0701922039033</v>
      </c>
      <c r="J6" s="52">
        <f>INDEX(raw_data_effect!$1:$1048576,MATCH(J$5,raw_data_effect!$I:$I,0),MATCH($A$3,raw_data_effect!$1:$1,0))</f>
        <v>19.512834231191601</v>
      </c>
      <c r="K6" s="52">
        <f>INDEX(raw_data_effect!$1:$1048576,MATCH(K$5,raw_data_effect!$I:$I,0),MATCH($A$3,raw_data_effect!$1:$1,0))</f>
        <v>22.2170673860088</v>
      </c>
      <c r="L6" s="52">
        <f>INDEX(raw_data_effect!$1:$1048576,MATCH(L$5,raw_data_effect!$I:$I,0),MATCH($A$3,raw_data_effect!$1:$1,0))</f>
        <v>25.0630481083059</v>
      </c>
      <c r="M6" s="52">
        <f>INDEX(raw_data_effect!$1:$1048576,MATCH(M$5,raw_data_effect!$I:$I,0),MATCH($A$3,raw_data_effect!$1:$1,0))</f>
        <v>27.455938465702001</v>
      </c>
      <c r="N6" s="52">
        <f>INDEX(raw_data_effect!$1:$1048576,MATCH(N$5,raw_data_effect!$I:$I,0),MATCH($A$3,raw_data_effect!$1:$1,0))</f>
        <v>29.819235237549901</v>
      </c>
      <c r="O6" s="1"/>
      <c r="Q6" t="s">
        <v>13</v>
      </c>
    </row>
    <row r="7" spans="1:18" ht="30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7.95" customHeight="1" x14ac:dyDescent="0.25">
      <c r="O9" s="21"/>
    </row>
    <row r="10" spans="1:18" ht="30" customHeight="1" x14ac:dyDescent="0.25">
      <c r="O10" s="18"/>
    </row>
    <row r="11" spans="1:18" ht="30" customHeight="1" x14ac:dyDescent="0.25">
      <c r="A11" s="41"/>
      <c r="O11" s="1"/>
      <c r="R11" s="1"/>
    </row>
    <row r="12" spans="1:18" ht="30" customHeight="1" x14ac:dyDescent="0.25">
      <c r="A12" s="2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1"/>
      <c r="R12" s="1"/>
    </row>
    <row r="13" spans="1:18" ht="30" customHeight="1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"/>
    </row>
    <row r="14" spans="1:18" x14ac:dyDescent="0.25">
      <c r="A14" s="19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8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8" x14ac:dyDescent="0.25">
      <c r="A16" s="19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30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4" ht="30" customHeight="1" x14ac:dyDescent="0.25">
      <c r="A18" s="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</row>
    <row r="19" spans="1:14" ht="30" customHeight="1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30" customHeight="1" x14ac:dyDescent="0.25">
      <c r="A20" s="1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 x14ac:dyDescent="0.25">
      <c r="A21" s="1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0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0" customHeight="1" x14ac:dyDescent="0.25">
      <c r="C23" s="35"/>
    </row>
    <row r="24" spans="1:14" ht="30" customHeight="1" x14ac:dyDescent="0.25">
      <c r="E24" s="33"/>
    </row>
    <row r="25" spans="1:14" ht="30" customHeight="1" x14ac:dyDescent="0.25">
      <c r="E25" s="33"/>
    </row>
    <row r="26" spans="1:14" ht="30" customHeight="1" x14ac:dyDescent="0.25">
      <c r="E26" s="33"/>
    </row>
    <row r="27" spans="1:14" ht="30" customHeight="1" x14ac:dyDescent="0.25">
      <c r="E27" s="33"/>
    </row>
    <row r="28" spans="1:14" ht="30" customHeight="1" x14ac:dyDescent="0.25">
      <c r="E28" s="33"/>
    </row>
    <row r="29" spans="1:14" x14ac:dyDescent="0.25">
      <c r="E29" s="33"/>
    </row>
    <row r="30" spans="1:14" x14ac:dyDescent="0.25">
      <c r="E30" s="34"/>
    </row>
    <row r="31" spans="1:14" x14ac:dyDescent="0.25">
      <c r="E31" s="33"/>
    </row>
    <row r="32" spans="1:14" x14ac:dyDescent="0.25">
      <c r="E32" s="34"/>
    </row>
    <row r="33" spans="5:5" x14ac:dyDescent="0.25">
      <c r="E33" s="34"/>
    </row>
    <row r="34" spans="5:5" x14ac:dyDescent="0.25">
      <c r="E34" s="34"/>
    </row>
    <row r="35" spans="5:5" x14ac:dyDescent="0.25">
      <c r="E35" s="33"/>
    </row>
    <row r="36" spans="5:5" x14ac:dyDescent="0.25">
      <c r="E36" s="35"/>
    </row>
  </sheetData>
  <mergeCells count="3">
    <mergeCell ref="B12:N12"/>
    <mergeCell ref="B18:N18"/>
    <mergeCell ref="B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8939-A7FB-4AC0-98DB-EFDF17358A58}">
  <dimension ref="A1:I102"/>
  <sheetViews>
    <sheetView workbookViewId="0">
      <selection activeCell="A2" sqref="A2:H102"/>
    </sheetView>
  </sheetViews>
  <sheetFormatPr baseColWidth="10" defaultRowHeight="15" x14ac:dyDescent="0.25"/>
  <sheetData>
    <row r="1" spans="1:9" x14ac:dyDescent="0.25">
      <c r="B1" t="s">
        <v>21</v>
      </c>
      <c r="C1" t="s">
        <v>20</v>
      </c>
      <c r="D1" s="1" t="s">
        <v>22</v>
      </c>
      <c r="E1" t="s">
        <v>26</v>
      </c>
      <c r="F1" s="1" t="s">
        <v>25</v>
      </c>
      <c r="G1" s="1" t="s">
        <v>27</v>
      </c>
    </row>
    <row r="2" spans="1:9" x14ac:dyDescent="0.25"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142</v>
      </c>
    </row>
    <row r="3" spans="1:9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-9</v>
      </c>
      <c r="I3" t="str">
        <f>"day "&amp;H3</f>
        <v>day -9</v>
      </c>
    </row>
    <row r="4" spans="1:9" x14ac:dyDescent="0.25">
      <c r="A4">
        <v>2</v>
      </c>
      <c r="B4">
        <v>-3.0811771049906399E-3</v>
      </c>
      <c r="C4">
        <v>-1.1716336483410699E-3</v>
      </c>
      <c r="D4">
        <v>-6.7472113764139002E-4</v>
      </c>
      <c r="E4">
        <v>0.183000574683331</v>
      </c>
      <c r="F4">
        <v>0.15445796380492499</v>
      </c>
      <c r="G4">
        <v>0.18116640803895101</v>
      </c>
      <c r="H4">
        <v>-8</v>
      </c>
      <c r="I4" t="str">
        <f t="shared" ref="I4:I67" si="0">"day "&amp;H4</f>
        <v>day -8</v>
      </c>
    </row>
    <row r="5" spans="1:9" x14ac:dyDescent="0.25">
      <c r="A5">
        <v>3</v>
      </c>
      <c r="B5">
        <v>-1.05338123066716E-2</v>
      </c>
      <c r="C5">
        <v>-6.54157912113007E-3</v>
      </c>
      <c r="D5">
        <v>1.81489761827327E-3</v>
      </c>
      <c r="E5">
        <v>0.47944069470532702</v>
      </c>
      <c r="F5">
        <v>0.40159511387839503</v>
      </c>
      <c r="G5">
        <v>0.47344442546406401</v>
      </c>
      <c r="H5">
        <v>-7</v>
      </c>
      <c r="I5" t="str">
        <f t="shared" si="0"/>
        <v>day -7</v>
      </c>
    </row>
    <row r="6" spans="1:9" x14ac:dyDescent="0.25">
      <c r="A6">
        <v>4</v>
      </c>
      <c r="B6">
        <v>-2.20037478774361E-2</v>
      </c>
      <c r="C6">
        <v>-1.6035509618553899E-2</v>
      </c>
      <c r="D6">
        <v>8.6344099150147992E-3</v>
      </c>
      <c r="E6">
        <v>0.775556327674917</v>
      </c>
      <c r="F6">
        <v>0.64675512097232901</v>
      </c>
      <c r="G6">
        <v>0.76354555529346402</v>
      </c>
      <c r="H6">
        <v>-6</v>
      </c>
      <c r="I6" t="str">
        <f t="shared" si="0"/>
        <v>day -6</v>
      </c>
    </row>
    <row r="7" spans="1:9" x14ac:dyDescent="0.25">
      <c r="A7">
        <v>5</v>
      </c>
      <c r="B7">
        <v>-3.8116445828970599E-2</v>
      </c>
      <c r="C7">
        <v>-3.0146903828269199E-2</v>
      </c>
      <c r="D7">
        <v>2.0461022140986398E-2</v>
      </c>
      <c r="E7">
        <v>1.08823718862718</v>
      </c>
      <c r="F7">
        <v>0.90377883686150196</v>
      </c>
      <c r="G7">
        <v>1.0676694618151801</v>
      </c>
      <c r="H7">
        <v>-5</v>
      </c>
      <c r="I7" t="str">
        <f t="shared" si="0"/>
        <v>day -5</v>
      </c>
    </row>
    <row r="8" spans="1:9" x14ac:dyDescent="0.25">
      <c r="A8">
        <v>6</v>
      </c>
      <c r="B8">
        <v>-5.7329984084286502E-2</v>
      </c>
      <c r="C8">
        <v>-4.7655888931770897E-2</v>
      </c>
      <c r="D8">
        <v>3.6560977113850299E-2</v>
      </c>
      <c r="E8">
        <v>1.3953114396531801</v>
      </c>
      <c r="F8">
        <v>1.1542409316217399</v>
      </c>
      <c r="G8">
        <v>1.3639977379997701</v>
      </c>
      <c r="H8">
        <v>-4</v>
      </c>
      <c r="I8" t="str">
        <f t="shared" si="0"/>
        <v>day -4</v>
      </c>
    </row>
    <row r="9" spans="1:9" x14ac:dyDescent="0.25">
      <c r="A9">
        <v>7</v>
      </c>
      <c r="B9">
        <v>-8.0161498027747705E-2</v>
      </c>
      <c r="C9">
        <v>-6.87784575458079E-2</v>
      </c>
      <c r="D9">
        <v>5.7389835594410403E-2</v>
      </c>
      <c r="E9">
        <v>1.70820204559504</v>
      </c>
      <c r="F9">
        <v>1.4073569378092099</v>
      </c>
      <c r="G9">
        <v>1.6634145573874699</v>
      </c>
      <c r="H9">
        <v>-3</v>
      </c>
      <c r="I9" t="str">
        <f t="shared" si="0"/>
        <v>day -3</v>
      </c>
    </row>
    <row r="10" spans="1:9" x14ac:dyDescent="0.25">
      <c r="A10">
        <v>8</v>
      </c>
      <c r="B10">
        <v>-0.10767563733620999</v>
      </c>
      <c r="C10">
        <v>-9.4354677629713293E-2</v>
      </c>
      <c r="D10">
        <v>8.4038962783596793E-2</v>
      </c>
      <c r="E10">
        <v>2.0390187917327101</v>
      </c>
      <c r="F10">
        <v>1.67273640021421</v>
      </c>
      <c r="G10">
        <v>1.97731927576448</v>
      </c>
      <c r="H10">
        <v>-2</v>
      </c>
      <c r="I10" t="str">
        <f t="shared" si="0"/>
        <v>day -2</v>
      </c>
    </row>
    <row r="11" spans="1:9" x14ac:dyDescent="0.25">
      <c r="A11">
        <v>9</v>
      </c>
      <c r="B11">
        <v>-0.13812703261077999</v>
      </c>
      <c r="C11">
        <v>-0.12300436917743</v>
      </c>
      <c r="D11">
        <v>0.115336150454355</v>
      </c>
      <c r="E11">
        <v>2.3708061180939102</v>
      </c>
      <c r="F11">
        <v>1.9366775583692599</v>
      </c>
      <c r="G11">
        <v>2.2895005964496198</v>
      </c>
      <c r="H11">
        <v>-1</v>
      </c>
      <c r="I11" t="str">
        <f t="shared" si="0"/>
        <v>day -1</v>
      </c>
    </row>
    <row r="12" spans="1:9" x14ac:dyDescent="0.25">
      <c r="A12">
        <v>10</v>
      </c>
      <c r="B12">
        <v>-0.17475097217584701</v>
      </c>
      <c r="C12">
        <v>-0.157812021096781</v>
      </c>
      <c r="D12">
        <v>0.15515719821167001</v>
      </c>
      <c r="E12">
        <v>2.7377305738905902</v>
      </c>
      <c r="F12">
        <v>2.2263511800583502</v>
      </c>
      <c r="G12">
        <v>2.6320608730872199</v>
      </c>
      <c r="H12">
        <v>0</v>
      </c>
      <c r="I12" t="str">
        <f t="shared" si="0"/>
        <v>day 0</v>
      </c>
    </row>
    <row r="13" spans="1:9" x14ac:dyDescent="0.25">
      <c r="A13">
        <v>11</v>
      </c>
      <c r="B13">
        <v>-0.21646492689285901</v>
      </c>
      <c r="C13">
        <v>-0.197884177639886</v>
      </c>
      <c r="D13">
        <v>0.202864639397385</v>
      </c>
      <c r="E13">
        <v>3.1252918105617602</v>
      </c>
      <c r="F13">
        <v>2.5302370310564899</v>
      </c>
      <c r="G13">
        <v>2.9912801948874002</v>
      </c>
      <c r="H13">
        <v>1</v>
      </c>
      <c r="I13" t="str">
        <f t="shared" si="0"/>
        <v>day 1</v>
      </c>
    </row>
    <row r="14" spans="1:9" x14ac:dyDescent="0.25">
      <c r="A14">
        <v>12</v>
      </c>
      <c r="B14">
        <v>-0.26451849620977502</v>
      </c>
      <c r="C14">
        <v>-0.244944182718383</v>
      </c>
      <c r="D14">
        <v>0.26022903099667299</v>
      </c>
      <c r="E14">
        <v>3.5470762821209401</v>
      </c>
      <c r="F14">
        <v>2.8568793452096801</v>
      </c>
      <c r="G14">
        <v>3.3773754883851801</v>
      </c>
      <c r="H14">
        <v>2</v>
      </c>
      <c r="I14" t="str">
        <f t="shared" si="0"/>
        <v>day 2</v>
      </c>
    </row>
    <row r="15" spans="1:9" x14ac:dyDescent="0.25">
      <c r="A15">
        <v>13</v>
      </c>
      <c r="B15">
        <v>-0.31731863827859003</v>
      </c>
      <c r="C15">
        <v>-0.297345114277967</v>
      </c>
      <c r="D15">
        <v>0.325539057304152</v>
      </c>
      <c r="E15">
        <v>3.98365485940674</v>
      </c>
      <c r="F15">
        <v>3.1920002636408702</v>
      </c>
      <c r="G15">
        <v>3.7732952209924502</v>
      </c>
      <c r="H15">
        <v>3</v>
      </c>
      <c r="I15" t="str">
        <f t="shared" si="0"/>
        <v>day 3</v>
      </c>
    </row>
    <row r="16" spans="1:9" x14ac:dyDescent="0.25">
      <c r="A16">
        <v>14</v>
      </c>
      <c r="B16">
        <v>-0.37151235862969201</v>
      </c>
      <c r="C16">
        <v>-0.35114109580597602</v>
      </c>
      <c r="D16">
        <v>0.39325893582202298</v>
      </c>
      <c r="E16">
        <v>4.4019265463156296</v>
      </c>
      <c r="F16">
        <v>3.5106061308924001</v>
      </c>
      <c r="G16">
        <v>4.1495207375941403</v>
      </c>
      <c r="H16">
        <v>4</v>
      </c>
      <c r="I16" t="str">
        <f t="shared" si="0"/>
        <v>day 4</v>
      </c>
    </row>
    <row r="17" spans="1:9" x14ac:dyDescent="0.25">
      <c r="A17">
        <v>15</v>
      </c>
      <c r="B17">
        <v>-0.43111549669494897</v>
      </c>
      <c r="C17">
        <v>-0.41034794403907798</v>
      </c>
      <c r="D17">
        <v>0.46767671464161797</v>
      </c>
      <c r="E17">
        <v>4.8310828064599196</v>
      </c>
      <c r="F17">
        <v>3.8361605166992101</v>
      </c>
      <c r="G17">
        <v>4.5336745710457302</v>
      </c>
      <c r="H17">
        <v>5</v>
      </c>
      <c r="I17" t="str">
        <f t="shared" si="0"/>
        <v>day 5</v>
      </c>
    </row>
    <row r="18" spans="1:9" x14ac:dyDescent="0.25">
      <c r="A18">
        <v>16</v>
      </c>
      <c r="B18">
        <v>-0.49188200794918902</v>
      </c>
      <c r="C18">
        <v>-0.47086740264974197</v>
      </c>
      <c r="D18">
        <v>0.54274250094339604</v>
      </c>
      <c r="E18">
        <v>5.2393139666930297</v>
      </c>
      <c r="F18">
        <v>4.1452603314213503</v>
      </c>
      <c r="G18">
        <v>4.8981240520283098</v>
      </c>
      <c r="H18">
        <v>6</v>
      </c>
      <c r="I18" t="str">
        <f t="shared" si="0"/>
        <v>day 6</v>
      </c>
    </row>
    <row r="19" spans="1:9" x14ac:dyDescent="0.25">
      <c r="A19">
        <v>17</v>
      </c>
      <c r="B19">
        <v>-0.55611573720155605</v>
      </c>
      <c r="C19">
        <v>-0.53491838879853404</v>
      </c>
      <c r="D19">
        <v>0.62030051885506199</v>
      </c>
      <c r="E19">
        <v>5.6408207757587796</v>
      </c>
      <c r="F19">
        <v>4.4493923565005096</v>
      </c>
      <c r="G19">
        <v>5.2564232237975803</v>
      </c>
      <c r="H19">
        <v>7</v>
      </c>
      <c r="I19" t="str">
        <f t="shared" si="0"/>
        <v>day 7</v>
      </c>
    </row>
    <row r="20" spans="1:9" x14ac:dyDescent="0.25">
      <c r="A20">
        <v>18</v>
      </c>
      <c r="B20">
        <v>-0.626409431355338</v>
      </c>
      <c r="C20">
        <v>-0.60462929975294999</v>
      </c>
      <c r="D20">
        <v>0.56514392932314395</v>
      </c>
      <c r="E20">
        <v>6.0428784365434796</v>
      </c>
      <c r="F20">
        <v>4.7582518967382503</v>
      </c>
      <c r="G20">
        <v>5.4884201874682503</v>
      </c>
      <c r="H20">
        <v>8</v>
      </c>
      <c r="I20" t="str">
        <f t="shared" si="0"/>
        <v>day 8</v>
      </c>
    </row>
    <row r="21" spans="1:9" x14ac:dyDescent="0.25">
      <c r="A21">
        <v>19</v>
      </c>
      <c r="B21">
        <v>-0.59154886006132301</v>
      </c>
      <c r="C21">
        <v>-0.56892876470617104</v>
      </c>
      <c r="D21">
        <v>-3.1391403581650899</v>
      </c>
      <c r="E21">
        <v>6.5387980934697296</v>
      </c>
      <c r="F21">
        <v>5.0508677250155998</v>
      </c>
      <c r="G21">
        <v>2.18350314285414</v>
      </c>
      <c r="H21">
        <v>9</v>
      </c>
      <c r="I21" t="str">
        <f t="shared" si="0"/>
        <v>day 9</v>
      </c>
    </row>
    <row r="22" spans="1:9" x14ac:dyDescent="0.25">
      <c r="A22">
        <v>20</v>
      </c>
      <c r="B22">
        <v>-0.471243770509789</v>
      </c>
      <c r="C22">
        <v>-0.44800084852820299</v>
      </c>
      <c r="D22">
        <v>-3.1055600681871902</v>
      </c>
      <c r="E22">
        <v>7.1496949505729503</v>
      </c>
      <c r="F22">
        <v>5.3571064214959296</v>
      </c>
      <c r="G22">
        <v>2.4553056884725302</v>
      </c>
      <c r="H22">
        <v>10</v>
      </c>
      <c r="I22" t="str">
        <f t="shared" si="0"/>
        <v>day 10</v>
      </c>
    </row>
    <row r="23" spans="1:9" x14ac:dyDescent="0.25">
      <c r="A23">
        <v>21</v>
      </c>
      <c r="B23">
        <v>-0.35235930937445697</v>
      </c>
      <c r="C23">
        <v>-0.32872377167217598</v>
      </c>
      <c r="D23">
        <v>-2.9920834393426401</v>
      </c>
      <c r="E23">
        <v>7.7658884557270502</v>
      </c>
      <c r="F23">
        <v>5.6620976317170797</v>
      </c>
      <c r="G23">
        <v>2.7982178638328898</v>
      </c>
      <c r="H23">
        <v>11</v>
      </c>
      <c r="I23" t="str">
        <f t="shared" si="0"/>
        <v>day 11</v>
      </c>
    </row>
    <row r="24" spans="1:9" x14ac:dyDescent="0.25">
      <c r="A24">
        <v>22</v>
      </c>
      <c r="B24">
        <v>-0.23294049967233299</v>
      </c>
      <c r="C24">
        <v>-0.20899263488587799</v>
      </c>
      <c r="D24">
        <v>-2.8718431823477402</v>
      </c>
      <c r="E24">
        <v>8.4030628157140406</v>
      </c>
      <c r="F24">
        <v>5.9768424336274499</v>
      </c>
      <c r="G24">
        <v>3.1505594482174799</v>
      </c>
      <c r="H24">
        <v>12</v>
      </c>
      <c r="I24" t="str">
        <f t="shared" si="0"/>
        <v>day 12</v>
      </c>
    </row>
    <row r="25" spans="1:9" x14ac:dyDescent="0.25">
      <c r="A25">
        <v>23</v>
      </c>
      <c r="B25">
        <v>-0.110268759808634</v>
      </c>
      <c r="C25">
        <v>-8.6028493256552194E-2</v>
      </c>
      <c r="D25">
        <v>-2.7405479496036702</v>
      </c>
      <c r="E25">
        <v>9.0845115129463494</v>
      </c>
      <c r="F25">
        <v>6.31364671399629</v>
      </c>
      <c r="G25">
        <v>3.5260911211035899</v>
      </c>
      <c r="H25">
        <v>13</v>
      </c>
      <c r="I25" t="str">
        <f t="shared" si="0"/>
        <v>day 13</v>
      </c>
    </row>
    <row r="26" spans="1:9" x14ac:dyDescent="0.25">
      <c r="A26">
        <v>24</v>
      </c>
      <c r="B26">
        <v>4.8772557809771298E-3</v>
      </c>
      <c r="C26">
        <v>2.9314183359756499E-2</v>
      </c>
      <c r="D26">
        <v>-2.6086122435597598</v>
      </c>
      <c r="E26">
        <v>9.7583715961363602</v>
      </c>
      <c r="F26">
        <v>6.6475832563334896</v>
      </c>
      <c r="G26">
        <v>3.8971080047002902</v>
      </c>
      <c r="H26">
        <v>14</v>
      </c>
      <c r="I26" t="str">
        <f t="shared" si="0"/>
        <v>day 14</v>
      </c>
    </row>
    <row r="27" spans="1:9" x14ac:dyDescent="0.25">
      <c r="A27">
        <v>25</v>
      </c>
      <c r="B27">
        <v>0.113822068195892</v>
      </c>
      <c r="C27">
        <v>0.13841359296223599</v>
      </c>
      <c r="D27">
        <v>-2.4742201186327102</v>
      </c>
      <c r="E27">
        <v>10.4389179487554</v>
      </c>
      <c r="F27">
        <v>6.9855848009262296</v>
      </c>
      <c r="G27">
        <v>4.2715152442802404</v>
      </c>
      <c r="H27">
        <v>15</v>
      </c>
      <c r="I27" t="str">
        <f t="shared" si="0"/>
        <v>day 15</v>
      </c>
    </row>
    <row r="28" spans="1:9" x14ac:dyDescent="0.25">
      <c r="A28">
        <v>26</v>
      </c>
      <c r="B28">
        <v>0.20428421653204301</v>
      </c>
      <c r="C28">
        <v>0.22923000760103199</v>
      </c>
      <c r="D28">
        <v>-2.3524493005203402</v>
      </c>
      <c r="E28">
        <v>11.050280885919101</v>
      </c>
      <c r="F28">
        <v>7.2915917085954103</v>
      </c>
      <c r="G28">
        <v>4.6096431098918096</v>
      </c>
      <c r="H28">
        <v>16</v>
      </c>
      <c r="I28" t="str">
        <f t="shared" si="0"/>
        <v>day 16</v>
      </c>
    </row>
    <row r="29" spans="1:9" x14ac:dyDescent="0.25">
      <c r="A29">
        <v>27</v>
      </c>
      <c r="B29">
        <v>0.28078961283318699</v>
      </c>
      <c r="C29">
        <v>0.30618062055128398</v>
      </c>
      <c r="D29">
        <v>-2.23934221287691</v>
      </c>
      <c r="E29">
        <v>11.614250468043799</v>
      </c>
      <c r="F29">
        <v>7.5769767526197898</v>
      </c>
      <c r="G29">
        <v>4.9243877520426604</v>
      </c>
      <c r="H29">
        <v>17</v>
      </c>
      <c r="I29" t="str">
        <f t="shared" si="0"/>
        <v>day 17</v>
      </c>
    </row>
    <row r="30" spans="1:9" x14ac:dyDescent="0.25">
      <c r="A30">
        <v>28</v>
      </c>
      <c r="B30">
        <v>0.35060071561059403</v>
      </c>
      <c r="C30">
        <v>0.37633551120140402</v>
      </c>
      <c r="D30">
        <v>-2.1244549135300699</v>
      </c>
      <c r="E30">
        <v>12.1829524759007</v>
      </c>
      <c r="F30">
        <v>7.8692926593086598</v>
      </c>
      <c r="G30">
        <v>5.2462983979838</v>
      </c>
      <c r="H30">
        <v>18</v>
      </c>
      <c r="I30" t="str">
        <f t="shared" si="0"/>
        <v>day 18</v>
      </c>
    </row>
    <row r="31" spans="1:9" x14ac:dyDescent="0.25">
      <c r="A31">
        <v>29</v>
      </c>
      <c r="B31">
        <v>0.41128594916456801</v>
      </c>
      <c r="C31">
        <v>0.43727187353264901</v>
      </c>
      <c r="D31">
        <v>-2.0116740172369099</v>
      </c>
      <c r="E31">
        <v>12.741091556375199</v>
      </c>
      <c r="F31">
        <v>8.1599052757420392</v>
      </c>
      <c r="G31">
        <v>5.5659426817141799</v>
      </c>
      <c r="H31">
        <v>19</v>
      </c>
      <c r="I31" t="str">
        <f t="shared" si="0"/>
        <v>day 19</v>
      </c>
    </row>
    <row r="32" spans="1:9" x14ac:dyDescent="0.25">
      <c r="A32">
        <v>30</v>
      </c>
      <c r="B32">
        <v>0.465971174504344</v>
      </c>
      <c r="C32">
        <v>0.49220677571365301</v>
      </c>
      <c r="D32">
        <v>-1.89372660561247</v>
      </c>
      <c r="E32">
        <v>13.327299551201801</v>
      </c>
      <c r="F32">
        <v>8.4689547943258194</v>
      </c>
      <c r="G32">
        <v>5.90551374691153</v>
      </c>
      <c r="H32">
        <v>20</v>
      </c>
      <c r="I32" t="str">
        <f t="shared" si="0"/>
        <v>day 20</v>
      </c>
    </row>
    <row r="33" spans="1:9" x14ac:dyDescent="0.25">
      <c r="A33">
        <v>31</v>
      </c>
      <c r="B33">
        <v>0.50931492635557696</v>
      </c>
      <c r="C33">
        <v>0.53576415546491096</v>
      </c>
      <c r="D33">
        <v>-1.7805281428687301</v>
      </c>
      <c r="E33">
        <v>13.8929601201478</v>
      </c>
      <c r="F33">
        <v>8.77172942814701</v>
      </c>
      <c r="G33">
        <v>6.2379136444437</v>
      </c>
      <c r="H33">
        <v>21</v>
      </c>
      <c r="I33" t="str">
        <f t="shared" si="0"/>
        <v>day 21</v>
      </c>
    </row>
    <row r="34" spans="1:9" x14ac:dyDescent="0.25">
      <c r="A34">
        <v>32</v>
      </c>
      <c r="B34">
        <v>0.54272787502469699</v>
      </c>
      <c r="C34">
        <v>0.56933641696822102</v>
      </c>
      <c r="D34">
        <v>-1.6684632711587399</v>
      </c>
      <c r="E34">
        <v>14.457089539294101</v>
      </c>
      <c r="F34">
        <v>9.0787055355686501</v>
      </c>
      <c r="G34">
        <v>6.5747128959010803</v>
      </c>
      <c r="H34">
        <v>22</v>
      </c>
      <c r="I34" t="str">
        <f t="shared" si="0"/>
        <v>day 22</v>
      </c>
    </row>
    <row r="35" spans="1:9" x14ac:dyDescent="0.25">
      <c r="A35">
        <v>33</v>
      </c>
      <c r="B35">
        <v>0.56630505791763797</v>
      </c>
      <c r="C35">
        <v>0.59304407787112501</v>
      </c>
      <c r="D35">
        <v>-1.55388221332289</v>
      </c>
      <c r="E35">
        <v>15.039660190052199</v>
      </c>
      <c r="F35">
        <v>9.4014256372081704</v>
      </c>
      <c r="G35">
        <v>6.9286152100055798</v>
      </c>
      <c r="H35">
        <v>23</v>
      </c>
      <c r="I35" t="str">
        <f t="shared" si="0"/>
        <v>day 23</v>
      </c>
    </row>
    <row r="36" spans="1:9" x14ac:dyDescent="0.25">
      <c r="A36">
        <v>34</v>
      </c>
      <c r="B36">
        <v>0.57757731196037199</v>
      </c>
      <c r="C36">
        <v>0.60437327286590203</v>
      </c>
      <c r="D36">
        <v>-1.44529293350937</v>
      </c>
      <c r="E36">
        <v>15.595374107423</v>
      </c>
      <c r="F36">
        <v>9.7168203987369992</v>
      </c>
      <c r="G36">
        <v>7.2743408161673102</v>
      </c>
      <c r="H36">
        <v>24</v>
      </c>
      <c r="I36" t="str">
        <f t="shared" si="0"/>
        <v>day 24</v>
      </c>
    </row>
    <row r="37" spans="1:9" x14ac:dyDescent="0.25">
      <c r="A37">
        <v>35</v>
      </c>
      <c r="B37">
        <v>0.57812662397131698</v>
      </c>
      <c r="C37">
        <v>0.60504171149043495</v>
      </c>
      <c r="D37">
        <v>-1.33517987598254</v>
      </c>
      <c r="E37">
        <v>16.174099635175399</v>
      </c>
      <c r="F37">
        <v>10.0480821969409</v>
      </c>
      <c r="G37">
        <v>7.6374348857675596</v>
      </c>
      <c r="H37">
        <v>25</v>
      </c>
      <c r="I37" t="str">
        <f t="shared" si="0"/>
        <v>day 25</v>
      </c>
    </row>
    <row r="38" spans="1:9" x14ac:dyDescent="0.25">
      <c r="A38">
        <v>36</v>
      </c>
      <c r="B38">
        <v>0.56633769332978401</v>
      </c>
      <c r="C38">
        <v>0.59326431433184801</v>
      </c>
      <c r="D38">
        <v>-1.2314858417966399</v>
      </c>
      <c r="E38">
        <v>16.7220595403404</v>
      </c>
      <c r="F38">
        <v>10.371652423527101</v>
      </c>
      <c r="G38">
        <v>7.9920091099607902</v>
      </c>
      <c r="H38">
        <v>26</v>
      </c>
      <c r="I38" t="str">
        <f t="shared" si="0"/>
        <v>day 26</v>
      </c>
    </row>
    <row r="39" spans="1:9" x14ac:dyDescent="0.25">
      <c r="A39">
        <v>37</v>
      </c>
      <c r="B39">
        <v>0.54288810990835601</v>
      </c>
      <c r="C39">
        <v>0.56982303001658197</v>
      </c>
      <c r="D39">
        <v>-1.1298209060290201</v>
      </c>
      <c r="E39">
        <v>17.2709242715279</v>
      </c>
      <c r="F39">
        <v>10.7018020133742</v>
      </c>
      <c r="G39">
        <v>8.3538041157930198</v>
      </c>
      <c r="H39">
        <v>27</v>
      </c>
      <c r="I39" t="str">
        <f t="shared" si="0"/>
        <v>day 27</v>
      </c>
    </row>
    <row r="40" spans="1:9" x14ac:dyDescent="0.25">
      <c r="A40">
        <v>38</v>
      </c>
      <c r="B40">
        <v>0.50535138166193305</v>
      </c>
      <c r="C40">
        <v>0.53228230045293401</v>
      </c>
      <c r="D40">
        <v>-1.02549487484767</v>
      </c>
      <c r="E40">
        <v>17.847411838250299</v>
      </c>
      <c r="F40">
        <v>11.0555727301358</v>
      </c>
      <c r="G40">
        <v>8.7414917042341909</v>
      </c>
      <c r="H40">
        <v>28</v>
      </c>
      <c r="I40" t="str">
        <f t="shared" si="0"/>
        <v>day 28</v>
      </c>
    </row>
    <row r="41" spans="1:9" x14ac:dyDescent="0.25">
      <c r="A41">
        <v>39</v>
      </c>
      <c r="B41">
        <v>0.45577552923806203</v>
      </c>
      <c r="C41">
        <v>0.48270106047059103</v>
      </c>
      <c r="D41">
        <v>-0.92643733359764502</v>
      </c>
      <c r="E41">
        <v>18.4088558980133</v>
      </c>
      <c r="F41">
        <v>11.407537496422</v>
      </c>
      <c r="G41">
        <v>9.1272385793830892</v>
      </c>
      <c r="H41">
        <v>29</v>
      </c>
      <c r="I41" t="str">
        <f t="shared" si="0"/>
        <v>day 29</v>
      </c>
    </row>
    <row r="42" spans="1:9" x14ac:dyDescent="0.25">
      <c r="A42">
        <v>40</v>
      </c>
      <c r="B42">
        <v>0.39253927370151498</v>
      </c>
      <c r="C42">
        <v>0.41946538419586799</v>
      </c>
      <c r="D42">
        <v>-0.82919600773346802</v>
      </c>
      <c r="E42">
        <v>18.9754022263553</v>
      </c>
      <c r="F42">
        <v>11.7703995219844</v>
      </c>
      <c r="G42">
        <v>9.5249861404136595</v>
      </c>
      <c r="H42">
        <v>30</v>
      </c>
      <c r="I42" t="str">
        <f t="shared" si="0"/>
        <v>day 30</v>
      </c>
    </row>
    <row r="43" spans="1:9" x14ac:dyDescent="0.25">
      <c r="A43">
        <v>41</v>
      </c>
      <c r="B43">
        <v>0.31207911257457299</v>
      </c>
      <c r="C43">
        <v>0.339016237166757</v>
      </c>
      <c r="D43">
        <v>-0.73055178628677597</v>
      </c>
      <c r="E43">
        <v>19.568402604799601</v>
      </c>
      <c r="F43">
        <v>12.158519823037199</v>
      </c>
      <c r="G43">
        <v>9.9504983353544301</v>
      </c>
      <c r="H43">
        <v>31</v>
      </c>
      <c r="I43" t="str">
        <f t="shared" si="0"/>
        <v>day 31</v>
      </c>
    </row>
    <row r="44" spans="1:9" x14ac:dyDescent="0.25">
      <c r="A44">
        <v>42</v>
      </c>
      <c r="B44">
        <v>0.21979709740095599</v>
      </c>
      <c r="C44">
        <v>0.246753567883396</v>
      </c>
      <c r="D44">
        <v>-0.63778903333923298</v>
      </c>
      <c r="E44">
        <v>20.145540760170199</v>
      </c>
      <c r="F44">
        <v>12.544483840725899</v>
      </c>
      <c r="G44">
        <v>10.3737356366565</v>
      </c>
      <c r="H44">
        <v>32</v>
      </c>
      <c r="I44" t="str">
        <f t="shared" si="0"/>
        <v>day 32</v>
      </c>
    </row>
    <row r="45" spans="1:9" x14ac:dyDescent="0.25">
      <c r="A45">
        <v>43</v>
      </c>
      <c r="B45">
        <v>0.108674987509443</v>
      </c>
      <c r="C45">
        <v>0.135645618217199</v>
      </c>
      <c r="D45">
        <v>-0.54430797166109901</v>
      </c>
      <c r="E45">
        <v>20.7493871217189</v>
      </c>
      <c r="F45">
        <v>12.956944350443401</v>
      </c>
      <c r="G45">
        <v>10.826130312104899</v>
      </c>
      <c r="H45">
        <v>33</v>
      </c>
      <c r="I45" t="str">
        <f t="shared" si="0"/>
        <v>day 33</v>
      </c>
    </row>
    <row r="46" spans="1:9" x14ac:dyDescent="0.25">
      <c r="A46">
        <v>44</v>
      </c>
      <c r="B46">
        <v>-1.2688180417757501E-2</v>
      </c>
      <c r="C46">
        <v>1.4282265017833201E-2</v>
      </c>
      <c r="D46">
        <v>-0.45747427265669199</v>
      </c>
      <c r="E46">
        <v>21.333615582598402</v>
      </c>
      <c r="F46">
        <v>13.3641371499827</v>
      </c>
      <c r="G46">
        <v>11.2728415038336</v>
      </c>
      <c r="H46">
        <v>34</v>
      </c>
      <c r="I46" t="str">
        <f t="shared" si="0"/>
        <v>day 34</v>
      </c>
    </row>
    <row r="47" spans="1:9" x14ac:dyDescent="0.25">
      <c r="A47">
        <v>45</v>
      </c>
      <c r="B47">
        <v>-0.146079694322959</v>
      </c>
      <c r="C47">
        <v>-0.11910971725479901</v>
      </c>
      <c r="D47">
        <v>-0.37497795940269302</v>
      </c>
      <c r="E47">
        <v>21.912217827991899</v>
      </c>
      <c r="F47">
        <v>13.775658740578899</v>
      </c>
      <c r="G47">
        <v>11.724422669039001</v>
      </c>
      <c r="H47">
        <v>35</v>
      </c>
      <c r="I47" t="str">
        <f t="shared" si="0"/>
        <v>day 35</v>
      </c>
    </row>
    <row r="48" spans="1:9" x14ac:dyDescent="0.25">
      <c r="A48">
        <v>46</v>
      </c>
      <c r="B48">
        <v>-0.29659125411465498</v>
      </c>
      <c r="C48">
        <v>-0.26962669140891499</v>
      </c>
      <c r="D48">
        <v>-0.29375911809917699</v>
      </c>
      <c r="E48">
        <v>22.507935961348</v>
      </c>
      <c r="F48">
        <v>14.207492862271</v>
      </c>
      <c r="G48">
        <v>12.1984081970696</v>
      </c>
      <c r="H48">
        <v>36</v>
      </c>
      <c r="I48" t="str">
        <f t="shared" si="0"/>
        <v>day 36</v>
      </c>
    </row>
    <row r="49" spans="1:9" x14ac:dyDescent="0.25">
      <c r="A49">
        <v>47</v>
      </c>
      <c r="B49">
        <v>-0.45285143796634802</v>
      </c>
      <c r="C49">
        <v>-0.42589580819647499</v>
      </c>
      <c r="D49">
        <v>-0.219468680955824</v>
      </c>
      <c r="E49">
        <v>23.079179454874801</v>
      </c>
      <c r="F49">
        <v>14.6288422103563</v>
      </c>
      <c r="G49">
        <v>12.6609913854823</v>
      </c>
      <c r="H49">
        <v>37</v>
      </c>
      <c r="I49" t="str">
        <f t="shared" si="0"/>
        <v>day 37</v>
      </c>
    </row>
    <row r="50" spans="1:9" x14ac:dyDescent="0.25">
      <c r="A50">
        <v>48</v>
      </c>
      <c r="B50">
        <v>-0.62574883441276297</v>
      </c>
      <c r="C50">
        <v>-0.59880295374149195</v>
      </c>
      <c r="D50">
        <v>-0.14644648135729299</v>
      </c>
      <c r="E50">
        <v>23.668718061374602</v>
      </c>
      <c r="F50">
        <v>15.070928381417099</v>
      </c>
      <c r="G50">
        <v>13.146447821757601</v>
      </c>
      <c r="H50">
        <v>38</v>
      </c>
      <c r="I50" t="str">
        <f t="shared" si="0"/>
        <v>day 38</v>
      </c>
    </row>
    <row r="51" spans="1:9" x14ac:dyDescent="0.25">
      <c r="A51">
        <v>49</v>
      </c>
      <c r="B51">
        <v>-0.80229110439863804</v>
      </c>
      <c r="C51">
        <v>-0.77537056713147001</v>
      </c>
      <c r="D51">
        <v>-7.9745629965748896E-2</v>
      </c>
      <c r="E51">
        <v>24.235049557656801</v>
      </c>
      <c r="F51">
        <v>15.502188297281799</v>
      </c>
      <c r="G51">
        <v>13.6201148957723</v>
      </c>
      <c r="H51">
        <v>39</v>
      </c>
      <c r="I51" t="str">
        <f t="shared" si="0"/>
        <v>day 39</v>
      </c>
    </row>
    <row r="52" spans="1:9" x14ac:dyDescent="0.25">
      <c r="A52">
        <v>50</v>
      </c>
      <c r="B52">
        <v>-0.98735378331897194</v>
      </c>
      <c r="C52">
        <v>-0.96044981465096302</v>
      </c>
      <c r="D52">
        <v>-1.6690319786228501E-2</v>
      </c>
      <c r="E52">
        <v>24.7984736991373</v>
      </c>
      <c r="F52">
        <v>15.9370793949149</v>
      </c>
      <c r="G52">
        <v>14.0978495685992</v>
      </c>
      <c r="H52">
        <v>40</v>
      </c>
      <c r="I52" t="str">
        <f t="shared" si="0"/>
        <v>day 40</v>
      </c>
    </row>
    <row r="53" spans="1:9" x14ac:dyDescent="0.25">
      <c r="A53">
        <v>51</v>
      </c>
      <c r="B53">
        <v>-1.1836767317587</v>
      </c>
      <c r="C53">
        <v>-1.15679639741405</v>
      </c>
      <c r="D53">
        <v>4.3914438248774099E-2</v>
      </c>
      <c r="E53">
        <v>25.369267899208001</v>
      </c>
      <c r="F53">
        <v>16.383171742814699</v>
      </c>
      <c r="G53">
        <v>14.587958501279701</v>
      </c>
      <c r="H53">
        <v>41</v>
      </c>
      <c r="I53" t="str">
        <f t="shared" si="0"/>
        <v>day 41</v>
      </c>
    </row>
    <row r="54" spans="1:9" x14ac:dyDescent="0.25">
      <c r="A54">
        <v>52</v>
      </c>
      <c r="B54">
        <v>-1.3699969571038699</v>
      </c>
      <c r="C54">
        <v>-1.3431268177453199</v>
      </c>
      <c r="D54">
        <v>9.6422602595992599E-2</v>
      </c>
      <c r="E54">
        <v>25.889661953828</v>
      </c>
      <c r="F54">
        <v>16.7951176695607</v>
      </c>
      <c r="G54">
        <v>15.0406786067116</v>
      </c>
      <c r="H54">
        <v>42</v>
      </c>
      <c r="I54" t="str">
        <f t="shared" si="0"/>
        <v>day 42</v>
      </c>
    </row>
    <row r="55" spans="1:9" x14ac:dyDescent="0.25">
      <c r="A55">
        <v>53</v>
      </c>
      <c r="B55">
        <v>-1.5595854336588499</v>
      </c>
      <c r="C55">
        <v>-1.5327236406423299</v>
      </c>
      <c r="D55">
        <v>0.145623731411192</v>
      </c>
      <c r="E55">
        <v>26.402203204871199</v>
      </c>
      <c r="F55">
        <v>17.204778884754202</v>
      </c>
      <c r="G55">
        <v>15.490947671126399</v>
      </c>
      <c r="H55">
        <v>43</v>
      </c>
      <c r="I55" t="str">
        <f t="shared" si="0"/>
        <v>day 43</v>
      </c>
    </row>
    <row r="56" spans="1:9" x14ac:dyDescent="0.25">
      <c r="A56">
        <v>54</v>
      </c>
      <c r="B56">
        <v>-1.73830803275746</v>
      </c>
      <c r="C56">
        <v>-1.71146550343048</v>
      </c>
      <c r="D56">
        <v>0.188636278049128</v>
      </c>
      <c r="E56">
        <v>26.872533384709602</v>
      </c>
      <c r="F56">
        <v>17.583609353729099</v>
      </c>
      <c r="G56">
        <v>15.907366868221301</v>
      </c>
      <c r="H56">
        <v>44</v>
      </c>
      <c r="I56" t="str">
        <f t="shared" si="0"/>
        <v>day 44</v>
      </c>
    </row>
    <row r="57" spans="1:9" x14ac:dyDescent="0.25">
      <c r="A57">
        <v>55</v>
      </c>
      <c r="B57">
        <v>-1.9123414240183201</v>
      </c>
      <c r="C57">
        <v>-1.8855181852885501</v>
      </c>
      <c r="D57">
        <v>0.227767204759871</v>
      </c>
      <c r="E57">
        <v>27.319970851381601</v>
      </c>
      <c r="F57">
        <v>17.946865304420701</v>
      </c>
      <c r="G57">
        <v>16.3067118460358</v>
      </c>
      <c r="H57">
        <v>45</v>
      </c>
      <c r="I57" t="str">
        <f t="shared" si="0"/>
        <v>day 45</v>
      </c>
    </row>
    <row r="58" spans="1:9" x14ac:dyDescent="0.25">
      <c r="A58">
        <v>56</v>
      </c>
      <c r="B58">
        <v>-2.0874901992120298</v>
      </c>
      <c r="C58">
        <v>-2.06069092936026</v>
      </c>
      <c r="D58">
        <v>0.264718260223336</v>
      </c>
      <c r="E58">
        <v>27.761435512230801</v>
      </c>
      <c r="F58">
        <v>18.307696066073099</v>
      </c>
      <c r="G58">
        <v>16.7034305628972</v>
      </c>
      <c r="H58">
        <v>46</v>
      </c>
      <c r="I58" t="str">
        <f t="shared" si="0"/>
        <v>day 46</v>
      </c>
    </row>
    <row r="59" spans="1:9" x14ac:dyDescent="0.25">
      <c r="A59">
        <v>57</v>
      </c>
      <c r="B59">
        <v>-2.2511710510135599</v>
      </c>
      <c r="C59">
        <v>-2.2243977356614102</v>
      </c>
      <c r="D59">
        <v>0.29727513384548898</v>
      </c>
      <c r="E59">
        <v>28.167099548304201</v>
      </c>
      <c r="F59">
        <v>18.641246915138701</v>
      </c>
      <c r="G59">
        <v>17.0701922039033</v>
      </c>
      <c r="H59">
        <v>47</v>
      </c>
      <c r="I59" t="str">
        <f t="shared" si="0"/>
        <v>day 47</v>
      </c>
    </row>
    <row r="60" spans="1:9" x14ac:dyDescent="0.25">
      <c r="A60">
        <v>58</v>
      </c>
      <c r="B60">
        <v>-2.4175780645048799</v>
      </c>
      <c r="C60">
        <v>-2.3908345793011501</v>
      </c>
      <c r="D60">
        <v>0.32860964379325402</v>
      </c>
      <c r="E60">
        <v>28.573628353274302</v>
      </c>
      <c r="F60">
        <v>18.9772573281947</v>
      </c>
      <c r="G60">
        <v>17.439687889311902</v>
      </c>
      <c r="H60">
        <v>48</v>
      </c>
      <c r="I60" t="str">
        <f t="shared" si="0"/>
        <v>day 48</v>
      </c>
    </row>
    <row r="61" spans="1:9" x14ac:dyDescent="0.25">
      <c r="A61">
        <v>59</v>
      </c>
      <c r="B61">
        <v>-2.5772948161518299</v>
      </c>
      <c r="C61">
        <v>-2.5505842146833899</v>
      </c>
      <c r="D61">
        <v>0.35716277010591102</v>
      </c>
      <c r="E61">
        <v>28.959060276510399</v>
      </c>
      <c r="F61">
        <v>19.297210066557401</v>
      </c>
      <c r="G61">
        <v>17.791543438523</v>
      </c>
      <c r="H61">
        <v>49</v>
      </c>
      <c r="I61" t="str">
        <f t="shared" si="0"/>
        <v>day 49</v>
      </c>
    </row>
    <row r="62" spans="1:9" x14ac:dyDescent="0.25">
      <c r="A62">
        <v>60</v>
      </c>
      <c r="B62">
        <v>-2.7362274361579901</v>
      </c>
      <c r="C62">
        <v>-2.7095495043145701</v>
      </c>
      <c r="D62">
        <v>0.38422070026238903</v>
      </c>
      <c r="E62">
        <v>29.338493226285799</v>
      </c>
      <c r="F62">
        <v>19.613503748188698</v>
      </c>
      <c r="G62">
        <v>18.139397561020399</v>
      </c>
      <c r="H62">
        <v>50</v>
      </c>
      <c r="I62" t="str">
        <f t="shared" si="0"/>
        <v>day 50</v>
      </c>
    </row>
    <row r="63" spans="1:9" x14ac:dyDescent="0.25">
      <c r="A63">
        <v>61</v>
      </c>
      <c r="B63">
        <v>-2.8998180060520999</v>
      </c>
      <c r="C63">
        <v>-2.8731764264853301</v>
      </c>
      <c r="D63">
        <v>0.410773286231714</v>
      </c>
      <c r="E63">
        <v>29.725243480908201</v>
      </c>
      <c r="F63">
        <v>19.937252845739</v>
      </c>
      <c r="G63">
        <v>18.4954799169155</v>
      </c>
      <c r="H63">
        <v>51</v>
      </c>
      <c r="I63" t="str">
        <f t="shared" si="0"/>
        <v>day 51</v>
      </c>
    </row>
    <row r="64" spans="1:9" x14ac:dyDescent="0.25">
      <c r="A64">
        <v>62</v>
      </c>
      <c r="B64">
        <v>-3.0563266868165999</v>
      </c>
      <c r="C64">
        <v>-3.0297275945300801</v>
      </c>
      <c r="D64">
        <v>0.43504019692481999</v>
      </c>
      <c r="E64">
        <v>30.092202156836201</v>
      </c>
      <c r="F64">
        <v>20.245507096725198</v>
      </c>
      <c r="G64">
        <v>18.834539503992598</v>
      </c>
      <c r="H64">
        <v>52</v>
      </c>
      <c r="I64" t="str">
        <f t="shared" si="0"/>
        <v>day 52</v>
      </c>
    </row>
    <row r="65" spans="1:9" x14ac:dyDescent="0.25">
      <c r="A65">
        <v>63</v>
      </c>
      <c r="B65">
        <v>-3.21721282245263</v>
      </c>
      <c r="C65">
        <v>-3.1906571634652701</v>
      </c>
      <c r="D65">
        <v>0.45891372047391998</v>
      </c>
      <c r="E65">
        <v>30.466715217006701</v>
      </c>
      <c r="F65">
        <v>20.561120634706199</v>
      </c>
      <c r="G65">
        <v>19.181713013368</v>
      </c>
      <c r="H65">
        <v>53</v>
      </c>
      <c r="I65" t="str">
        <f t="shared" si="0"/>
        <v>day 53</v>
      </c>
    </row>
    <row r="66" spans="1:9" x14ac:dyDescent="0.25">
      <c r="A66">
        <v>64</v>
      </c>
      <c r="B66">
        <v>-3.3711496149634699</v>
      </c>
      <c r="C66">
        <v>-3.34463145059178</v>
      </c>
      <c r="D66">
        <v>0.480809266772529</v>
      </c>
      <c r="E66">
        <v>30.822792736621999</v>
      </c>
      <c r="F66">
        <v>20.862120751159999</v>
      </c>
      <c r="G66">
        <v>19.512834231191601</v>
      </c>
      <c r="H66">
        <v>54</v>
      </c>
      <c r="I66" t="str">
        <f t="shared" si="0"/>
        <v>day 54</v>
      </c>
    </row>
    <row r="67" spans="1:9" x14ac:dyDescent="0.25">
      <c r="A67">
        <v>65</v>
      </c>
      <c r="B67">
        <v>-3.52759387507612</v>
      </c>
      <c r="C67">
        <v>-3.5011101498878099</v>
      </c>
      <c r="D67">
        <v>0.50217685839494897</v>
      </c>
      <c r="E67">
        <v>31.182702215926</v>
      </c>
      <c r="F67">
        <v>21.167236988720699</v>
      </c>
      <c r="G67">
        <v>19.8485087057113</v>
      </c>
      <c r="H67">
        <v>55</v>
      </c>
      <c r="I67" t="str">
        <f t="shared" si="0"/>
        <v>day 55</v>
      </c>
    </row>
    <row r="68" spans="1:9" x14ac:dyDescent="0.25">
      <c r="A68">
        <v>66</v>
      </c>
      <c r="B68">
        <v>-3.6965488168149401</v>
      </c>
      <c r="C68">
        <v>-3.67010784439295</v>
      </c>
      <c r="D68">
        <v>0.52432204878147304</v>
      </c>
      <c r="E68">
        <v>31.569709913352099</v>
      </c>
      <c r="F68">
        <v>21.495993706655799</v>
      </c>
      <c r="G68">
        <v>20.210200330312901</v>
      </c>
      <c r="H68">
        <v>56</v>
      </c>
      <c r="I68" t="str">
        <f t="shared" ref="I68:I102" si="1">"day "&amp;H68</f>
        <v>day 56</v>
      </c>
    </row>
    <row r="69" spans="1:9" x14ac:dyDescent="0.25">
      <c r="A69">
        <v>67</v>
      </c>
      <c r="B69">
        <v>-3.8668224853206499</v>
      </c>
      <c r="C69">
        <v>-3.8404289290395801</v>
      </c>
      <c r="D69">
        <v>0.54572713616818902</v>
      </c>
      <c r="E69">
        <v>31.958282706171001</v>
      </c>
      <c r="F69">
        <v>21.826713945643601</v>
      </c>
      <c r="G69">
        <v>20.574059554566301</v>
      </c>
      <c r="H69">
        <v>57</v>
      </c>
      <c r="I69" t="str">
        <f t="shared" si="1"/>
        <v>day 57</v>
      </c>
    </row>
    <row r="70" spans="1:9" x14ac:dyDescent="0.25">
      <c r="A70">
        <v>68</v>
      </c>
      <c r="B70">
        <v>-4.0510113682823503</v>
      </c>
      <c r="C70">
        <v>-4.0246684674675901</v>
      </c>
      <c r="D70">
        <v>0.56791752636236903</v>
      </c>
      <c r="E70">
        <v>32.3771642102352</v>
      </c>
      <c r="F70">
        <v>22.1840328575502</v>
      </c>
      <c r="G70">
        <v>20.967201859480799</v>
      </c>
      <c r="H70">
        <v>58</v>
      </c>
      <c r="I70" t="str">
        <f t="shared" si="1"/>
        <v>day 58</v>
      </c>
    </row>
    <row r="71" spans="1:9" x14ac:dyDescent="0.25">
      <c r="A71">
        <v>69</v>
      </c>
      <c r="B71">
        <v>-4.23617300370422</v>
      </c>
      <c r="C71">
        <v>-4.2098814901640003</v>
      </c>
      <c r="D71">
        <v>0.58928384956738999</v>
      </c>
      <c r="E71">
        <v>32.797106937299503</v>
      </c>
      <c r="F71">
        <v>22.542992080684499</v>
      </c>
      <c r="G71">
        <v>21.362167354744301</v>
      </c>
      <c r="H71">
        <v>59</v>
      </c>
      <c r="I71" t="str">
        <f t="shared" si="1"/>
        <v>day 59</v>
      </c>
    </row>
    <row r="72" spans="1:9" x14ac:dyDescent="0.25">
      <c r="A72">
        <v>70</v>
      </c>
      <c r="B72">
        <v>-4.4289578987752698</v>
      </c>
      <c r="C72">
        <v>-4.4027127304991396</v>
      </c>
      <c r="D72">
        <v>0.61059508888313696</v>
      </c>
      <c r="E72">
        <v>33.233466823326999</v>
      </c>
      <c r="F72">
        <v>22.916666284074498</v>
      </c>
      <c r="G72">
        <v>21.773342204673099</v>
      </c>
      <c r="H72">
        <v>60</v>
      </c>
      <c r="I72" t="str">
        <f t="shared" si="1"/>
        <v>day 60</v>
      </c>
    </row>
    <row r="73" spans="1:9" x14ac:dyDescent="0.25">
      <c r="A73">
        <v>71</v>
      </c>
      <c r="B73">
        <v>-4.6369256017630098</v>
      </c>
      <c r="C73">
        <v>-4.6107276065238496</v>
      </c>
      <c r="D73">
        <v>0.63259024163261901</v>
      </c>
      <c r="E73">
        <v>33.703623273948097</v>
      </c>
      <c r="F73">
        <v>23.3199101703837</v>
      </c>
      <c r="G73">
        <v>22.2170673860088</v>
      </c>
      <c r="H73">
        <v>61</v>
      </c>
      <c r="I73" t="str">
        <f t="shared" si="1"/>
        <v>day 61</v>
      </c>
    </row>
    <row r="74" spans="1:9" x14ac:dyDescent="0.25">
      <c r="A74">
        <v>72</v>
      </c>
      <c r="B74">
        <v>-4.83895766748185</v>
      </c>
      <c r="C74">
        <v>-4.8128248950361696</v>
      </c>
      <c r="D74">
        <v>0.653042300026341</v>
      </c>
      <c r="E74">
        <v>34.160398798116503</v>
      </c>
      <c r="F74">
        <v>23.7119426166057</v>
      </c>
      <c r="G74">
        <v>22.648439709512498</v>
      </c>
      <c r="H74">
        <v>62</v>
      </c>
      <c r="I74" t="str">
        <f t="shared" si="1"/>
        <v>day 62</v>
      </c>
    </row>
    <row r="75" spans="1:9" x14ac:dyDescent="0.25">
      <c r="A75">
        <v>73</v>
      </c>
      <c r="B75">
        <v>-5.0435465111369</v>
      </c>
      <c r="C75">
        <v>-5.01750034157077</v>
      </c>
      <c r="D75">
        <v>0.67289631072922196</v>
      </c>
      <c r="E75">
        <v>34.6234754841214</v>
      </c>
      <c r="F75">
        <v>24.109402797777999</v>
      </c>
      <c r="G75">
        <v>23.085782742732601</v>
      </c>
      <c r="H75">
        <v>63</v>
      </c>
      <c r="I75" t="str">
        <f t="shared" si="1"/>
        <v>day 63</v>
      </c>
    </row>
    <row r="76" spans="1:9" x14ac:dyDescent="0.25">
      <c r="A76">
        <v>74</v>
      </c>
      <c r="B76">
        <v>-5.2347983062251204</v>
      </c>
      <c r="C76">
        <v>-5.2087470008689296</v>
      </c>
      <c r="D76">
        <v>0.69070083582390995</v>
      </c>
      <c r="E76">
        <v>35.055041494540497</v>
      </c>
      <c r="F76">
        <v>24.4820466704887</v>
      </c>
      <c r="G76">
        <v>23.495939006393101</v>
      </c>
      <c r="H76">
        <v>64</v>
      </c>
      <c r="I76" t="str">
        <f t="shared" si="1"/>
        <v>day 64</v>
      </c>
    </row>
    <row r="77" spans="1:9" x14ac:dyDescent="0.25">
      <c r="A77">
        <v>75</v>
      </c>
      <c r="B77">
        <v>-5.42117360964565</v>
      </c>
      <c r="C77">
        <v>-5.3952020042736804</v>
      </c>
      <c r="D77">
        <v>0.707431643454556</v>
      </c>
      <c r="E77">
        <v>35.477739508328199</v>
      </c>
      <c r="F77">
        <v>24.845599878895399</v>
      </c>
      <c r="G77">
        <v>23.8960063501079</v>
      </c>
      <c r="H77">
        <v>65</v>
      </c>
      <c r="I77" t="str">
        <f t="shared" si="1"/>
        <v>day 65</v>
      </c>
    </row>
    <row r="78" spans="1:9" x14ac:dyDescent="0.25">
      <c r="A78">
        <v>76</v>
      </c>
      <c r="B78">
        <v>-5.6088052536896704</v>
      </c>
      <c r="C78">
        <v>-5.5828728008248802</v>
      </c>
      <c r="D78">
        <v>0.72366311402154404</v>
      </c>
      <c r="E78">
        <v>35.903177625376998</v>
      </c>
      <c r="F78">
        <v>25.2127083990936</v>
      </c>
      <c r="G78">
        <v>24.300051737582798</v>
      </c>
      <c r="H78">
        <v>66</v>
      </c>
      <c r="I78" t="str">
        <f t="shared" si="1"/>
        <v>day 66</v>
      </c>
    </row>
    <row r="79" spans="1:9" x14ac:dyDescent="0.25">
      <c r="A79">
        <v>77</v>
      </c>
      <c r="B79">
        <v>-5.7848820059211903</v>
      </c>
      <c r="C79">
        <v>-5.7590625180609099</v>
      </c>
      <c r="D79">
        <v>0.738395366664931</v>
      </c>
      <c r="E79">
        <v>36.304711139438098</v>
      </c>
      <c r="F79">
        <v>25.5578260683831</v>
      </c>
      <c r="G79">
        <v>24.6798062061244</v>
      </c>
      <c r="H79">
        <v>67</v>
      </c>
      <c r="I79" t="str">
        <f t="shared" si="1"/>
        <v>day 67</v>
      </c>
    </row>
    <row r="80" spans="1:9" x14ac:dyDescent="0.25">
      <c r="A80">
        <v>78</v>
      </c>
      <c r="B80">
        <v>-5.96179174729689</v>
      </c>
      <c r="C80">
        <v>-5.9359962808823203</v>
      </c>
      <c r="D80">
        <v>0.75269516166789197</v>
      </c>
      <c r="E80">
        <v>36.707274617239001</v>
      </c>
      <c r="F80">
        <v>25.905996940455498</v>
      </c>
      <c r="G80">
        <v>25.0630481083059</v>
      </c>
      <c r="H80">
        <v>68</v>
      </c>
      <c r="I80" t="str">
        <f t="shared" si="1"/>
        <v>day 68</v>
      </c>
    </row>
    <row r="81" spans="1:9" x14ac:dyDescent="0.25">
      <c r="A81">
        <v>79</v>
      </c>
      <c r="B81">
        <v>-6.12784815179866</v>
      </c>
      <c r="C81">
        <v>-6.1020986367141603</v>
      </c>
      <c r="D81">
        <v>0.76570672489401803</v>
      </c>
      <c r="E81">
        <v>37.086533014135803</v>
      </c>
      <c r="F81">
        <v>26.233727605482301</v>
      </c>
      <c r="G81">
        <v>25.423778181887698</v>
      </c>
      <c r="H81">
        <v>69</v>
      </c>
      <c r="I81" t="str">
        <f t="shared" si="1"/>
        <v>day 69</v>
      </c>
    </row>
    <row r="82" spans="1:9" x14ac:dyDescent="0.25">
      <c r="A82">
        <v>80</v>
      </c>
      <c r="B82">
        <v>-6.2898993167210699</v>
      </c>
      <c r="C82">
        <v>-6.2641898624314498</v>
      </c>
      <c r="D82">
        <v>0.77803549208267597</v>
      </c>
      <c r="E82">
        <v>37.457713335003803</v>
      </c>
      <c r="F82">
        <v>26.554547990572399</v>
      </c>
      <c r="G82">
        <v>25.776905860468201</v>
      </c>
      <c r="H82">
        <v>70</v>
      </c>
      <c r="I82" t="str">
        <f t="shared" si="1"/>
        <v>day 70</v>
      </c>
    </row>
    <row r="83" spans="1:9" x14ac:dyDescent="0.25">
      <c r="A83">
        <v>81</v>
      </c>
      <c r="B83">
        <v>-6.4537844588575703</v>
      </c>
      <c r="C83">
        <v>-6.4281166201103499</v>
      </c>
      <c r="D83">
        <v>0.79014951154038904</v>
      </c>
      <c r="E83">
        <v>37.834240530269803</v>
      </c>
      <c r="F83">
        <v>26.8800673815098</v>
      </c>
      <c r="G83">
        <v>26.135211098188201</v>
      </c>
      <c r="H83">
        <v>71</v>
      </c>
      <c r="I83" t="str">
        <f t="shared" si="1"/>
        <v>day 71</v>
      </c>
    </row>
    <row r="84" spans="1:9" x14ac:dyDescent="0.25">
      <c r="A84">
        <v>82</v>
      </c>
      <c r="B84">
        <v>-6.6078548280558502</v>
      </c>
      <c r="C84">
        <v>-6.5822299652686702</v>
      </c>
      <c r="D84">
        <v>0.80122723487658598</v>
      </c>
      <c r="E84">
        <v>38.189352352117901</v>
      </c>
      <c r="F84">
        <v>27.187128859774099</v>
      </c>
      <c r="G84">
        <v>26.473204259382499</v>
      </c>
      <c r="H84">
        <v>72</v>
      </c>
      <c r="I84" t="str">
        <f t="shared" si="1"/>
        <v>day 72</v>
      </c>
    </row>
    <row r="85" spans="1:9" x14ac:dyDescent="0.25">
      <c r="A85">
        <v>83</v>
      </c>
      <c r="B85">
        <v>-6.7635986923987197</v>
      </c>
      <c r="C85">
        <v>-6.7380143246981703</v>
      </c>
      <c r="D85">
        <v>0.81213209513845397</v>
      </c>
      <c r="E85">
        <v>38.549521593779502</v>
      </c>
      <c r="F85">
        <v>27.498599039590299</v>
      </c>
      <c r="G85">
        <v>26.816054356016799</v>
      </c>
      <c r="H85">
        <v>73</v>
      </c>
      <c r="I85" t="str">
        <f t="shared" si="1"/>
        <v>day 73</v>
      </c>
    </row>
    <row r="86" spans="1:9" x14ac:dyDescent="0.25">
      <c r="A86">
        <v>84</v>
      </c>
      <c r="B86">
        <v>-6.9099652105742599</v>
      </c>
      <c r="C86">
        <v>-6.8844195084540001</v>
      </c>
      <c r="D86">
        <v>0.82212236488761303</v>
      </c>
      <c r="E86">
        <v>38.8891695868084</v>
      </c>
      <c r="F86">
        <v>27.792344739641099</v>
      </c>
      <c r="G86">
        <v>27.1393976975831</v>
      </c>
      <c r="H86">
        <v>74</v>
      </c>
      <c r="I86" t="str">
        <f t="shared" si="1"/>
        <v>day 74</v>
      </c>
    </row>
    <row r="87" spans="1:9" x14ac:dyDescent="0.25">
      <c r="A87">
        <v>85</v>
      </c>
      <c r="B87">
        <v>-7.0527518348129403</v>
      </c>
      <c r="C87">
        <v>-7.02724494716918</v>
      </c>
      <c r="D87">
        <v>0.83163653118448899</v>
      </c>
      <c r="E87">
        <v>39.2216513090655</v>
      </c>
      <c r="F87">
        <v>28.079907348682301</v>
      </c>
      <c r="G87">
        <v>27.455938465702001</v>
      </c>
      <c r="H87">
        <v>75</v>
      </c>
      <c r="I87" t="str">
        <f t="shared" si="1"/>
        <v>day 75</v>
      </c>
    </row>
    <row r="88" spans="1:9" x14ac:dyDescent="0.25">
      <c r="A88">
        <v>86</v>
      </c>
      <c r="B88">
        <v>-7.1993583104406298</v>
      </c>
      <c r="C88">
        <v>-7.1738810869855199</v>
      </c>
      <c r="D88">
        <v>0.84117380757238402</v>
      </c>
      <c r="E88">
        <v>39.564129756249201</v>
      </c>
      <c r="F88">
        <v>28.376247058813099</v>
      </c>
      <c r="G88">
        <v>27.7821600930329</v>
      </c>
      <c r="H88">
        <v>76</v>
      </c>
      <c r="I88" t="str">
        <f t="shared" si="1"/>
        <v>day 76</v>
      </c>
    </row>
    <row r="89" spans="1:9" x14ac:dyDescent="0.25">
      <c r="A89">
        <v>87</v>
      </c>
      <c r="B89">
        <v>-7.3431135528961198</v>
      </c>
      <c r="C89">
        <v>-7.3176752551196698</v>
      </c>
      <c r="D89">
        <v>0.85031030159113896</v>
      </c>
      <c r="E89">
        <v>39.901383171656299</v>
      </c>
      <c r="F89">
        <v>28.667889283383001</v>
      </c>
      <c r="G89">
        <v>28.1031936368462</v>
      </c>
      <c r="H89">
        <v>77</v>
      </c>
      <c r="I89" t="str">
        <f t="shared" si="1"/>
        <v>day 77</v>
      </c>
    </row>
    <row r="90" spans="1:9" x14ac:dyDescent="0.25">
      <c r="A90">
        <v>88</v>
      </c>
      <c r="B90">
        <v>-7.4941666104260998</v>
      </c>
      <c r="C90">
        <v>-7.46877158359991</v>
      </c>
      <c r="D90">
        <v>0.85968645386509002</v>
      </c>
      <c r="E90">
        <v>40.2571814011744</v>
      </c>
      <c r="F90">
        <v>28.975536346183699</v>
      </c>
      <c r="G90">
        <v>28.441846886590199</v>
      </c>
      <c r="H90">
        <v>78</v>
      </c>
      <c r="I90" t="str">
        <f t="shared" si="1"/>
        <v>day 78</v>
      </c>
    </row>
    <row r="91" spans="1:9" x14ac:dyDescent="0.25">
      <c r="A91">
        <v>89</v>
      </c>
      <c r="B91">
        <v>-7.6417233929377799</v>
      </c>
      <c r="C91">
        <v>-7.6163678198870803</v>
      </c>
      <c r="D91">
        <v>0.86863120754719803</v>
      </c>
      <c r="E91">
        <v>40.606174760071198</v>
      </c>
      <c r="F91">
        <v>29.277290548540499</v>
      </c>
      <c r="G91">
        <v>28.774015816755899</v>
      </c>
      <c r="H91">
        <v>79</v>
      </c>
      <c r="I91" t="str">
        <f t="shared" si="1"/>
        <v>day 79</v>
      </c>
    </row>
    <row r="92" spans="1:9" x14ac:dyDescent="0.25">
      <c r="A92">
        <v>90</v>
      </c>
      <c r="B92">
        <v>-7.7911442430716802</v>
      </c>
      <c r="C92">
        <v>-7.7658295085869904</v>
      </c>
      <c r="D92">
        <v>0.87748056623386295</v>
      </c>
      <c r="E92">
        <v>40.961094093165897</v>
      </c>
      <c r="F92">
        <v>29.584130294330102</v>
      </c>
      <c r="G92">
        <v>29.111784282902899</v>
      </c>
      <c r="H92">
        <v>80</v>
      </c>
      <c r="I92" t="str">
        <f t="shared" si="1"/>
        <v>day 80</v>
      </c>
    </row>
    <row r="93" spans="1:9" x14ac:dyDescent="0.25">
      <c r="A93">
        <v>91</v>
      </c>
      <c r="B93">
        <v>-7.94667505420946</v>
      </c>
      <c r="C93">
        <v>-7.9214030749045499</v>
      </c>
      <c r="D93">
        <v>0.88647661281831802</v>
      </c>
      <c r="E93">
        <v>41.332203676105301</v>
      </c>
      <c r="F93">
        <v>29.904919329314598</v>
      </c>
      <c r="G93">
        <v>29.464909304048099</v>
      </c>
      <c r="H93">
        <v>81</v>
      </c>
      <c r="I93" t="str">
        <f t="shared" si="1"/>
        <v>day 81</v>
      </c>
    </row>
    <row r="94" spans="1:9" x14ac:dyDescent="0.25">
      <c r="A94">
        <v>92</v>
      </c>
      <c r="B94">
        <v>-8.1020229266570603</v>
      </c>
      <c r="C94">
        <v>-8.0767942084167501</v>
      </c>
      <c r="D94">
        <v>0.89525058681738001</v>
      </c>
      <c r="E94">
        <v>41.704654085955198</v>
      </c>
      <c r="F94">
        <v>30.226799854103199</v>
      </c>
      <c r="G94">
        <v>29.819235237549901</v>
      </c>
      <c r="H94">
        <v>82</v>
      </c>
      <c r="I94" t="str">
        <f t="shared" si="1"/>
        <v>day 82</v>
      </c>
    </row>
    <row r="95" spans="1:9" x14ac:dyDescent="0.25">
      <c r="A95">
        <v>93</v>
      </c>
      <c r="B95">
        <v>-8.2583358510572999</v>
      </c>
      <c r="C95">
        <v>-8.2331532395781295</v>
      </c>
      <c r="D95">
        <v>0.90387338330371902</v>
      </c>
      <c r="E95">
        <v>42.081301187100102</v>
      </c>
      <c r="F95">
        <v>30.552201613002499</v>
      </c>
      <c r="G95">
        <v>30.177432540919298</v>
      </c>
      <c r="H95">
        <v>83</v>
      </c>
      <c r="I95" t="str">
        <f t="shared" si="1"/>
        <v>day 83</v>
      </c>
    </row>
    <row r="96" spans="1:9" x14ac:dyDescent="0.25">
      <c r="A96">
        <v>94</v>
      </c>
      <c r="B96">
        <v>-8.4140845686091605</v>
      </c>
      <c r="C96">
        <v>-8.3889554826294699</v>
      </c>
      <c r="D96">
        <v>0.91226747496653304</v>
      </c>
      <c r="E96">
        <v>42.458648093444197</v>
      </c>
      <c r="F96">
        <v>30.877963252653601</v>
      </c>
      <c r="G96">
        <v>30.5360217168049</v>
      </c>
      <c r="H96">
        <v>84</v>
      </c>
      <c r="I96" t="str">
        <f t="shared" si="1"/>
        <v>day 84</v>
      </c>
    </row>
    <row r="97" spans="1:9" x14ac:dyDescent="0.25">
      <c r="A97">
        <v>95</v>
      </c>
      <c r="B97">
        <v>-8.5693180111676206</v>
      </c>
      <c r="C97">
        <v>-8.5442427685710705</v>
      </c>
      <c r="D97">
        <v>0.92044287778108502</v>
      </c>
      <c r="E97">
        <v>42.836695180947501</v>
      </c>
      <c r="F97">
        <v>31.2042374357863</v>
      </c>
      <c r="G97">
        <v>30.895174571066001</v>
      </c>
      <c r="H97">
        <v>85</v>
      </c>
      <c r="I97" t="str">
        <f t="shared" si="1"/>
        <v>day 85</v>
      </c>
    </row>
    <row r="98" spans="1:9" x14ac:dyDescent="0.25">
      <c r="A98">
        <v>96</v>
      </c>
      <c r="B98">
        <v>-8.7240400670662197</v>
      </c>
      <c r="C98">
        <v>-8.6990179472173494</v>
      </c>
      <c r="D98">
        <v>0.92840765524753499</v>
      </c>
      <c r="E98">
        <v>43.215464146239299</v>
      </c>
      <c r="F98">
        <v>31.531061441332</v>
      </c>
      <c r="G98">
        <v>31.2549320008231</v>
      </c>
      <c r="H98">
        <v>86</v>
      </c>
      <c r="I98" t="str">
        <f t="shared" si="1"/>
        <v>day 86</v>
      </c>
    </row>
    <row r="99" spans="1:9" x14ac:dyDescent="0.25">
      <c r="A99">
        <v>97</v>
      </c>
      <c r="B99">
        <v>-8.8782078719290904</v>
      </c>
      <c r="C99">
        <v>-8.8532251011601399</v>
      </c>
      <c r="D99">
        <v>0.93616482714845295</v>
      </c>
      <c r="E99">
        <v>43.594596283205099</v>
      </c>
      <c r="F99">
        <v>31.858404845532998</v>
      </c>
      <c r="G99">
        <v>31.615273262913899</v>
      </c>
      <c r="H99">
        <v>87</v>
      </c>
      <c r="I99" t="str">
        <f t="shared" si="1"/>
        <v>day 87</v>
      </c>
    </row>
    <row r="100" spans="1:9" x14ac:dyDescent="0.25">
      <c r="A100">
        <v>98</v>
      </c>
      <c r="B100">
        <v>-9.0318418268011396</v>
      </c>
      <c r="C100">
        <v>-9.0068995336787196</v>
      </c>
      <c r="D100">
        <v>0.94372551264334903</v>
      </c>
      <c r="E100">
        <v>43.974498289485801</v>
      </c>
      <c r="F100">
        <v>32.186288482880997</v>
      </c>
      <c r="G100">
        <v>31.9762061920527</v>
      </c>
      <c r="H100">
        <v>88</v>
      </c>
      <c r="I100" t="str">
        <f t="shared" si="1"/>
        <v>day 88</v>
      </c>
    </row>
    <row r="101" spans="1:9" x14ac:dyDescent="0.25">
      <c r="A101">
        <v>99</v>
      </c>
      <c r="B101">
        <v>-9.1849298922161697</v>
      </c>
      <c r="C101">
        <v>-9.1600291336154598</v>
      </c>
      <c r="D101">
        <v>0.95109604377135804</v>
      </c>
      <c r="E101">
        <v>44.3551689401773</v>
      </c>
      <c r="F101">
        <v>32.514706587320298</v>
      </c>
      <c r="G101">
        <v>32.337723830560797</v>
      </c>
      <c r="H101">
        <v>89</v>
      </c>
      <c r="I101" t="str">
        <f t="shared" si="1"/>
        <v>day 89</v>
      </c>
    </row>
    <row r="102" spans="1:9" x14ac:dyDescent="0.25">
      <c r="A102">
        <v>100</v>
      </c>
      <c r="B102">
        <v>-9.3374576095499808</v>
      </c>
      <c r="C102">
        <v>-9.3125982376681407</v>
      </c>
      <c r="D102">
        <v>0.95828207614405003</v>
      </c>
      <c r="E102">
        <v>44.736564696499002</v>
      </c>
      <c r="F102">
        <v>32.8436508925044</v>
      </c>
      <c r="G102">
        <v>32.699817836369398</v>
      </c>
      <c r="H102">
        <v>90</v>
      </c>
      <c r="I102" t="str">
        <f t="shared" si="1"/>
        <v>day 90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78F4-A8AF-4528-A74E-25A3453EEE88}">
  <dimension ref="A4"/>
  <sheetViews>
    <sheetView workbookViewId="0">
      <selection activeCell="L50" sqref="L50"/>
    </sheetView>
  </sheetViews>
  <sheetFormatPr baseColWidth="10" defaultRowHeight="15" x14ac:dyDescent="0.25"/>
  <sheetData>
    <row r="4" spans="1:1" x14ac:dyDescent="0.25">
      <c r="A4" t="s">
        <v>143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26D0-D838-4FC1-830E-6DE0E843CD82}">
  <dimension ref="A6:CW117"/>
  <sheetViews>
    <sheetView workbookViewId="0">
      <selection activeCell="G45" sqref="G45"/>
    </sheetView>
  </sheetViews>
  <sheetFormatPr baseColWidth="10" defaultRowHeight="15" x14ac:dyDescent="0.25"/>
  <cols>
    <col min="1" max="1" width="42.28515625" customWidth="1"/>
  </cols>
  <sheetData>
    <row r="6" spans="1:101" x14ac:dyDescent="0.25">
      <c r="A6" t="s">
        <v>139</v>
      </c>
    </row>
    <row r="8" spans="1:101" x14ac:dyDescent="0.25">
      <c r="A8" t="s">
        <v>137</v>
      </c>
      <c r="B8">
        <f>COUNTIF($B$17:$CW$82,"TRUE")</f>
        <v>5304</v>
      </c>
      <c r="C8" s="46">
        <f>B8/$B$11</f>
        <v>0.80363636363636359</v>
      </c>
    </row>
    <row r="9" spans="1:101" x14ac:dyDescent="0.25">
      <c r="A9" t="s">
        <v>138</v>
      </c>
      <c r="B9">
        <f>COUNTIF($B$17:$CW$82,"FALSE")</f>
        <v>1002</v>
      </c>
      <c r="C9" s="46">
        <f>B9/$B$11</f>
        <v>0.15181818181818182</v>
      </c>
    </row>
    <row r="10" spans="1:101" x14ac:dyDescent="0.25">
      <c r="A10" t="s">
        <v>136</v>
      </c>
      <c r="B10">
        <f>COUNTIF($B$17:$CW$82,"NA")</f>
        <v>294</v>
      </c>
      <c r="C10" s="46">
        <f>B10/$B$11</f>
        <v>4.4545454545454548E-2</v>
      </c>
    </row>
    <row r="11" spans="1:101" x14ac:dyDescent="0.25">
      <c r="A11" s="47" t="s">
        <v>140</v>
      </c>
      <c r="B11" s="47">
        <f>SUM(B8:B10)</f>
        <v>6600</v>
      </c>
      <c r="C11" s="48"/>
    </row>
    <row r="12" spans="1:101" ht="15.75" thickBot="1" x14ac:dyDescent="0.3">
      <c r="A12" s="49" t="s">
        <v>141</v>
      </c>
      <c r="B12" s="49">
        <f>B10+B8</f>
        <v>5598</v>
      </c>
      <c r="C12" s="50">
        <f>B12/$B$11</f>
        <v>0.84818181818181815</v>
      </c>
    </row>
    <row r="13" spans="1:101" ht="15.75" thickTop="1" x14ac:dyDescent="0.25"/>
    <row r="16" spans="1:101" x14ac:dyDescent="0.25">
      <c r="B16">
        <v>0</v>
      </c>
      <c r="C16">
        <v>2.7000000000000001E-3</v>
      </c>
      <c r="D16">
        <v>5.4999999999999997E-3</v>
      </c>
      <c r="E16">
        <v>8.2000000000000007E-3</v>
      </c>
      <c r="F16">
        <v>1.0999999999999999E-2</v>
      </c>
      <c r="G16">
        <v>1.37E-2</v>
      </c>
      <c r="H16">
        <v>1.6400000000000001E-2</v>
      </c>
      <c r="I16">
        <v>1.9199999999999998E-2</v>
      </c>
      <c r="J16">
        <v>2.1899999999999999E-2</v>
      </c>
      <c r="K16">
        <v>2.47E-2</v>
      </c>
      <c r="L16">
        <v>2.7400000000000001E-2</v>
      </c>
      <c r="M16">
        <v>3.0099999999999998E-2</v>
      </c>
      <c r="N16">
        <v>3.2899999999999999E-2</v>
      </c>
      <c r="O16">
        <v>3.56E-2</v>
      </c>
      <c r="P16">
        <v>3.8399999999999997E-2</v>
      </c>
      <c r="Q16">
        <v>4.1099999999999998E-2</v>
      </c>
      <c r="R16">
        <v>4.3799999999999999E-2</v>
      </c>
      <c r="S16">
        <v>4.6600000000000003E-2</v>
      </c>
      <c r="T16">
        <v>4.9299999999999997E-2</v>
      </c>
      <c r="U16">
        <v>5.21E-2</v>
      </c>
      <c r="V16">
        <v>5.4800000000000001E-2</v>
      </c>
      <c r="W16">
        <v>5.7500000000000002E-2</v>
      </c>
      <c r="X16">
        <v>6.0299999999999999E-2</v>
      </c>
      <c r="Y16">
        <v>6.3E-2</v>
      </c>
      <c r="Z16">
        <v>6.5799999999999997E-2</v>
      </c>
      <c r="AA16">
        <v>6.8500000000000005E-2</v>
      </c>
      <c r="AB16">
        <v>7.1199999999999999E-2</v>
      </c>
      <c r="AC16">
        <v>7.3999999999999996E-2</v>
      </c>
      <c r="AD16">
        <v>7.6700000000000004E-2</v>
      </c>
      <c r="AE16">
        <v>7.9500000000000001E-2</v>
      </c>
      <c r="AF16">
        <v>8.2199999999999995E-2</v>
      </c>
      <c r="AG16">
        <v>8.4900000000000003E-2</v>
      </c>
      <c r="AH16">
        <v>8.77E-2</v>
      </c>
      <c r="AI16">
        <v>9.0399999999999994E-2</v>
      </c>
      <c r="AJ16">
        <v>9.3200000000000005E-2</v>
      </c>
      <c r="AK16">
        <v>9.5899999999999999E-2</v>
      </c>
      <c r="AL16">
        <v>9.8599999999999993E-2</v>
      </c>
      <c r="AM16">
        <v>0.1014</v>
      </c>
      <c r="AN16">
        <v>0.1041</v>
      </c>
      <c r="AO16">
        <v>0.10680000000000001</v>
      </c>
      <c r="AP16">
        <v>0.1096</v>
      </c>
      <c r="AQ16">
        <v>0.1123</v>
      </c>
      <c r="AR16">
        <v>0.11509999999999999</v>
      </c>
      <c r="AS16">
        <v>0.1178</v>
      </c>
      <c r="AT16">
        <v>0.1205</v>
      </c>
      <c r="AU16">
        <v>0.12330000000000001</v>
      </c>
      <c r="AV16">
        <v>0.126</v>
      </c>
      <c r="AW16">
        <v>0.1288</v>
      </c>
      <c r="AX16">
        <v>0.13150000000000001</v>
      </c>
      <c r="AY16">
        <v>0.13420000000000001</v>
      </c>
      <c r="AZ16">
        <v>0.13700000000000001</v>
      </c>
      <c r="BA16">
        <v>0.13969999999999999</v>
      </c>
      <c r="BB16">
        <v>0.14249999999999999</v>
      </c>
      <c r="BC16">
        <v>0.1452</v>
      </c>
      <c r="BD16">
        <v>0.1479</v>
      </c>
      <c r="BE16">
        <v>0.1507</v>
      </c>
      <c r="BF16">
        <v>0.15340000000000001</v>
      </c>
      <c r="BG16">
        <v>0.15620000000000001</v>
      </c>
      <c r="BH16">
        <v>0.15890000000000001</v>
      </c>
      <c r="BI16">
        <v>0.16159999999999999</v>
      </c>
      <c r="BJ16">
        <v>0.16439999999999999</v>
      </c>
      <c r="BK16">
        <v>0.1671</v>
      </c>
      <c r="BL16">
        <v>0.1699</v>
      </c>
      <c r="BM16">
        <v>0.1726</v>
      </c>
      <c r="BN16">
        <v>0.17530000000000001</v>
      </c>
      <c r="BO16">
        <v>0.17810000000000001</v>
      </c>
      <c r="BP16">
        <v>0.18079999999999999</v>
      </c>
      <c r="BQ16">
        <v>0.18360000000000001</v>
      </c>
      <c r="BR16">
        <v>0.18629999999999999</v>
      </c>
      <c r="BS16">
        <v>0.189</v>
      </c>
      <c r="BT16">
        <v>0.1918</v>
      </c>
      <c r="BU16">
        <v>0.19450000000000001</v>
      </c>
      <c r="BV16">
        <v>0.1973</v>
      </c>
      <c r="BW16">
        <v>0.2</v>
      </c>
      <c r="BX16">
        <v>0.20269999999999999</v>
      </c>
      <c r="BY16">
        <v>0.20549999999999999</v>
      </c>
      <c r="BZ16">
        <v>0.2082</v>
      </c>
      <c r="CA16">
        <v>0.21099999999999999</v>
      </c>
      <c r="CB16">
        <v>0.2137</v>
      </c>
      <c r="CC16">
        <v>0.21640000000000001</v>
      </c>
      <c r="CD16">
        <v>0.21920000000000001</v>
      </c>
      <c r="CE16">
        <v>0.22189999999999999</v>
      </c>
      <c r="CF16">
        <v>0.22470000000000001</v>
      </c>
      <c r="CG16">
        <v>0.22739999999999999</v>
      </c>
      <c r="CH16">
        <v>0.2301</v>
      </c>
      <c r="CI16">
        <v>0.2329</v>
      </c>
      <c r="CJ16">
        <v>0.2356</v>
      </c>
      <c r="CK16">
        <v>0.2384</v>
      </c>
      <c r="CL16">
        <v>0.24110000000000001</v>
      </c>
      <c r="CM16">
        <v>0.24379999999999999</v>
      </c>
      <c r="CN16">
        <v>0.246575342</v>
      </c>
      <c r="CO16">
        <v>0.249315068</v>
      </c>
      <c r="CP16">
        <v>0.252054795</v>
      </c>
      <c r="CQ16">
        <v>0.254794521</v>
      </c>
      <c r="CR16">
        <v>0.25753424699999999</v>
      </c>
      <c r="CS16">
        <v>0.26027397299999999</v>
      </c>
      <c r="CT16">
        <v>0.26301369899999999</v>
      </c>
      <c r="CU16">
        <v>0.26575342499999999</v>
      </c>
      <c r="CV16">
        <v>0.26849315099999999</v>
      </c>
      <c r="CW16">
        <v>0.27123287699999998</v>
      </c>
    </row>
    <row r="17" spans="1:101" x14ac:dyDescent="0.25">
      <c r="A17" t="s">
        <v>62</v>
      </c>
      <c r="B17" t="s">
        <v>137</v>
      </c>
      <c r="C17" t="s">
        <v>137</v>
      </c>
      <c r="D17" t="s">
        <v>137</v>
      </c>
      <c r="E17" t="s">
        <v>137</v>
      </c>
      <c r="F17" t="s">
        <v>137</v>
      </c>
      <c r="G17" t="s">
        <v>137</v>
      </c>
      <c r="H17" t="s">
        <v>137</v>
      </c>
      <c r="I17" t="s">
        <v>137</v>
      </c>
      <c r="J17" t="s">
        <v>137</v>
      </c>
      <c r="K17" t="s">
        <v>137</v>
      </c>
      <c r="L17" t="s">
        <v>137</v>
      </c>
      <c r="M17" t="s">
        <v>137</v>
      </c>
      <c r="N17" t="s">
        <v>137</v>
      </c>
      <c r="O17" t="s">
        <v>137</v>
      </c>
      <c r="P17" t="s">
        <v>137</v>
      </c>
      <c r="Q17" t="s">
        <v>137</v>
      </c>
      <c r="R17" t="s">
        <v>137</v>
      </c>
      <c r="S17" t="s">
        <v>137</v>
      </c>
      <c r="T17" t="s">
        <v>137</v>
      </c>
      <c r="U17" t="s">
        <v>137</v>
      </c>
      <c r="V17" t="s">
        <v>137</v>
      </c>
      <c r="W17" t="s">
        <v>137</v>
      </c>
      <c r="X17" t="s">
        <v>137</v>
      </c>
      <c r="Y17" t="s">
        <v>137</v>
      </c>
      <c r="Z17" t="s">
        <v>137</v>
      </c>
      <c r="AA17" t="s">
        <v>137</v>
      </c>
      <c r="AB17" t="s">
        <v>137</v>
      </c>
      <c r="AC17" t="s">
        <v>137</v>
      </c>
      <c r="AD17" t="s">
        <v>137</v>
      </c>
      <c r="AE17" t="s">
        <v>137</v>
      </c>
      <c r="AF17" t="s">
        <v>137</v>
      </c>
      <c r="AG17" t="s">
        <v>137</v>
      </c>
      <c r="AH17" t="s">
        <v>137</v>
      </c>
      <c r="AI17" t="s">
        <v>137</v>
      </c>
      <c r="AJ17" t="s">
        <v>137</v>
      </c>
      <c r="AK17" t="s">
        <v>137</v>
      </c>
      <c r="AL17" t="s">
        <v>137</v>
      </c>
      <c r="AM17" t="s">
        <v>137</v>
      </c>
      <c r="AN17" t="s">
        <v>137</v>
      </c>
      <c r="AO17" t="s">
        <v>137</v>
      </c>
      <c r="AP17" t="s">
        <v>137</v>
      </c>
      <c r="AQ17" t="s">
        <v>137</v>
      </c>
      <c r="AR17" t="s">
        <v>137</v>
      </c>
      <c r="AS17" t="s">
        <v>137</v>
      </c>
      <c r="AT17" t="s">
        <v>137</v>
      </c>
      <c r="AU17" t="s">
        <v>137</v>
      </c>
      <c r="AV17" t="s">
        <v>137</v>
      </c>
      <c r="AW17" t="s">
        <v>137</v>
      </c>
      <c r="AX17" t="s">
        <v>137</v>
      </c>
      <c r="AY17" t="s">
        <v>137</v>
      </c>
      <c r="AZ17" t="s">
        <v>137</v>
      </c>
      <c r="BA17" t="s">
        <v>137</v>
      </c>
      <c r="BB17" t="s">
        <v>137</v>
      </c>
      <c r="BC17" t="s">
        <v>137</v>
      </c>
      <c r="BD17" t="s">
        <v>137</v>
      </c>
      <c r="BE17" t="s">
        <v>137</v>
      </c>
      <c r="BF17" t="s">
        <v>137</v>
      </c>
      <c r="BG17" t="s">
        <v>137</v>
      </c>
      <c r="BH17" t="s">
        <v>137</v>
      </c>
      <c r="BI17" t="s">
        <v>137</v>
      </c>
      <c r="BJ17" t="s">
        <v>137</v>
      </c>
      <c r="BK17" t="s">
        <v>137</v>
      </c>
      <c r="BL17" t="s">
        <v>137</v>
      </c>
      <c r="BM17" t="s">
        <v>137</v>
      </c>
      <c r="BN17" t="s">
        <v>137</v>
      </c>
      <c r="BO17" t="s">
        <v>137</v>
      </c>
      <c r="BP17" t="s">
        <v>137</v>
      </c>
      <c r="BQ17" t="s">
        <v>137</v>
      </c>
      <c r="BR17" t="s">
        <v>137</v>
      </c>
      <c r="BS17" t="s">
        <v>137</v>
      </c>
      <c r="BT17" t="s">
        <v>137</v>
      </c>
      <c r="BU17" t="s">
        <v>137</v>
      </c>
      <c r="BV17" t="s">
        <v>137</v>
      </c>
      <c r="BW17" t="s">
        <v>137</v>
      </c>
      <c r="BX17" t="s">
        <v>137</v>
      </c>
      <c r="BY17" t="s">
        <v>137</v>
      </c>
      <c r="BZ17" t="s">
        <v>137</v>
      </c>
      <c r="CA17" t="s">
        <v>137</v>
      </c>
      <c r="CB17" t="s">
        <v>137</v>
      </c>
      <c r="CC17" t="s">
        <v>137</v>
      </c>
      <c r="CD17" t="s">
        <v>137</v>
      </c>
      <c r="CE17" t="s">
        <v>137</v>
      </c>
      <c r="CF17" t="s">
        <v>137</v>
      </c>
      <c r="CG17" t="s">
        <v>137</v>
      </c>
      <c r="CH17" t="s">
        <v>137</v>
      </c>
      <c r="CI17" t="s">
        <v>137</v>
      </c>
      <c r="CJ17" t="s">
        <v>137</v>
      </c>
      <c r="CK17" t="s">
        <v>137</v>
      </c>
      <c r="CL17" t="s">
        <v>137</v>
      </c>
      <c r="CM17" t="s">
        <v>137</v>
      </c>
      <c r="CN17" t="s">
        <v>137</v>
      </c>
      <c r="CO17" t="s">
        <v>137</v>
      </c>
      <c r="CP17" t="s">
        <v>137</v>
      </c>
      <c r="CQ17" t="s">
        <v>137</v>
      </c>
      <c r="CR17" t="s">
        <v>137</v>
      </c>
      <c r="CS17" t="s">
        <v>137</v>
      </c>
      <c r="CT17" t="s">
        <v>137</v>
      </c>
      <c r="CU17" t="s">
        <v>137</v>
      </c>
      <c r="CV17" t="s">
        <v>137</v>
      </c>
      <c r="CW17" t="s">
        <v>137</v>
      </c>
    </row>
    <row r="18" spans="1:101" x14ac:dyDescent="0.25">
      <c r="A18" t="s">
        <v>63</v>
      </c>
      <c r="B18" t="s">
        <v>137</v>
      </c>
      <c r="C18" t="s">
        <v>137</v>
      </c>
      <c r="D18" t="s">
        <v>137</v>
      </c>
      <c r="E18" t="s">
        <v>137</v>
      </c>
      <c r="F18" t="s">
        <v>137</v>
      </c>
      <c r="G18" t="s">
        <v>137</v>
      </c>
      <c r="H18" t="s">
        <v>137</v>
      </c>
      <c r="I18" t="s">
        <v>137</v>
      </c>
      <c r="J18" t="s">
        <v>137</v>
      </c>
      <c r="K18" t="s">
        <v>137</v>
      </c>
      <c r="L18" t="s">
        <v>137</v>
      </c>
      <c r="M18" t="s">
        <v>137</v>
      </c>
      <c r="N18" t="s">
        <v>137</v>
      </c>
      <c r="O18" t="s">
        <v>137</v>
      </c>
      <c r="P18" t="s">
        <v>137</v>
      </c>
      <c r="Q18" t="s">
        <v>137</v>
      </c>
      <c r="R18" t="s">
        <v>137</v>
      </c>
      <c r="S18" t="s">
        <v>137</v>
      </c>
      <c r="T18" t="s">
        <v>137</v>
      </c>
      <c r="U18" t="s">
        <v>137</v>
      </c>
      <c r="V18" t="s">
        <v>137</v>
      </c>
      <c r="W18" t="s">
        <v>137</v>
      </c>
      <c r="X18" t="s">
        <v>137</v>
      </c>
      <c r="Y18" t="s">
        <v>137</v>
      </c>
      <c r="Z18" t="s">
        <v>137</v>
      </c>
      <c r="AA18" t="s">
        <v>137</v>
      </c>
      <c r="AB18" t="s">
        <v>137</v>
      </c>
      <c r="AC18" t="s">
        <v>137</v>
      </c>
      <c r="AD18" t="s">
        <v>137</v>
      </c>
      <c r="AE18" t="s">
        <v>137</v>
      </c>
      <c r="AF18" t="s">
        <v>137</v>
      </c>
      <c r="AG18" t="s">
        <v>137</v>
      </c>
      <c r="AH18" t="s">
        <v>137</v>
      </c>
      <c r="AI18" t="s">
        <v>137</v>
      </c>
      <c r="AJ18" t="s">
        <v>137</v>
      </c>
      <c r="AK18" t="s">
        <v>137</v>
      </c>
      <c r="AL18" t="s">
        <v>137</v>
      </c>
      <c r="AM18" t="s">
        <v>137</v>
      </c>
      <c r="AN18" t="s">
        <v>137</v>
      </c>
      <c r="AO18" t="s">
        <v>137</v>
      </c>
      <c r="AP18" t="s">
        <v>137</v>
      </c>
      <c r="AQ18" t="s">
        <v>137</v>
      </c>
      <c r="AR18" t="s">
        <v>137</v>
      </c>
      <c r="AS18" t="s">
        <v>137</v>
      </c>
      <c r="AT18" t="s">
        <v>137</v>
      </c>
      <c r="AU18" t="s">
        <v>137</v>
      </c>
      <c r="AV18" t="s">
        <v>137</v>
      </c>
      <c r="AW18" t="s">
        <v>137</v>
      </c>
      <c r="AX18" t="s">
        <v>137</v>
      </c>
      <c r="AY18" t="s">
        <v>137</v>
      </c>
      <c r="AZ18" t="s">
        <v>137</v>
      </c>
      <c r="BA18" t="s">
        <v>137</v>
      </c>
      <c r="BB18" t="s">
        <v>137</v>
      </c>
      <c r="BC18" t="s">
        <v>137</v>
      </c>
      <c r="BD18" t="s">
        <v>137</v>
      </c>
      <c r="BE18" t="s">
        <v>137</v>
      </c>
      <c r="BF18" t="s">
        <v>137</v>
      </c>
      <c r="BG18" t="s">
        <v>137</v>
      </c>
      <c r="BH18" t="s">
        <v>137</v>
      </c>
      <c r="BI18" t="s">
        <v>137</v>
      </c>
      <c r="BJ18" t="s">
        <v>137</v>
      </c>
      <c r="BK18" t="s">
        <v>137</v>
      </c>
      <c r="BL18" t="s">
        <v>137</v>
      </c>
      <c r="BM18" t="s">
        <v>137</v>
      </c>
      <c r="BN18" t="s">
        <v>137</v>
      </c>
      <c r="BO18" t="s">
        <v>137</v>
      </c>
      <c r="BP18" t="s">
        <v>137</v>
      </c>
      <c r="BQ18" t="s">
        <v>137</v>
      </c>
      <c r="BR18" t="s">
        <v>137</v>
      </c>
      <c r="BS18" t="s">
        <v>137</v>
      </c>
      <c r="BT18" t="s">
        <v>137</v>
      </c>
      <c r="BU18" t="s">
        <v>137</v>
      </c>
      <c r="BV18" t="s">
        <v>137</v>
      </c>
      <c r="BW18" t="s">
        <v>137</v>
      </c>
      <c r="BX18" t="s">
        <v>137</v>
      </c>
      <c r="BY18" t="s">
        <v>137</v>
      </c>
      <c r="BZ18" t="s">
        <v>137</v>
      </c>
      <c r="CA18" t="s">
        <v>137</v>
      </c>
      <c r="CB18" t="s">
        <v>137</v>
      </c>
      <c r="CC18" t="s">
        <v>137</v>
      </c>
      <c r="CD18" t="s">
        <v>137</v>
      </c>
      <c r="CE18" t="s">
        <v>137</v>
      </c>
      <c r="CF18" t="s">
        <v>137</v>
      </c>
      <c r="CG18" t="s">
        <v>137</v>
      </c>
      <c r="CH18" t="s">
        <v>137</v>
      </c>
      <c r="CI18" t="s">
        <v>137</v>
      </c>
      <c r="CJ18" t="s">
        <v>137</v>
      </c>
      <c r="CK18" t="s">
        <v>137</v>
      </c>
      <c r="CL18" t="s">
        <v>137</v>
      </c>
      <c r="CM18" t="s">
        <v>137</v>
      </c>
      <c r="CN18" t="s">
        <v>137</v>
      </c>
      <c r="CO18" t="s">
        <v>137</v>
      </c>
      <c r="CP18" t="s">
        <v>137</v>
      </c>
      <c r="CQ18" t="s">
        <v>137</v>
      </c>
      <c r="CR18" t="s">
        <v>137</v>
      </c>
      <c r="CS18" t="s">
        <v>137</v>
      </c>
      <c r="CT18" t="s">
        <v>137</v>
      </c>
      <c r="CU18" t="s">
        <v>137</v>
      </c>
      <c r="CV18" t="s">
        <v>137</v>
      </c>
      <c r="CW18" t="s">
        <v>137</v>
      </c>
    </row>
    <row r="19" spans="1:101" x14ac:dyDescent="0.25">
      <c r="A19" t="s">
        <v>64</v>
      </c>
      <c r="B19" t="s">
        <v>137</v>
      </c>
      <c r="C19" t="s">
        <v>137</v>
      </c>
      <c r="D19" t="s">
        <v>137</v>
      </c>
      <c r="E19" t="s">
        <v>137</v>
      </c>
      <c r="F19" t="s">
        <v>137</v>
      </c>
      <c r="G19" t="s">
        <v>137</v>
      </c>
      <c r="H19" t="s">
        <v>137</v>
      </c>
      <c r="I19" t="s">
        <v>137</v>
      </c>
      <c r="J19" t="s">
        <v>137</v>
      </c>
      <c r="K19" t="s">
        <v>137</v>
      </c>
      <c r="L19" t="s">
        <v>137</v>
      </c>
      <c r="M19" t="s">
        <v>137</v>
      </c>
      <c r="N19" t="s">
        <v>137</v>
      </c>
      <c r="O19" t="s">
        <v>137</v>
      </c>
      <c r="P19" t="s">
        <v>137</v>
      </c>
      <c r="Q19" t="s">
        <v>137</v>
      </c>
      <c r="R19" t="s">
        <v>137</v>
      </c>
      <c r="S19" t="s">
        <v>137</v>
      </c>
      <c r="T19" t="s">
        <v>137</v>
      </c>
      <c r="U19" t="s">
        <v>137</v>
      </c>
      <c r="V19" t="s">
        <v>137</v>
      </c>
      <c r="W19" t="s">
        <v>137</v>
      </c>
      <c r="X19" t="s">
        <v>137</v>
      </c>
      <c r="Y19" t="s">
        <v>137</v>
      </c>
      <c r="Z19" t="s">
        <v>137</v>
      </c>
      <c r="AA19" t="s">
        <v>137</v>
      </c>
      <c r="AB19" t="s">
        <v>137</v>
      </c>
      <c r="AC19" t="s">
        <v>137</v>
      </c>
      <c r="AD19" t="s">
        <v>137</v>
      </c>
      <c r="AE19" t="s">
        <v>137</v>
      </c>
      <c r="AF19" t="s">
        <v>137</v>
      </c>
      <c r="AG19" t="s">
        <v>137</v>
      </c>
      <c r="AH19" t="s">
        <v>137</v>
      </c>
      <c r="AI19" t="s">
        <v>137</v>
      </c>
      <c r="AJ19" t="s">
        <v>137</v>
      </c>
      <c r="AK19" t="s">
        <v>137</v>
      </c>
      <c r="AL19" t="s">
        <v>137</v>
      </c>
      <c r="AM19" t="s">
        <v>137</v>
      </c>
      <c r="AN19" t="s">
        <v>137</v>
      </c>
      <c r="AO19" t="s">
        <v>137</v>
      </c>
      <c r="AP19" t="s">
        <v>137</v>
      </c>
      <c r="AQ19" t="s">
        <v>137</v>
      </c>
      <c r="AR19" t="s">
        <v>137</v>
      </c>
      <c r="AS19" t="s">
        <v>137</v>
      </c>
      <c r="AT19" t="s">
        <v>137</v>
      </c>
      <c r="AU19" t="s">
        <v>137</v>
      </c>
      <c r="AV19" t="s">
        <v>137</v>
      </c>
      <c r="AW19" t="s">
        <v>137</v>
      </c>
      <c r="AX19" t="s">
        <v>137</v>
      </c>
      <c r="AY19" t="s">
        <v>137</v>
      </c>
      <c r="AZ19" t="s">
        <v>137</v>
      </c>
      <c r="BA19" t="s">
        <v>137</v>
      </c>
      <c r="BB19" t="s">
        <v>137</v>
      </c>
      <c r="BC19" t="s">
        <v>137</v>
      </c>
      <c r="BD19" t="s">
        <v>137</v>
      </c>
      <c r="BE19" t="s">
        <v>137</v>
      </c>
      <c r="BF19" t="s">
        <v>137</v>
      </c>
      <c r="BG19" t="s">
        <v>137</v>
      </c>
      <c r="BH19" t="s">
        <v>137</v>
      </c>
      <c r="BI19" t="s">
        <v>137</v>
      </c>
      <c r="BJ19" t="s">
        <v>137</v>
      </c>
      <c r="BK19" t="s">
        <v>137</v>
      </c>
      <c r="BL19" t="s">
        <v>137</v>
      </c>
      <c r="BM19" t="s">
        <v>137</v>
      </c>
      <c r="BN19" t="s">
        <v>137</v>
      </c>
      <c r="BO19" t="s">
        <v>137</v>
      </c>
      <c r="BP19" t="s">
        <v>137</v>
      </c>
      <c r="BQ19" t="s">
        <v>137</v>
      </c>
      <c r="BR19" t="s">
        <v>137</v>
      </c>
      <c r="BS19" t="s">
        <v>137</v>
      </c>
      <c r="BT19" t="s">
        <v>137</v>
      </c>
      <c r="BU19" t="s">
        <v>137</v>
      </c>
      <c r="BV19" t="s">
        <v>137</v>
      </c>
      <c r="BW19" t="s">
        <v>137</v>
      </c>
      <c r="BX19" t="s">
        <v>137</v>
      </c>
      <c r="BY19" t="s">
        <v>137</v>
      </c>
      <c r="BZ19" t="s">
        <v>137</v>
      </c>
      <c r="CA19" t="s">
        <v>137</v>
      </c>
      <c r="CB19" t="s">
        <v>137</v>
      </c>
      <c r="CC19" t="s">
        <v>137</v>
      </c>
      <c r="CD19" t="s">
        <v>137</v>
      </c>
      <c r="CE19" t="s">
        <v>137</v>
      </c>
      <c r="CF19" t="s">
        <v>137</v>
      </c>
      <c r="CG19" t="s">
        <v>137</v>
      </c>
      <c r="CH19" t="s">
        <v>137</v>
      </c>
      <c r="CI19" t="s">
        <v>137</v>
      </c>
      <c r="CJ19" t="s">
        <v>137</v>
      </c>
      <c r="CK19" t="s">
        <v>137</v>
      </c>
      <c r="CL19" t="s">
        <v>137</v>
      </c>
      <c r="CM19" t="s">
        <v>137</v>
      </c>
      <c r="CN19" t="s">
        <v>137</v>
      </c>
      <c r="CO19" t="s">
        <v>137</v>
      </c>
      <c r="CP19" t="s">
        <v>137</v>
      </c>
      <c r="CQ19" t="s">
        <v>137</v>
      </c>
      <c r="CR19" t="s">
        <v>137</v>
      </c>
      <c r="CS19" t="s">
        <v>137</v>
      </c>
      <c r="CT19" t="s">
        <v>137</v>
      </c>
      <c r="CU19" t="s">
        <v>137</v>
      </c>
      <c r="CV19" t="s">
        <v>137</v>
      </c>
      <c r="CW19" t="s">
        <v>137</v>
      </c>
    </row>
    <row r="20" spans="1:101" x14ac:dyDescent="0.25">
      <c r="A20" t="s">
        <v>65</v>
      </c>
      <c r="B20" t="s">
        <v>137</v>
      </c>
      <c r="C20" t="s">
        <v>137</v>
      </c>
      <c r="D20" t="s">
        <v>137</v>
      </c>
      <c r="E20" t="s">
        <v>137</v>
      </c>
      <c r="F20" t="s">
        <v>137</v>
      </c>
      <c r="G20" t="s">
        <v>137</v>
      </c>
      <c r="H20" t="s">
        <v>137</v>
      </c>
      <c r="I20" t="s">
        <v>137</v>
      </c>
      <c r="J20" t="s">
        <v>137</v>
      </c>
      <c r="K20" t="s">
        <v>137</v>
      </c>
      <c r="L20" t="s">
        <v>137</v>
      </c>
      <c r="M20" t="s">
        <v>137</v>
      </c>
      <c r="N20" t="s">
        <v>137</v>
      </c>
      <c r="O20" t="s">
        <v>137</v>
      </c>
      <c r="P20" t="s">
        <v>137</v>
      </c>
      <c r="Q20" t="s">
        <v>137</v>
      </c>
      <c r="R20" t="s">
        <v>137</v>
      </c>
      <c r="S20" t="s">
        <v>137</v>
      </c>
      <c r="T20" t="s">
        <v>137</v>
      </c>
      <c r="U20" t="s">
        <v>137</v>
      </c>
      <c r="V20" t="s">
        <v>137</v>
      </c>
      <c r="W20" t="s">
        <v>137</v>
      </c>
      <c r="X20" t="s">
        <v>137</v>
      </c>
      <c r="Y20" t="s">
        <v>137</v>
      </c>
      <c r="Z20" t="s">
        <v>137</v>
      </c>
      <c r="AA20" t="s">
        <v>137</v>
      </c>
      <c r="AB20" t="s">
        <v>137</v>
      </c>
      <c r="AC20" t="s">
        <v>137</v>
      </c>
      <c r="AD20" t="s">
        <v>137</v>
      </c>
      <c r="AE20" t="s">
        <v>137</v>
      </c>
      <c r="AF20" t="s">
        <v>137</v>
      </c>
      <c r="AG20" t="s">
        <v>137</v>
      </c>
      <c r="AH20" t="s">
        <v>137</v>
      </c>
      <c r="AI20" t="s">
        <v>137</v>
      </c>
      <c r="AJ20" t="s">
        <v>137</v>
      </c>
      <c r="AK20" t="s">
        <v>137</v>
      </c>
      <c r="AL20" t="s">
        <v>137</v>
      </c>
      <c r="AM20" t="s">
        <v>137</v>
      </c>
      <c r="AN20" t="s">
        <v>137</v>
      </c>
      <c r="AO20" t="s">
        <v>137</v>
      </c>
      <c r="AP20" t="s">
        <v>137</v>
      </c>
      <c r="AQ20" t="s">
        <v>137</v>
      </c>
      <c r="AR20" t="s">
        <v>137</v>
      </c>
      <c r="AS20" t="s">
        <v>137</v>
      </c>
      <c r="AT20" t="s">
        <v>137</v>
      </c>
      <c r="AU20" t="s">
        <v>137</v>
      </c>
      <c r="AV20" t="s">
        <v>137</v>
      </c>
      <c r="AW20" t="s">
        <v>137</v>
      </c>
      <c r="AX20" t="s">
        <v>137</v>
      </c>
      <c r="AY20" t="s">
        <v>137</v>
      </c>
      <c r="AZ20" t="s">
        <v>137</v>
      </c>
      <c r="BA20" t="s">
        <v>137</v>
      </c>
      <c r="BB20" t="s">
        <v>137</v>
      </c>
      <c r="BC20" t="s">
        <v>137</v>
      </c>
      <c r="BD20" t="s">
        <v>137</v>
      </c>
      <c r="BE20" t="s">
        <v>137</v>
      </c>
      <c r="BF20" t="s">
        <v>137</v>
      </c>
      <c r="BG20" t="s">
        <v>137</v>
      </c>
      <c r="BH20" t="s">
        <v>137</v>
      </c>
      <c r="BI20" t="s">
        <v>137</v>
      </c>
      <c r="BJ20" t="s">
        <v>137</v>
      </c>
      <c r="BK20" t="s">
        <v>137</v>
      </c>
      <c r="BL20" t="s">
        <v>137</v>
      </c>
      <c r="BM20" t="s">
        <v>137</v>
      </c>
      <c r="BN20" t="s">
        <v>137</v>
      </c>
      <c r="BO20" t="s">
        <v>137</v>
      </c>
      <c r="BP20" t="s">
        <v>137</v>
      </c>
      <c r="BQ20" t="s">
        <v>137</v>
      </c>
      <c r="BR20" t="s">
        <v>137</v>
      </c>
      <c r="BS20" t="s">
        <v>137</v>
      </c>
      <c r="BT20" t="s">
        <v>137</v>
      </c>
      <c r="BU20" t="s">
        <v>137</v>
      </c>
      <c r="BV20" t="s">
        <v>137</v>
      </c>
      <c r="BW20" t="s">
        <v>137</v>
      </c>
      <c r="BX20" t="s">
        <v>137</v>
      </c>
      <c r="BY20" t="s">
        <v>137</v>
      </c>
      <c r="BZ20" t="s">
        <v>137</v>
      </c>
      <c r="CA20" t="s">
        <v>137</v>
      </c>
      <c r="CB20" t="s">
        <v>137</v>
      </c>
      <c r="CC20" t="s">
        <v>137</v>
      </c>
      <c r="CD20" t="s">
        <v>137</v>
      </c>
      <c r="CE20" t="s">
        <v>137</v>
      </c>
      <c r="CF20" t="s">
        <v>137</v>
      </c>
      <c r="CG20" t="s">
        <v>137</v>
      </c>
      <c r="CH20" t="s">
        <v>137</v>
      </c>
      <c r="CI20" t="s">
        <v>137</v>
      </c>
      <c r="CJ20" t="s">
        <v>137</v>
      </c>
      <c r="CK20" t="s">
        <v>137</v>
      </c>
      <c r="CL20" t="s">
        <v>137</v>
      </c>
      <c r="CM20" t="s">
        <v>137</v>
      </c>
      <c r="CN20" t="s">
        <v>137</v>
      </c>
      <c r="CO20" t="s">
        <v>137</v>
      </c>
      <c r="CP20" t="s">
        <v>137</v>
      </c>
      <c r="CQ20" t="s">
        <v>137</v>
      </c>
      <c r="CR20" t="s">
        <v>137</v>
      </c>
      <c r="CS20" t="s">
        <v>137</v>
      </c>
      <c r="CT20" t="s">
        <v>137</v>
      </c>
      <c r="CU20" t="s">
        <v>137</v>
      </c>
      <c r="CV20" t="s">
        <v>137</v>
      </c>
      <c r="CW20" t="s">
        <v>137</v>
      </c>
    </row>
    <row r="21" spans="1:101" x14ac:dyDescent="0.25">
      <c r="A21" t="s">
        <v>66</v>
      </c>
      <c r="B21" t="s">
        <v>137</v>
      </c>
      <c r="C21" t="s">
        <v>137</v>
      </c>
      <c r="D21" t="s">
        <v>137</v>
      </c>
      <c r="E21" t="s">
        <v>137</v>
      </c>
      <c r="F21" t="s">
        <v>137</v>
      </c>
      <c r="G21" t="s">
        <v>137</v>
      </c>
      <c r="H21" t="s">
        <v>137</v>
      </c>
      <c r="I21" t="s">
        <v>137</v>
      </c>
      <c r="J21" t="s">
        <v>137</v>
      </c>
      <c r="K21" t="s">
        <v>137</v>
      </c>
      <c r="L21" t="s">
        <v>137</v>
      </c>
      <c r="M21" t="s">
        <v>137</v>
      </c>
      <c r="N21" t="s">
        <v>137</v>
      </c>
      <c r="O21" t="s">
        <v>137</v>
      </c>
      <c r="P21" t="s">
        <v>137</v>
      </c>
      <c r="Q21" t="s">
        <v>137</v>
      </c>
      <c r="R21" t="s">
        <v>137</v>
      </c>
      <c r="S21" t="s">
        <v>137</v>
      </c>
      <c r="T21" t="s">
        <v>137</v>
      </c>
      <c r="U21" t="s">
        <v>137</v>
      </c>
      <c r="V21" t="s">
        <v>137</v>
      </c>
      <c r="W21" t="s">
        <v>137</v>
      </c>
      <c r="X21" t="s">
        <v>137</v>
      </c>
      <c r="Y21" t="s">
        <v>137</v>
      </c>
      <c r="Z21" t="s">
        <v>137</v>
      </c>
      <c r="AA21" t="s">
        <v>137</v>
      </c>
      <c r="AB21" t="s">
        <v>137</v>
      </c>
      <c r="AC21" t="s">
        <v>137</v>
      </c>
      <c r="AD21" t="s">
        <v>137</v>
      </c>
      <c r="AE21" t="s">
        <v>137</v>
      </c>
      <c r="AF21" t="s">
        <v>137</v>
      </c>
      <c r="AG21" t="s">
        <v>137</v>
      </c>
      <c r="AH21" t="s">
        <v>137</v>
      </c>
      <c r="AI21" t="s">
        <v>137</v>
      </c>
      <c r="AJ21" t="s">
        <v>137</v>
      </c>
      <c r="AK21" t="s">
        <v>137</v>
      </c>
      <c r="AL21" t="s">
        <v>137</v>
      </c>
      <c r="AM21" t="s">
        <v>137</v>
      </c>
      <c r="AN21" t="s">
        <v>137</v>
      </c>
      <c r="AO21" t="s">
        <v>137</v>
      </c>
      <c r="AP21" t="s">
        <v>137</v>
      </c>
      <c r="AQ21" t="s">
        <v>137</v>
      </c>
      <c r="AR21" t="s">
        <v>137</v>
      </c>
      <c r="AS21" t="s">
        <v>137</v>
      </c>
      <c r="AT21" t="s">
        <v>137</v>
      </c>
      <c r="AU21" t="s">
        <v>137</v>
      </c>
      <c r="AV21" t="s">
        <v>137</v>
      </c>
      <c r="AW21" t="s">
        <v>137</v>
      </c>
      <c r="AX21" t="s">
        <v>137</v>
      </c>
      <c r="AY21" t="s">
        <v>137</v>
      </c>
      <c r="AZ21" t="s">
        <v>137</v>
      </c>
      <c r="BA21" t="s">
        <v>137</v>
      </c>
      <c r="BB21" t="s">
        <v>137</v>
      </c>
      <c r="BC21" t="s">
        <v>137</v>
      </c>
      <c r="BD21" t="s">
        <v>137</v>
      </c>
      <c r="BE21" t="s">
        <v>137</v>
      </c>
      <c r="BF21" t="s">
        <v>137</v>
      </c>
      <c r="BG21" t="s">
        <v>137</v>
      </c>
      <c r="BH21" t="s">
        <v>137</v>
      </c>
      <c r="BI21" t="s">
        <v>137</v>
      </c>
      <c r="BJ21" t="s">
        <v>137</v>
      </c>
      <c r="BK21" t="s">
        <v>137</v>
      </c>
      <c r="BL21" t="s">
        <v>137</v>
      </c>
      <c r="BM21" t="s">
        <v>137</v>
      </c>
      <c r="BN21" t="s">
        <v>137</v>
      </c>
      <c r="BO21" t="s">
        <v>137</v>
      </c>
      <c r="BP21" t="s">
        <v>137</v>
      </c>
      <c r="BQ21" t="s">
        <v>137</v>
      </c>
      <c r="BR21" t="s">
        <v>137</v>
      </c>
      <c r="BS21" t="s">
        <v>137</v>
      </c>
      <c r="BT21" t="s">
        <v>137</v>
      </c>
      <c r="BU21" t="s">
        <v>137</v>
      </c>
      <c r="BV21" t="s">
        <v>137</v>
      </c>
      <c r="BW21" t="s">
        <v>137</v>
      </c>
      <c r="BX21" t="s">
        <v>137</v>
      </c>
      <c r="BY21" t="s">
        <v>137</v>
      </c>
      <c r="BZ21" t="s">
        <v>137</v>
      </c>
      <c r="CA21" t="s">
        <v>137</v>
      </c>
      <c r="CB21" t="s">
        <v>137</v>
      </c>
      <c r="CC21" t="s">
        <v>137</v>
      </c>
      <c r="CD21" t="s">
        <v>137</v>
      </c>
      <c r="CE21" t="s">
        <v>137</v>
      </c>
      <c r="CF21" t="s">
        <v>137</v>
      </c>
      <c r="CG21" t="s">
        <v>137</v>
      </c>
      <c r="CH21" t="s">
        <v>137</v>
      </c>
      <c r="CI21" t="s">
        <v>137</v>
      </c>
      <c r="CJ21" t="s">
        <v>137</v>
      </c>
      <c r="CK21" t="s">
        <v>137</v>
      </c>
      <c r="CL21" t="s">
        <v>137</v>
      </c>
      <c r="CM21" t="s">
        <v>137</v>
      </c>
      <c r="CN21" t="s">
        <v>137</v>
      </c>
      <c r="CO21" t="s">
        <v>137</v>
      </c>
      <c r="CP21" t="s">
        <v>137</v>
      </c>
      <c r="CQ21" t="s">
        <v>137</v>
      </c>
      <c r="CR21" t="s">
        <v>137</v>
      </c>
      <c r="CS21" t="s">
        <v>137</v>
      </c>
      <c r="CT21" t="s">
        <v>137</v>
      </c>
      <c r="CU21" t="s">
        <v>137</v>
      </c>
      <c r="CV21" t="s">
        <v>137</v>
      </c>
      <c r="CW21" t="s">
        <v>137</v>
      </c>
    </row>
    <row r="22" spans="1:101" x14ac:dyDescent="0.25">
      <c r="A22" t="s">
        <v>67</v>
      </c>
      <c r="B22" t="s">
        <v>137</v>
      </c>
      <c r="C22" t="s">
        <v>137</v>
      </c>
      <c r="D22" t="s">
        <v>136</v>
      </c>
      <c r="E22" t="s">
        <v>136</v>
      </c>
      <c r="F22" t="s">
        <v>136</v>
      </c>
      <c r="G22" t="s">
        <v>136</v>
      </c>
      <c r="H22" t="s">
        <v>136</v>
      </c>
      <c r="I22" t="s">
        <v>136</v>
      </c>
      <c r="J22" t="s">
        <v>136</v>
      </c>
      <c r="K22" t="s">
        <v>136</v>
      </c>
      <c r="L22" t="s">
        <v>136</v>
      </c>
      <c r="M22" t="s">
        <v>136</v>
      </c>
      <c r="N22" t="s">
        <v>136</v>
      </c>
      <c r="O22" t="s">
        <v>136</v>
      </c>
      <c r="P22" t="s">
        <v>136</v>
      </c>
      <c r="Q22" t="s">
        <v>136</v>
      </c>
      <c r="R22" t="s">
        <v>136</v>
      </c>
      <c r="S22" t="s">
        <v>136</v>
      </c>
      <c r="T22" t="s">
        <v>136</v>
      </c>
      <c r="U22" t="s">
        <v>136</v>
      </c>
      <c r="V22" t="s">
        <v>136</v>
      </c>
      <c r="W22" t="s">
        <v>136</v>
      </c>
      <c r="X22" t="s">
        <v>136</v>
      </c>
      <c r="Y22" t="s">
        <v>136</v>
      </c>
      <c r="Z22" t="s">
        <v>136</v>
      </c>
      <c r="AA22" t="s">
        <v>136</v>
      </c>
      <c r="AB22" t="s">
        <v>136</v>
      </c>
      <c r="AC22" t="s">
        <v>136</v>
      </c>
      <c r="AD22" t="s">
        <v>136</v>
      </c>
      <c r="AE22" t="s">
        <v>136</v>
      </c>
      <c r="AF22" t="s">
        <v>136</v>
      </c>
      <c r="AG22" t="s">
        <v>136</v>
      </c>
      <c r="AH22" t="s">
        <v>136</v>
      </c>
      <c r="AI22" t="s">
        <v>136</v>
      </c>
      <c r="AJ22" t="s">
        <v>136</v>
      </c>
      <c r="AK22" t="s">
        <v>136</v>
      </c>
      <c r="AL22" t="s">
        <v>136</v>
      </c>
      <c r="AM22" t="s">
        <v>136</v>
      </c>
      <c r="AN22" t="s">
        <v>136</v>
      </c>
      <c r="AO22" t="s">
        <v>136</v>
      </c>
      <c r="AP22" t="s">
        <v>136</v>
      </c>
      <c r="AQ22" t="s">
        <v>136</v>
      </c>
      <c r="AR22" t="s">
        <v>136</v>
      </c>
      <c r="AS22" t="s">
        <v>136</v>
      </c>
      <c r="AT22" t="s">
        <v>136</v>
      </c>
      <c r="AU22" t="s">
        <v>136</v>
      </c>
      <c r="AV22" t="s">
        <v>136</v>
      </c>
      <c r="AW22" t="s">
        <v>136</v>
      </c>
      <c r="AX22" t="s">
        <v>136</v>
      </c>
      <c r="AY22" t="s">
        <v>136</v>
      </c>
      <c r="AZ22" t="s">
        <v>136</v>
      </c>
      <c r="BA22" t="s">
        <v>136</v>
      </c>
      <c r="BB22" t="s">
        <v>136</v>
      </c>
      <c r="BC22" t="s">
        <v>136</v>
      </c>
      <c r="BD22" t="s">
        <v>136</v>
      </c>
      <c r="BE22" t="s">
        <v>136</v>
      </c>
      <c r="BF22" t="s">
        <v>136</v>
      </c>
      <c r="BG22" t="s">
        <v>136</v>
      </c>
      <c r="BH22" t="s">
        <v>136</v>
      </c>
      <c r="BI22" t="s">
        <v>136</v>
      </c>
      <c r="BJ22" t="s">
        <v>136</v>
      </c>
      <c r="BK22" t="s">
        <v>136</v>
      </c>
      <c r="BL22" t="s">
        <v>136</v>
      </c>
      <c r="BM22" t="s">
        <v>136</v>
      </c>
      <c r="BN22" t="s">
        <v>136</v>
      </c>
      <c r="BO22" t="s">
        <v>136</v>
      </c>
      <c r="BP22" t="s">
        <v>136</v>
      </c>
      <c r="BQ22" t="s">
        <v>136</v>
      </c>
      <c r="BR22" t="s">
        <v>136</v>
      </c>
      <c r="BS22" t="s">
        <v>136</v>
      </c>
      <c r="BT22" t="s">
        <v>136</v>
      </c>
      <c r="BU22" t="s">
        <v>136</v>
      </c>
      <c r="BV22" t="s">
        <v>136</v>
      </c>
      <c r="BW22" t="s">
        <v>136</v>
      </c>
      <c r="BX22" t="s">
        <v>136</v>
      </c>
      <c r="BY22" t="s">
        <v>136</v>
      </c>
      <c r="BZ22" t="s">
        <v>136</v>
      </c>
      <c r="CA22" t="s">
        <v>136</v>
      </c>
      <c r="CB22" t="s">
        <v>136</v>
      </c>
      <c r="CC22" t="s">
        <v>136</v>
      </c>
      <c r="CD22" t="s">
        <v>136</v>
      </c>
      <c r="CE22" t="s">
        <v>136</v>
      </c>
      <c r="CF22" t="s">
        <v>136</v>
      </c>
      <c r="CG22" t="s">
        <v>136</v>
      </c>
      <c r="CH22" t="s">
        <v>136</v>
      </c>
      <c r="CI22" t="s">
        <v>136</v>
      </c>
      <c r="CJ22" t="s">
        <v>136</v>
      </c>
      <c r="CK22" t="s">
        <v>136</v>
      </c>
      <c r="CL22" t="s">
        <v>136</v>
      </c>
      <c r="CM22" t="s">
        <v>136</v>
      </c>
      <c r="CN22" t="s">
        <v>136</v>
      </c>
      <c r="CO22" t="s">
        <v>136</v>
      </c>
      <c r="CP22" t="s">
        <v>136</v>
      </c>
      <c r="CQ22" t="s">
        <v>136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</row>
    <row r="23" spans="1:101" x14ac:dyDescent="0.25">
      <c r="A23" t="s">
        <v>68</v>
      </c>
      <c r="B23" t="s">
        <v>137</v>
      </c>
      <c r="C23" t="s">
        <v>137</v>
      </c>
      <c r="D23" t="s">
        <v>137</v>
      </c>
      <c r="E23" t="s">
        <v>137</v>
      </c>
      <c r="F23" t="s">
        <v>137</v>
      </c>
      <c r="G23" t="s">
        <v>137</v>
      </c>
      <c r="H23" t="s">
        <v>137</v>
      </c>
      <c r="I23" t="s">
        <v>137</v>
      </c>
      <c r="J23" t="s">
        <v>137</v>
      </c>
      <c r="K23" t="s">
        <v>137</v>
      </c>
      <c r="L23" t="s">
        <v>137</v>
      </c>
      <c r="M23" t="s">
        <v>137</v>
      </c>
      <c r="N23" t="s">
        <v>137</v>
      </c>
      <c r="O23" t="s">
        <v>137</v>
      </c>
      <c r="P23" t="s">
        <v>137</v>
      </c>
      <c r="Q23" t="s">
        <v>137</v>
      </c>
      <c r="R23" t="s">
        <v>137</v>
      </c>
      <c r="S23" t="s">
        <v>137</v>
      </c>
      <c r="T23" t="s">
        <v>137</v>
      </c>
      <c r="U23" t="s">
        <v>137</v>
      </c>
      <c r="V23" t="s">
        <v>137</v>
      </c>
      <c r="W23" t="s">
        <v>137</v>
      </c>
      <c r="X23" t="s">
        <v>137</v>
      </c>
      <c r="Y23" t="s">
        <v>137</v>
      </c>
      <c r="Z23" t="s">
        <v>137</v>
      </c>
      <c r="AA23" t="s">
        <v>137</v>
      </c>
      <c r="AB23" t="s">
        <v>137</v>
      </c>
      <c r="AC23" t="s">
        <v>137</v>
      </c>
      <c r="AD23" t="s">
        <v>137</v>
      </c>
      <c r="AE23" t="s">
        <v>137</v>
      </c>
      <c r="AF23" t="s">
        <v>137</v>
      </c>
      <c r="AG23" t="s">
        <v>137</v>
      </c>
      <c r="AH23" t="s">
        <v>137</v>
      </c>
      <c r="AI23" t="s">
        <v>137</v>
      </c>
      <c r="AJ23" t="s">
        <v>137</v>
      </c>
      <c r="AK23" t="s">
        <v>137</v>
      </c>
      <c r="AL23" t="s">
        <v>137</v>
      </c>
      <c r="AM23" t="s">
        <v>137</v>
      </c>
      <c r="AN23" t="s">
        <v>137</v>
      </c>
      <c r="AO23" t="s">
        <v>137</v>
      </c>
      <c r="AP23" t="s">
        <v>137</v>
      </c>
      <c r="AQ23" t="s">
        <v>137</v>
      </c>
      <c r="AR23" t="s">
        <v>137</v>
      </c>
      <c r="AS23" t="s">
        <v>137</v>
      </c>
      <c r="AT23" t="s">
        <v>137</v>
      </c>
      <c r="AU23" t="s">
        <v>137</v>
      </c>
      <c r="AV23" t="s">
        <v>137</v>
      </c>
      <c r="AW23" t="s">
        <v>137</v>
      </c>
      <c r="AX23" t="s">
        <v>137</v>
      </c>
      <c r="AY23" t="s">
        <v>137</v>
      </c>
      <c r="AZ23" t="s">
        <v>137</v>
      </c>
      <c r="BA23" t="s">
        <v>137</v>
      </c>
      <c r="BB23" t="s">
        <v>137</v>
      </c>
      <c r="BC23" t="s">
        <v>137</v>
      </c>
      <c r="BD23" t="s">
        <v>137</v>
      </c>
      <c r="BE23" t="s">
        <v>137</v>
      </c>
      <c r="BF23" t="s">
        <v>137</v>
      </c>
      <c r="BG23" t="s">
        <v>137</v>
      </c>
      <c r="BH23" t="s">
        <v>137</v>
      </c>
      <c r="BI23" t="s">
        <v>137</v>
      </c>
      <c r="BJ23" t="s">
        <v>137</v>
      </c>
      <c r="BK23" t="s">
        <v>137</v>
      </c>
      <c r="BL23" t="s">
        <v>137</v>
      </c>
      <c r="BM23" t="s">
        <v>137</v>
      </c>
      <c r="BN23" t="s">
        <v>137</v>
      </c>
      <c r="BO23" t="s">
        <v>137</v>
      </c>
      <c r="BP23" t="s">
        <v>137</v>
      </c>
      <c r="BQ23" t="s">
        <v>137</v>
      </c>
      <c r="BR23" t="s">
        <v>137</v>
      </c>
      <c r="BS23" t="s">
        <v>137</v>
      </c>
      <c r="BT23" t="s">
        <v>137</v>
      </c>
      <c r="BU23" t="s">
        <v>137</v>
      </c>
      <c r="BV23" t="s">
        <v>137</v>
      </c>
      <c r="BW23" t="s">
        <v>137</v>
      </c>
      <c r="BX23" t="s">
        <v>137</v>
      </c>
      <c r="BY23" t="s">
        <v>137</v>
      </c>
      <c r="BZ23" t="s">
        <v>137</v>
      </c>
      <c r="CA23" t="s">
        <v>137</v>
      </c>
      <c r="CB23" t="s">
        <v>137</v>
      </c>
      <c r="CC23" t="s">
        <v>137</v>
      </c>
      <c r="CD23" t="s">
        <v>137</v>
      </c>
      <c r="CE23" t="s">
        <v>137</v>
      </c>
      <c r="CF23" t="s">
        <v>137</v>
      </c>
      <c r="CG23" t="s">
        <v>137</v>
      </c>
      <c r="CH23" t="s">
        <v>137</v>
      </c>
      <c r="CI23" t="s">
        <v>137</v>
      </c>
      <c r="CJ23" t="s">
        <v>137</v>
      </c>
      <c r="CK23" t="s">
        <v>137</v>
      </c>
      <c r="CL23" t="s">
        <v>137</v>
      </c>
      <c r="CM23" t="s">
        <v>137</v>
      </c>
      <c r="CN23" t="s">
        <v>137</v>
      </c>
      <c r="CO23" t="s">
        <v>137</v>
      </c>
      <c r="CP23" t="s">
        <v>137</v>
      </c>
      <c r="CQ23" t="s">
        <v>137</v>
      </c>
      <c r="CR23" t="s">
        <v>137</v>
      </c>
      <c r="CS23" t="s">
        <v>137</v>
      </c>
      <c r="CT23" t="s">
        <v>137</v>
      </c>
      <c r="CU23" t="s">
        <v>137</v>
      </c>
      <c r="CV23" t="s">
        <v>137</v>
      </c>
      <c r="CW23" t="s">
        <v>137</v>
      </c>
    </row>
    <row r="24" spans="1:101" x14ac:dyDescent="0.25">
      <c r="A24" t="s">
        <v>69</v>
      </c>
      <c r="B24" t="s">
        <v>137</v>
      </c>
      <c r="C24" t="s">
        <v>137</v>
      </c>
      <c r="D24" t="s">
        <v>137</v>
      </c>
      <c r="E24" t="s">
        <v>137</v>
      </c>
      <c r="F24" t="s">
        <v>137</v>
      </c>
      <c r="G24" t="s">
        <v>137</v>
      </c>
      <c r="H24" t="s">
        <v>137</v>
      </c>
      <c r="I24" t="s">
        <v>137</v>
      </c>
      <c r="J24" t="s">
        <v>137</v>
      </c>
      <c r="K24" t="s">
        <v>137</v>
      </c>
      <c r="L24" t="s">
        <v>137</v>
      </c>
      <c r="M24" t="s">
        <v>137</v>
      </c>
      <c r="N24" t="s">
        <v>137</v>
      </c>
      <c r="O24" t="s">
        <v>137</v>
      </c>
      <c r="P24" t="s">
        <v>137</v>
      </c>
      <c r="Q24" t="s">
        <v>137</v>
      </c>
      <c r="R24" t="s">
        <v>137</v>
      </c>
      <c r="S24" t="s">
        <v>137</v>
      </c>
      <c r="T24" t="s">
        <v>137</v>
      </c>
      <c r="U24" t="s">
        <v>137</v>
      </c>
      <c r="V24" t="s">
        <v>137</v>
      </c>
      <c r="W24" t="s">
        <v>137</v>
      </c>
      <c r="X24" t="s">
        <v>137</v>
      </c>
      <c r="Y24" t="s">
        <v>137</v>
      </c>
      <c r="Z24" t="s">
        <v>137</v>
      </c>
      <c r="AA24" t="s">
        <v>137</v>
      </c>
      <c r="AB24" t="s">
        <v>137</v>
      </c>
      <c r="AC24" t="s">
        <v>137</v>
      </c>
      <c r="AD24" t="s">
        <v>137</v>
      </c>
      <c r="AE24" t="s">
        <v>137</v>
      </c>
      <c r="AF24" t="s">
        <v>137</v>
      </c>
      <c r="AG24" t="s">
        <v>137</v>
      </c>
      <c r="AH24" t="s">
        <v>137</v>
      </c>
      <c r="AI24" t="s">
        <v>137</v>
      </c>
      <c r="AJ24" t="s">
        <v>137</v>
      </c>
      <c r="AK24" t="s">
        <v>137</v>
      </c>
      <c r="AL24" t="s">
        <v>137</v>
      </c>
      <c r="AM24" t="s">
        <v>137</v>
      </c>
      <c r="AN24" t="s">
        <v>137</v>
      </c>
      <c r="AO24" t="s">
        <v>137</v>
      </c>
      <c r="AP24" t="s">
        <v>137</v>
      </c>
      <c r="AQ24" t="s">
        <v>137</v>
      </c>
      <c r="AR24" t="s">
        <v>137</v>
      </c>
      <c r="AS24" t="s">
        <v>137</v>
      </c>
      <c r="AT24" t="s">
        <v>137</v>
      </c>
      <c r="AU24" t="s">
        <v>137</v>
      </c>
      <c r="AV24" t="s">
        <v>137</v>
      </c>
      <c r="AW24" t="s">
        <v>137</v>
      </c>
      <c r="AX24" t="s">
        <v>137</v>
      </c>
      <c r="AY24" t="s">
        <v>137</v>
      </c>
      <c r="AZ24" t="s">
        <v>137</v>
      </c>
      <c r="BA24" t="s">
        <v>137</v>
      </c>
      <c r="BB24" t="s">
        <v>137</v>
      </c>
      <c r="BC24" t="s">
        <v>137</v>
      </c>
      <c r="BD24" t="s">
        <v>137</v>
      </c>
      <c r="BE24" t="s">
        <v>137</v>
      </c>
      <c r="BF24" t="s">
        <v>137</v>
      </c>
      <c r="BG24" t="s">
        <v>137</v>
      </c>
      <c r="BH24" t="s">
        <v>137</v>
      </c>
      <c r="BI24" t="s">
        <v>137</v>
      </c>
      <c r="BJ24" t="s">
        <v>138</v>
      </c>
      <c r="BK24" t="s">
        <v>138</v>
      </c>
      <c r="BL24" t="s">
        <v>138</v>
      </c>
      <c r="BM24" t="s">
        <v>138</v>
      </c>
      <c r="BN24" t="s">
        <v>138</v>
      </c>
      <c r="BO24" t="s">
        <v>138</v>
      </c>
      <c r="BP24" t="s">
        <v>138</v>
      </c>
      <c r="BQ24" t="s">
        <v>138</v>
      </c>
      <c r="BR24" t="s">
        <v>138</v>
      </c>
      <c r="BS24" t="s">
        <v>138</v>
      </c>
      <c r="BT24" t="s">
        <v>138</v>
      </c>
      <c r="BU24" t="s">
        <v>138</v>
      </c>
      <c r="BV24" t="s">
        <v>138</v>
      </c>
      <c r="BW24" t="s">
        <v>138</v>
      </c>
      <c r="BX24" t="s">
        <v>138</v>
      </c>
      <c r="BY24" t="s">
        <v>138</v>
      </c>
      <c r="BZ24" t="s">
        <v>138</v>
      </c>
      <c r="CA24" t="s">
        <v>138</v>
      </c>
      <c r="CB24" t="s">
        <v>138</v>
      </c>
      <c r="CC24" t="s">
        <v>138</v>
      </c>
      <c r="CD24" t="s">
        <v>138</v>
      </c>
      <c r="CE24" t="s">
        <v>138</v>
      </c>
      <c r="CF24" t="s">
        <v>138</v>
      </c>
      <c r="CG24" t="s">
        <v>138</v>
      </c>
      <c r="CH24" t="s">
        <v>138</v>
      </c>
      <c r="CI24" t="s">
        <v>138</v>
      </c>
      <c r="CJ24" t="s">
        <v>138</v>
      </c>
      <c r="CK24" t="s">
        <v>138</v>
      </c>
      <c r="CL24" t="s">
        <v>138</v>
      </c>
      <c r="CM24" t="s">
        <v>138</v>
      </c>
      <c r="CN24" t="s">
        <v>138</v>
      </c>
      <c r="CO24" t="s">
        <v>138</v>
      </c>
      <c r="CP24" t="s">
        <v>138</v>
      </c>
      <c r="CQ24" t="s">
        <v>138</v>
      </c>
      <c r="CR24" t="s">
        <v>138</v>
      </c>
      <c r="CS24" t="s">
        <v>138</v>
      </c>
      <c r="CT24" t="s">
        <v>138</v>
      </c>
      <c r="CU24" t="s">
        <v>138</v>
      </c>
      <c r="CV24" t="s">
        <v>138</v>
      </c>
      <c r="CW24" t="s">
        <v>138</v>
      </c>
    </row>
    <row r="25" spans="1:101" x14ac:dyDescent="0.25">
      <c r="A25" t="s">
        <v>70</v>
      </c>
      <c r="B25" t="s">
        <v>137</v>
      </c>
      <c r="C25" t="s">
        <v>137</v>
      </c>
      <c r="D25" t="s">
        <v>137</v>
      </c>
      <c r="E25" t="s">
        <v>137</v>
      </c>
      <c r="F25" t="s">
        <v>137</v>
      </c>
      <c r="G25" t="s">
        <v>137</v>
      </c>
      <c r="H25" t="s">
        <v>137</v>
      </c>
      <c r="I25" t="s">
        <v>137</v>
      </c>
      <c r="J25" t="s">
        <v>137</v>
      </c>
      <c r="K25" t="s">
        <v>137</v>
      </c>
      <c r="L25" t="s">
        <v>137</v>
      </c>
      <c r="M25" t="s">
        <v>137</v>
      </c>
      <c r="N25" t="s">
        <v>137</v>
      </c>
      <c r="O25" t="s">
        <v>137</v>
      </c>
      <c r="P25" t="s">
        <v>137</v>
      </c>
      <c r="Q25" t="s">
        <v>137</v>
      </c>
      <c r="R25" t="s">
        <v>137</v>
      </c>
      <c r="S25" t="s">
        <v>137</v>
      </c>
      <c r="T25" t="s">
        <v>137</v>
      </c>
      <c r="U25" t="s">
        <v>137</v>
      </c>
      <c r="V25" t="s">
        <v>137</v>
      </c>
      <c r="W25" t="s">
        <v>137</v>
      </c>
      <c r="X25" t="s">
        <v>137</v>
      </c>
      <c r="Y25" t="s">
        <v>137</v>
      </c>
      <c r="Z25" t="s">
        <v>137</v>
      </c>
      <c r="AA25" t="s">
        <v>137</v>
      </c>
      <c r="AB25" t="s">
        <v>137</v>
      </c>
      <c r="AC25" t="s">
        <v>137</v>
      </c>
      <c r="AD25" t="s">
        <v>137</v>
      </c>
      <c r="AE25" t="s">
        <v>137</v>
      </c>
      <c r="AF25" t="s">
        <v>137</v>
      </c>
      <c r="AG25" t="s">
        <v>137</v>
      </c>
      <c r="AH25" t="s">
        <v>137</v>
      </c>
      <c r="AI25" t="s">
        <v>137</v>
      </c>
      <c r="AJ25" t="s">
        <v>137</v>
      </c>
      <c r="AK25" t="s">
        <v>137</v>
      </c>
      <c r="AL25" t="s">
        <v>137</v>
      </c>
      <c r="AM25" t="s">
        <v>137</v>
      </c>
      <c r="AN25" t="s">
        <v>137</v>
      </c>
      <c r="AO25" t="s">
        <v>137</v>
      </c>
      <c r="AP25" t="s">
        <v>137</v>
      </c>
      <c r="AQ25" t="s">
        <v>137</v>
      </c>
      <c r="AR25" t="s">
        <v>137</v>
      </c>
      <c r="AS25" t="s">
        <v>137</v>
      </c>
      <c r="AT25" t="s">
        <v>137</v>
      </c>
      <c r="AU25" t="s">
        <v>137</v>
      </c>
      <c r="AV25" t="s">
        <v>137</v>
      </c>
      <c r="AW25" t="s">
        <v>137</v>
      </c>
      <c r="AX25" t="s">
        <v>137</v>
      </c>
      <c r="AY25" t="s">
        <v>137</v>
      </c>
      <c r="AZ25" t="s">
        <v>137</v>
      </c>
      <c r="BA25" t="s">
        <v>137</v>
      </c>
      <c r="BB25" t="s">
        <v>137</v>
      </c>
      <c r="BC25" t="s">
        <v>137</v>
      </c>
      <c r="BD25" t="s">
        <v>137</v>
      </c>
      <c r="BE25" t="s">
        <v>137</v>
      </c>
      <c r="BF25" t="s">
        <v>137</v>
      </c>
      <c r="BG25" t="s">
        <v>137</v>
      </c>
      <c r="BH25" t="s">
        <v>137</v>
      </c>
      <c r="BI25" t="s">
        <v>137</v>
      </c>
      <c r="BJ25" t="s">
        <v>137</v>
      </c>
      <c r="BK25" t="s">
        <v>137</v>
      </c>
      <c r="BL25" t="s">
        <v>138</v>
      </c>
      <c r="BM25" t="s">
        <v>138</v>
      </c>
      <c r="BN25" t="s">
        <v>138</v>
      </c>
      <c r="BO25" t="s">
        <v>138</v>
      </c>
      <c r="BP25" t="s">
        <v>138</v>
      </c>
      <c r="BQ25" t="s">
        <v>138</v>
      </c>
      <c r="BR25" t="s">
        <v>138</v>
      </c>
      <c r="BS25" t="s">
        <v>138</v>
      </c>
      <c r="BT25" t="s">
        <v>138</v>
      </c>
      <c r="BU25" t="s">
        <v>138</v>
      </c>
      <c r="BV25" t="s">
        <v>138</v>
      </c>
      <c r="BW25" t="s">
        <v>138</v>
      </c>
      <c r="BX25" t="s">
        <v>138</v>
      </c>
      <c r="BY25" t="s">
        <v>138</v>
      </c>
      <c r="BZ25" t="s">
        <v>138</v>
      </c>
      <c r="CA25" t="s">
        <v>138</v>
      </c>
      <c r="CB25" t="s">
        <v>138</v>
      </c>
      <c r="CC25" t="s">
        <v>138</v>
      </c>
      <c r="CD25" t="s">
        <v>138</v>
      </c>
      <c r="CE25" t="s">
        <v>138</v>
      </c>
      <c r="CF25" t="s">
        <v>138</v>
      </c>
      <c r="CG25" t="s">
        <v>138</v>
      </c>
      <c r="CH25" t="s">
        <v>138</v>
      </c>
      <c r="CI25" t="s">
        <v>138</v>
      </c>
      <c r="CJ25" t="s">
        <v>138</v>
      </c>
      <c r="CK25" t="s">
        <v>138</v>
      </c>
      <c r="CL25" t="s">
        <v>138</v>
      </c>
      <c r="CM25" t="s">
        <v>138</v>
      </c>
      <c r="CN25" t="s">
        <v>138</v>
      </c>
      <c r="CO25" t="s">
        <v>138</v>
      </c>
      <c r="CP25" t="s">
        <v>138</v>
      </c>
      <c r="CQ25" t="s">
        <v>138</v>
      </c>
      <c r="CR25" t="s">
        <v>138</v>
      </c>
      <c r="CS25" t="s">
        <v>138</v>
      </c>
      <c r="CT25" t="s">
        <v>138</v>
      </c>
      <c r="CU25" t="s">
        <v>138</v>
      </c>
      <c r="CV25" t="s">
        <v>138</v>
      </c>
      <c r="CW25" t="s">
        <v>138</v>
      </c>
    </row>
    <row r="26" spans="1:101" x14ac:dyDescent="0.25">
      <c r="A26" t="s">
        <v>72</v>
      </c>
      <c r="B26" t="s">
        <v>137</v>
      </c>
      <c r="C26" t="s">
        <v>137</v>
      </c>
      <c r="D26" t="s">
        <v>137</v>
      </c>
      <c r="E26" t="s">
        <v>137</v>
      </c>
      <c r="F26" t="s">
        <v>137</v>
      </c>
      <c r="G26" t="s">
        <v>137</v>
      </c>
      <c r="H26" t="s">
        <v>137</v>
      </c>
      <c r="I26" t="s">
        <v>137</v>
      </c>
      <c r="J26" t="s">
        <v>137</v>
      </c>
      <c r="K26" t="s">
        <v>137</v>
      </c>
      <c r="L26" t="s">
        <v>137</v>
      </c>
      <c r="M26" t="s">
        <v>137</v>
      </c>
      <c r="N26" t="s">
        <v>137</v>
      </c>
      <c r="O26" t="s">
        <v>137</v>
      </c>
      <c r="P26" t="s">
        <v>137</v>
      </c>
      <c r="Q26" t="s">
        <v>137</v>
      </c>
      <c r="R26" t="s">
        <v>137</v>
      </c>
      <c r="S26" t="s">
        <v>137</v>
      </c>
      <c r="T26" t="s">
        <v>137</v>
      </c>
      <c r="U26" t="s">
        <v>137</v>
      </c>
      <c r="V26" t="s">
        <v>137</v>
      </c>
      <c r="W26" t="s">
        <v>137</v>
      </c>
      <c r="X26" t="s">
        <v>137</v>
      </c>
      <c r="Y26" t="s">
        <v>137</v>
      </c>
      <c r="Z26" t="s">
        <v>137</v>
      </c>
      <c r="AA26" t="s">
        <v>137</v>
      </c>
      <c r="AB26" t="s">
        <v>137</v>
      </c>
      <c r="AC26" t="s">
        <v>137</v>
      </c>
      <c r="AD26" t="s">
        <v>137</v>
      </c>
      <c r="AE26" t="s">
        <v>137</v>
      </c>
      <c r="AF26" t="s">
        <v>137</v>
      </c>
      <c r="AG26" t="s">
        <v>137</v>
      </c>
      <c r="AH26" t="s">
        <v>137</v>
      </c>
      <c r="AI26" t="s">
        <v>137</v>
      </c>
      <c r="AJ26" t="s">
        <v>137</v>
      </c>
      <c r="AK26" t="s">
        <v>137</v>
      </c>
      <c r="AL26" t="s">
        <v>137</v>
      </c>
      <c r="AM26" t="s">
        <v>137</v>
      </c>
      <c r="AN26" t="s">
        <v>137</v>
      </c>
      <c r="AO26" t="s">
        <v>137</v>
      </c>
      <c r="AP26" t="s">
        <v>137</v>
      </c>
      <c r="AQ26" t="s">
        <v>137</v>
      </c>
      <c r="AR26" t="s">
        <v>137</v>
      </c>
      <c r="AS26" t="s">
        <v>137</v>
      </c>
      <c r="AT26" t="s">
        <v>137</v>
      </c>
      <c r="AU26" t="s">
        <v>137</v>
      </c>
      <c r="AV26" t="s">
        <v>137</v>
      </c>
      <c r="AW26" t="s">
        <v>137</v>
      </c>
      <c r="AX26" t="s">
        <v>137</v>
      </c>
      <c r="AY26" t="s">
        <v>137</v>
      </c>
      <c r="AZ26" t="s">
        <v>137</v>
      </c>
      <c r="BA26" t="s">
        <v>137</v>
      </c>
      <c r="BB26" t="s">
        <v>137</v>
      </c>
      <c r="BC26" t="s">
        <v>137</v>
      </c>
      <c r="BD26" t="s">
        <v>137</v>
      </c>
      <c r="BE26" t="s">
        <v>137</v>
      </c>
      <c r="BF26" t="s">
        <v>137</v>
      </c>
      <c r="BG26" t="s">
        <v>137</v>
      </c>
      <c r="BH26" t="s">
        <v>137</v>
      </c>
      <c r="BI26" t="s">
        <v>137</v>
      </c>
      <c r="BJ26" t="s">
        <v>137</v>
      </c>
      <c r="BK26" t="s">
        <v>137</v>
      </c>
      <c r="BL26" t="s">
        <v>137</v>
      </c>
      <c r="BM26" t="s">
        <v>137</v>
      </c>
      <c r="BN26" t="s">
        <v>137</v>
      </c>
      <c r="BO26" t="s">
        <v>137</v>
      </c>
      <c r="BP26" t="s">
        <v>137</v>
      </c>
      <c r="BQ26" t="s">
        <v>137</v>
      </c>
      <c r="BR26" t="s">
        <v>137</v>
      </c>
      <c r="BS26" t="s">
        <v>137</v>
      </c>
      <c r="BT26" t="s">
        <v>137</v>
      </c>
      <c r="BU26" t="s">
        <v>137</v>
      </c>
      <c r="BV26" t="s">
        <v>137</v>
      </c>
      <c r="BW26" t="s">
        <v>137</v>
      </c>
      <c r="BX26" t="s">
        <v>137</v>
      </c>
      <c r="BY26" t="s">
        <v>137</v>
      </c>
      <c r="BZ26" t="s">
        <v>137</v>
      </c>
      <c r="CA26" t="s">
        <v>137</v>
      </c>
      <c r="CB26" t="s">
        <v>137</v>
      </c>
      <c r="CC26" t="s">
        <v>137</v>
      </c>
      <c r="CD26" t="s">
        <v>137</v>
      </c>
      <c r="CE26" t="s">
        <v>137</v>
      </c>
      <c r="CF26" t="s">
        <v>137</v>
      </c>
      <c r="CG26" t="s">
        <v>137</v>
      </c>
      <c r="CH26" t="s">
        <v>137</v>
      </c>
      <c r="CI26" t="s">
        <v>137</v>
      </c>
      <c r="CJ26" t="s">
        <v>137</v>
      </c>
      <c r="CK26" t="s">
        <v>137</v>
      </c>
      <c r="CL26" t="s">
        <v>137</v>
      </c>
      <c r="CM26" t="s">
        <v>137</v>
      </c>
      <c r="CN26" t="s">
        <v>137</v>
      </c>
      <c r="CO26" t="s">
        <v>137</v>
      </c>
      <c r="CP26" t="s">
        <v>137</v>
      </c>
      <c r="CQ26" t="s">
        <v>137</v>
      </c>
      <c r="CR26" t="s">
        <v>137</v>
      </c>
      <c r="CS26" t="s">
        <v>137</v>
      </c>
      <c r="CT26" t="s">
        <v>137</v>
      </c>
      <c r="CU26" t="s">
        <v>137</v>
      </c>
      <c r="CV26" t="s">
        <v>137</v>
      </c>
      <c r="CW26" t="s">
        <v>137</v>
      </c>
    </row>
    <row r="27" spans="1:101" x14ac:dyDescent="0.25">
      <c r="A27" t="s">
        <v>73</v>
      </c>
      <c r="B27" t="s">
        <v>137</v>
      </c>
      <c r="C27" t="s">
        <v>137</v>
      </c>
      <c r="D27" t="s">
        <v>137</v>
      </c>
      <c r="E27" t="s">
        <v>137</v>
      </c>
      <c r="F27" t="s">
        <v>137</v>
      </c>
      <c r="G27" t="s">
        <v>137</v>
      </c>
      <c r="H27" t="s">
        <v>137</v>
      </c>
      <c r="I27" t="s">
        <v>137</v>
      </c>
      <c r="J27" t="s">
        <v>137</v>
      </c>
      <c r="K27" t="s">
        <v>137</v>
      </c>
      <c r="L27" t="s">
        <v>137</v>
      </c>
      <c r="M27" t="s">
        <v>137</v>
      </c>
      <c r="N27" t="s">
        <v>137</v>
      </c>
      <c r="O27" t="s">
        <v>137</v>
      </c>
      <c r="P27" t="s">
        <v>137</v>
      </c>
      <c r="Q27" t="s">
        <v>137</v>
      </c>
      <c r="R27" t="s">
        <v>137</v>
      </c>
      <c r="S27" t="s">
        <v>137</v>
      </c>
      <c r="T27" t="s">
        <v>137</v>
      </c>
      <c r="U27" t="s">
        <v>137</v>
      </c>
      <c r="V27" t="s">
        <v>137</v>
      </c>
      <c r="W27" t="s">
        <v>137</v>
      </c>
      <c r="X27" t="s">
        <v>137</v>
      </c>
      <c r="Y27" t="s">
        <v>137</v>
      </c>
      <c r="Z27" t="s">
        <v>137</v>
      </c>
      <c r="AA27" t="s">
        <v>137</v>
      </c>
      <c r="AB27" t="s">
        <v>137</v>
      </c>
      <c r="AC27" t="s">
        <v>137</v>
      </c>
      <c r="AD27" t="s">
        <v>137</v>
      </c>
      <c r="AE27" t="s">
        <v>137</v>
      </c>
      <c r="AF27" t="s">
        <v>137</v>
      </c>
      <c r="AG27" t="s">
        <v>137</v>
      </c>
      <c r="AH27" t="s">
        <v>137</v>
      </c>
      <c r="AI27" t="s">
        <v>137</v>
      </c>
      <c r="AJ27" t="s">
        <v>137</v>
      </c>
      <c r="AK27" t="s">
        <v>137</v>
      </c>
      <c r="AL27" t="s">
        <v>137</v>
      </c>
      <c r="AM27" t="s">
        <v>137</v>
      </c>
      <c r="AN27" t="s">
        <v>137</v>
      </c>
      <c r="AO27" t="s">
        <v>137</v>
      </c>
      <c r="AP27" t="s">
        <v>137</v>
      </c>
      <c r="AQ27" t="s">
        <v>137</v>
      </c>
      <c r="AR27" t="s">
        <v>137</v>
      </c>
      <c r="AS27" t="s">
        <v>137</v>
      </c>
      <c r="AT27" t="s">
        <v>137</v>
      </c>
      <c r="AU27" t="s">
        <v>137</v>
      </c>
      <c r="AV27" t="s">
        <v>137</v>
      </c>
      <c r="AW27" t="s">
        <v>137</v>
      </c>
      <c r="AX27" t="s">
        <v>137</v>
      </c>
      <c r="AY27" t="s">
        <v>137</v>
      </c>
      <c r="AZ27" t="s">
        <v>137</v>
      </c>
      <c r="BA27" t="s">
        <v>137</v>
      </c>
      <c r="BB27" t="s">
        <v>137</v>
      </c>
      <c r="BC27" t="s">
        <v>138</v>
      </c>
      <c r="BD27" t="s">
        <v>138</v>
      </c>
      <c r="BE27" t="s">
        <v>138</v>
      </c>
      <c r="BF27" t="s">
        <v>138</v>
      </c>
      <c r="BG27" t="s">
        <v>138</v>
      </c>
      <c r="BH27" t="s">
        <v>138</v>
      </c>
      <c r="BI27" t="s">
        <v>138</v>
      </c>
      <c r="BJ27" t="s">
        <v>138</v>
      </c>
      <c r="BK27" t="s">
        <v>138</v>
      </c>
      <c r="BL27" t="s">
        <v>138</v>
      </c>
      <c r="BM27" t="s">
        <v>138</v>
      </c>
      <c r="BN27" t="s">
        <v>138</v>
      </c>
      <c r="BO27" t="s">
        <v>138</v>
      </c>
      <c r="BP27" t="s">
        <v>138</v>
      </c>
      <c r="BQ27" t="s">
        <v>138</v>
      </c>
      <c r="BR27" t="s">
        <v>138</v>
      </c>
      <c r="BS27" t="s">
        <v>138</v>
      </c>
      <c r="BT27" t="s">
        <v>138</v>
      </c>
      <c r="BU27" t="s">
        <v>138</v>
      </c>
      <c r="BV27" t="s">
        <v>138</v>
      </c>
      <c r="BW27" t="s">
        <v>138</v>
      </c>
      <c r="BX27" t="s">
        <v>138</v>
      </c>
      <c r="BY27" t="s">
        <v>138</v>
      </c>
      <c r="BZ27" t="s">
        <v>138</v>
      </c>
      <c r="CA27" t="s">
        <v>138</v>
      </c>
      <c r="CB27" t="s">
        <v>138</v>
      </c>
      <c r="CC27" t="s">
        <v>138</v>
      </c>
      <c r="CD27" t="s">
        <v>138</v>
      </c>
      <c r="CE27" t="s">
        <v>138</v>
      </c>
      <c r="CF27" t="s">
        <v>138</v>
      </c>
      <c r="CG27" t="s">
        <v>138</v>
      </c>
      <c r="CH27" t="s">
        <v>138</v>
      </c>
      <c r="CI27" t="s">
        <v>138</v>
      </c>
      <c r="CJ27" t="s">
        <v>138</v>
      </c>
      <c r="CK27" t="s">
        <v>138</v>
      </c>
      <c r="CL27" t="s">
        <v>138</v>
      </c>
      <c r="CM27" t="s">
        <v>138</v>
      </c>
      <c r="CN27" t="s">
        <v>138</v>
      </c>
      <c r="CO27" t="s">
        <v>138</v>
      </c>
      <c r="CP27" t="s">
        <v>138</v>
      </c>
      <c r="CQ27" t="s">
        <v>138</v>
      </c>
      <c r="CR27" t="s">
        <v>138</v>
      </c>
      <c r="CS27" t="s">
        <v>138</v>
      </c>
      <c r="CT27" t="s">
        <v>138</v>
      </c>
      <c r="CU27" t="s">
        <v>138</v>
      </c>
      <c r="CV27" t="s">
        <v>138</v>
      </c>
      <c r="CW27" t="s">
        <v>138</v>
      </c>
    </row>
    <row r="28" spans="1:101" x14ac:dyDescent="0.25">
      <c r="A28" t="s">
        <v>74</v>
      </c>
      <c r="B28" t="s">
        <v>137</v>
      </c>
      <c r="C28" t="s">
        <v>137</v>
      </c>
      <c r="D28" t="s">
        <v>137</v>
      </c>
      <c r="E28" t="s">
        <v>137</v>
      </c>
      <c r="F28" t="s">
        <v>137</v>
      </c>
      <c r="G28" t="s">
        <v>137</v>
      </c>
      <c r="H28" t="s">
        <v>137</v>
      </c>
      <c r="I28" t="s">
        <v>137</v>
      </c>
      <c r="J28" t="s">
        <v>137</v>
      </c>
      <c r="K28" t="s">
        <v>137</v>
      </c>
      <c r="L28" t="s">
        <v>137</v>
      </c>
      <c r="M28" t="s">
        <v>137</v>
      </c>
      <c r="N28" t="s">
        <v>137</v>
      </c>
      <c r="O28" t="s">
        <v>137</v>
      </c>
      <c r="P28" t="s">
        <v>137</v>
      </c>
      <c r="Q28" t="s">
        <v>137</v>
      </c>
      <c r="R28" t="s">
        <v>137</v>
      </c>
      <c r="S28" t="s">
        <v>137</v>
      </c>
      <c r="T28" t="s">
        <v>137</v>
      </c>
      <c r="U28" t="s">
        <v>137</v>
      </c>
      <c r="V28" t="s">
        <v>137</v>
      </c>
      <c r="W28" t="s">
        <v>137</v>
      </c>
      <c r="X28" t="s">
        <v>137</v>
      </c>
      <c r="Y28" t="s">
        <v>137</v>
      </c>
      <c r="Z28" t="s">
        <v>137</v>
      </c>
      <c r="AA28" t="s">
        <v>137</v>
      </c>
      <c r="AB28" t="s">
        <v>137</v>
      </c>
      <c r="AC28" t="s">
        <v>137</v>
      </c>
      <c r="AD28" t="s">
        <v>137</v>
      </c>
      <c r="AE28" t="s">
        <v>137</v>
      </c>
      <c r="AF28" t="s">
        <v>137</v>
      </c>
      <c r="AG28" t="s">
        <v>137</v>
      </c>
      <c r="AH28" t="s">
        <v>137</v>
      </c>
      <c r="AI28" t="s">
        <v>137</v>
      </c>
      <c r="AJ28" t="s">
        <v>137</v>
      </c>
      <c r="AK28" t="s">
        <v>137</v>
      </c>
      <c r="AL28" t="s">
        <v>137</v>
      </c>
      <c r="AM28" t="s">
        <v>137</v>
      </c>
      <c r="AN28" t="s">
        <v>137</v>
      </c>
      <c r="AO28" t="s">
        <v>137</v>
      </c>
      <c r="AP28" t="s">
        <v>137</v>
      </c>
      <c r="AQ28" t="s">
        <v>137</v>
      </c>
      <c r="AR28" t="s">
        <v>137</v>
      </c>
      <c r="AS28" t="s">
        <v>137</v>
      </c>
      <c r="AT28" t="s">
        <v>137</v>
      </c>
      <c r="AU28" t="s">
        <v>137</v>
      </c>
      <c r="AV28" t="s">
        <v>137</v>
      </c>
      <c r="AW28" t="s">
        <v>137</v>
      </c>
      <c r="AX28" t="s">
        <v>137</v>
      </c>
      <c r="AY28" t="s">
        <v>137</v>
      </c>
      <c r="AZ28" t="s">
        <v>137</v>
      </c>
      <c r="BA28" t="s">
        <v>137</v>
      </c>
      <c r="BB28" t="s">
        <v>137</v>
      </c>
      <c r="BC28" t="s">
        <v>137</v>
      </c>
      <c r="BD28" t="s">
        <v>138</v>
      </c>
      <c r="BE28" t="s">
        <v>138</v>
      </c>
      <c r="BF28" t="s">
        <v>138</v>
      </c>
      <c r="BG28" t="s">
        <v>138</v>
      </c>
      <c r="BH28" t="s">
        <v>138</v>
      </c>
      <c r="BI28" t="s">
        <v>138</v>
      </c>
      <c r="BJ28" t="s">
        <v>138</v>
      </c>
      <c r="BK28" t="s">
        <v>138</v>
      </c>
      <c r="BL28" t="s">
        <v>138</v>
      </c>
      <c r="BM28" t="s">
        <v>138</v>
      </c>
      <c r="BN28" t="s">
        <v>138</v>
      </c>
      <c r="BO28" t="s">
        <v>138</v>
      </c>
      <c r="BP28" t="s">
        <v>138</v>
      </c>
      <c r="BQ28" t="s">
        <v>138</v>
      </c>
      <c r="BR28" t="s">
        <v>138</v>
      </c>
      <c r="BS28" t="s">
        <v>138</v>
      </c>
      <c r="BT28" t="s">
        <v>138</v>
      </c>
      <c r="BU28" t="s">
        <v>138</v>
      </c>
      <c r="BV28" t="s">
        <v>138</v>
      </c>
      <c r="BW28" t="s">
        <v>138</v>
      </c>
      <c r="BX28" t="s">
        <v>138</v>
      </c>
      <c r="BY28" t="s">
        <v>138</v>
      </c>
      <c r="BZ28" t="s">
        <v>138</v>
      </c>
      <c r="CA28" t="s">
        <v>138</v>
      </c>
      <c r="CB28" t="s">
        <v>138</v>
      </c>
      <c r="CC28" t="s">
        <v>138</v>
      </c>
      <c r="CD28" t="s">
        <v>138</v>
      </c>
      <c r="CE28" t="s">
        <v>138</v>
      </c>
      <c r="CF28" t="s">
        <v>138</v>
      </c>
      <c r="CG28" t="s">
        <v>138</v>
      </c>
      <c r="CH28" t="s">
        <v>138</v>
      </c>
      <c r="CI28" t="s">
        <v>138</v>
      </c>
      <c r="CJ28" t="s">
        <v>138</v>
      </c>
      <c r="CK28" t="s">
        <v>138</v>
      </c>
      <c r="CL28" t="s">
        <v>138</v>
      </c>
      <c r="CM28" t="s">
        <v>138</v>
      </c>
      <c r="CN28" t="s">
        <v>138</v>
      </c>
      <c r="CO28" t="s">
        <v>138</v>
      </c>
      <c r="CP28" t="s">
        <v>138</v>
      </c>
      <c r="CQ28" t="s">
        <v>138</v>
      </c>
      <c r="CR28" t="s">
        <v>138</v>
      </c>
      <c r="CS28" t="s">
        <v>138</v>
      </c>
      <c r="CT28" t="s">
        <v>138</v>
      </c>
      <c r="CU28" t="s">
        <v>138</v>
      </c>
      <c r="CV28" t="s">
        <v>138</v>
      </c>
      <c r="CW28" t="s">
        <v>138</v>
      </c>
    </row>
    <row r="29" spans="1:101" x14ac:dyDescent="0.25">
      <c r="A29" t="s">
        <v>75</v>
      </c>
      <c r="B29" t="s">
        <v>137</v>
      </c>
      <c r="C29" t="s">
        <v>137</v>
      </c>
      <c r="D29" t="s">
        <v>137</v>
      </c>
      <c r="E29" t="s">
        <v>137</v>
      </c>
      <c r="F29" t="s">
        <v>137</v>
      </c>
      <c r="G29" t="s">
        <v>137</v>
      </c>
      <c r="H29" t="s">
        <v>137</v>
      </c>
      <c r="I29" t="s">
        <v>137</v>
      </c>
      <c r="J29" t="s">
        <v>137</v>
      </c>
      <c r="K29" t="s">
        <v>137</v>
      </c>
      <c r="L29" t="s">
        <v>137</v>
      </c>
      <c r="M29" t="s">
        <v>137</v>
      </c>
      <c r="N29" t="s">
        <v>137</v>
      </c>
      <c r="O29" t="s">
        <v>137</v>
      </c>
      <c r="P29" t="s">
        <v>137</v>
      </c>
      <c r="Q29" t="s">
        <v>137</v>
      </c>
      <c r="R29" t="s">
        <v>137</v>
      </c>
      <c r="S29" t="s">
        <v>137</v>
      </c>
      <c r="T29" t="s">
        <v>137</v>
      </c>
      <c r="U29" t="s">
        <v>137</v>
      </c>
      <c r="V29" t="s">
        <v>137</v>
      </c>
      <c r="W29" t="s">
        <v>137</v>
      </c>
      <c r="X29" t="s">
        <v>137</v>
      </c>
      <c r="Y29" t="s">
        <v>137</v>
      </c>
      <c r="Z29" t="s">
        <v>137</v>
      </c>
      <c r="AA29" t="s">
        <v>137</v>
      </c>
      <c r="AB29" t="s">
        <v>137</v>
      </c>
      <c r="AC29" t="s">
        <v>137</v>
      </c>
      <c r="AD29" t="s">
        <v>137</v>
      </c>
      <c r="AE29" t="s">
        <v>137</v>
      </c>
      <c r="AF29" t="s">
        <v>137</v>
      </c>
      <c r="AG29" t="s">
        <v>137</v>
      </c>
      <c r="AH29" t="s">
        <v>137</v>
      </c>
      <c r="AI29" t="s">
        <v>137</v>
      </c>
      <c r="AJ29" t="s">
        <v>137</v>
      </c>
      <c r="AK29" t="s">
        <v>137</v>
      </c>
      <c r="AL29" t="s">
        <v>137</v>
      </c>
      <c r="AM29" t="s">
        <v>137</v>
      </c>
      <c r="AN29" t="s">
        <v>137</v>
      </c>
      <c r="AO29" t="s">
        <v>137</v>
      </c>
      <c r="AP29" t="s">
        <v>137</v>
      </c>
      <c r="AQ29" t="s">
        <v>137</v>
      </c>
      <c r="AR29" t="s">
        <v>137</v>
      </c>
      <c r="AS29" t="s">
        <v>137</v>
      </c>
      <c r="AT29" t="s">
        <v>137</v>
      </c>
      <c r="AU29" t="s">
        <v>137</v>
      </c>
      <c r="AV29" t="s">
        <v>137</v>
      </c>
      <c r="AW29" t="s">
        <v>137</v>
      </c>
      <c r="AX29" t="s">
        <v>137</v>
      </c>
      <c r="AY29" t="s">
        <v>137</v>
      </c>
      <c r="AZ29" t="s">
        <v>137</v>
      </c>
      <c r="BA29" t="s">
        <v>137</v>
      </c>
      <c r="BB29" t="s">
        <v>137</v>
      </c>
      <c r="BC29" t="s">
        <v>137</v>
      </c>
      <c r="BD29" t="s">
        <v>137</v>
      </c>
      <c r="BE29" t="s">
        <v>137</v>
      </c>
      <c r="BF29" t="s">
        <v>137</v>
      </c>
      <c r="BG29" t="s">
        <v>137</v>
      </c>
      <c r="BH29" t="s">
        <v>137</v>
      </c>
      <c r="BI29" t="s">
        <v>137</v>
      </c>
      <c r="BJ29" t="s">
        <v>138</v>
      </c>
      <c r="BK29" t="s">
        <v>138</v>
      </c>
      <c r="BL29" t="s">
        <v>138</v>
      </c>
      <c r="BM29" t="s">
        <v>138</v>
      </c>
      <c r="BN29" t="s">
        <v>138</v>
      </c>
      <c r="BO29" t="s">
        <v>138</v>
      </c>
      <c r="BP29" t="s">
        <v>138</v>
      </c>
      <c r="BQ29" t="s">
        <v>138</v>
      </c>
      <c r="BR29" t="s">
        <v>138</v>
      </c>
      <c r="BS29" t="s">
        <v>138</v>
      </c>
      <c r="BT29" t="s">
        <v>138</v>
      </c>
      <c r="BU29" t="s">
        <v>138</v>
      </c>
      <c r="BV29" t="s">
        <v>138</v>
      </c>
      <c r="BW29" t="s">
        <v>138</v>
      </c>
      <c r="BX29" t="s">
        <v>138</v>
      </c>
      <c r="BY29" t="s">
        <v>138</v>
      </c>
      <c r="BZ29" t="s">
        <v>138</v>
      </c>
      <c r="CA29" t="s">
        <v>138</v>
      </c>
      <c r="CB29" t="s">
        <v>138</v>
      </c>
      <c r="CC29" t="s">
        <v>138</v>
      </c>
      <c r="CD29" t="s">
        <v>138</v>
      </c>
      <c r="CE29" t="s">
        <v>138</v>
      </c>
      <c r="CF29" t="s">
        <v>138</v>
      </c>
      <c r="CG29" t="s">
        <v>138</v>
      </c>
      <c r="CH29" t="s">
        <v>138</v>
      </c>
      <c r="CI29" t="s">
        <v>138</v>
      </c>
      <c r="CJ29" t="s">
        <v>138</v>
      </c>
      <c r="CK29" t="s">
        <v>138</v>
      </c>
      <c r="CL29" t="s">
        <v>138</v>
      </c>
      <c r="CM29" t="s">
        <v>138</v>
      </c>
      <c r="CN29" t="s">
        <v>138</v>
      </c>
      <c r="CO29" t="s">
        <v>138</v>
      </c>
      <c r="CP29" t="s">
        <v>138</v>
      </c>
      <c r="CQ29" t="s">
        <v>138</v>
      </c>
      <c r="CR29" t="s">
        <v>138</v>
      </c>
      <c r="CS29" t="s">
        <v>138</v>
      </c>
      <c r="CT29" t="s">
        <v>138</v>
      </c>
      <c r="CU29" t="s">
        <v>138</v>
      </c>
      <c r="CV29" t="s">
        <v>138</v>
      </c>
      <c r="CW29" t="s">
        <v>138</v>
      </c>
    </row>
    <row r="30" spans="1:101" x14ac:dyDescent="0.25">
      <c r="A30" t="s">
        <v>76</v>
      </c>
      <c r="B30" t="s">
        <v>137</v>
      </c>
      <c r="C30" t="s">
        <v>137</v>
      </c>
      <c r="D30" t="s">
        <v>137</v>
      </c>
      <c r="E30" t="s">
        <v>137</v>
      </c>
      <c r="F30" t="s">
        <v>137</v>
      </c>
      <c r="G30" t="s">
        <v>137</v>
      </c>
      <c r="H30" t="s">
        <v>137</v>
      </c>
      <c r="I30" t="s">
        <v>137</v>
      </c>
      <c r="J30" t="s">
        <v>137</v>
      </c>
      <c r="K30" t="s">
        <v>137</v>
      </c>
      <c r="L30" t="s">
        <v>137</v>
      </c>
      <c r="M30" t="s">
        <v>137</v>
      </c>
      <c r="N30" t="s">
        <v>137</v>
      </c>
      <c r="O30" t="s">
        <v>137</v>
      </c>
      <c r="P30" t="s">
        <v>137</v>
      </c>
      <c r="Q30" t="s">
        <v>137</v>
      </c>
      <c r="R30" t="s">
        <v>137</v>
      </c>
      <c r="S30" t="s">
        <v>137</v>
      </c>
      <c r="T30" t="s">
        <v>137</v>
      </c>
      <c r="U30" t="s">
        <v>137</v>
      </c>
      <c r="V30" t="s">
        <v>137</v>
      </c>
      <c r="W30" t="s">
        <v>137</v>
      </c>
      <c r="X30" t="s">
        <v>137</v>
      </c>
      <c r="Y30" t="s">
        <v>137</v>
      </c>
      <c r="Z30" t="s">
        <v>137</v>
      </c>
      <c r="AA30" t="s">
        <v>137</v>
      </c>
      <c r="AB30" t="s">
        <v>137</v>
      </c>
      <c r="AC30" t="s">
        <v>137</v>
      </c>
      <c r="AD30" t="s">
        <v>137</v>
      </c>
      <c r="AE30" t="s">
        <v>137</v>
      </c>
      <c r="AF30" t="s">
        <v>137</v>
      </c>
      <c r="AG30" t="s">
        <v>137</v>
      </c>
      <c r="AH30" t="s">
        <v>137</v>
      </c>
      <c r="AI30" t="s">
        <v>137</v>
      </c>
      <c r="AJ30" t="s">
        <v>137</v>
      </c>
      <c r="AK30" t="s">
        <v>137</v>
      </c>
      <c r="AL30" t="s">
        <v>137</v>
      </c>
      <c r="AM30" t="s">
        <v>137</v>
      </c>
      <c r="AN30" t="s">
        <v>137</v>
      </c>
      <c r="AO30" t="s">
        <v>137</v>
      </c>
      <c r="AP30" t="s">
        <v>137</v>
      </c>
      <c r="AQ30" t="s">
        <v>137</v>
      </c>
      <c r="AR30" t="s">
        <v>137</v>
      </c>
      <c r="AS30" t="s">
        <v>137</v>
      </c>
      <c r="AT30" t="s">
        <v>137</v>
      </c>
      <c r="AU30" t="s">
        <v>137</v>
      </c>
      <c r="AV30" t="s">
        <v>137</v>
      </c>
      <c r="AW30" t="s">
        <v>137</v>
      </c>
      <c r="AX30" t="s">
        <v>137</v>
      </c>
      <c r="AY30" t="s">
        <v>137</v>
      </c>
      <c r="AZ30" t="s">
        <v>137</v>
      </c>
      <c r="BA30" t="s">
        <v>137</v>
      </c>
      <c r="BB30" t="s">
        <v>137</v>
      </c>
      <c r="BC30" t="s">
        <v>137</v>
      </c>
      <c r="BD30" t="s">
        <v>137</v>
      </c>
      <c r="BE30" t="s">
        <v>137</v>
      </c>
      <c r="BF30" t="s">
        <v>137</v>
      </c>
      <c r="BG30" t="s">
        <v>137</v>
      </c>
      <c r="BH30" t="s">
        <v>137</v>
      </c>
      <c r="BI30" t="s">
        <v>137</v>
      </c>
      <c r="BJ30" t="s">
        <v>137</v>
      </c>
      <c r="BK30" t="s">
        <v>138</v>
      </c>
      <c r="BL30" t="s">
        <v>138</v>
      </c>
      <c r="BM30" t="s">
        <v>138</v>
      </c>
      <c r="BN30" t="s">
        <v>138</v>
      </c>
      <c r="BO30" t="s">
        <v>138</v>
      </c>
      <c r="BP30" t="s">
        <v>138</v>
      </c>
      <c r="BQ30" t="s">
        <v>138</v>
      </c>
      <c r="BR30" t="s">
        <v>138</v>
      </c>
      <c r="BS30" t="s">
        <v>138</v>
      </c>
      <c r="BT30" t="s">
        <v>138</v>
      </c>
      <c r="BU30" t="s">
        <v>138</v>
      </c>
      <c r="BV30" t="s">
        <v>138</v>
      </c>
      <c r="BW30" t="s">
        <v>138</v>
      </c>
      <c r="BX30" t="s">
        <v>138</v>
      </c>
      <c r="BY30" t="s">
        <v>138</v>
      </c>
      <c r="BZ30" t="s">
        <v>138</v>
      </c>
      <c r="CA30" t="s">
        <v>138</v>
      </c>
      <c r="CB30" t="s">
        <v>138</v>
      </c>
      <c r="CC30" t="s">
        <v>138</v>
      </c>
      <c r="CD30" t="s">
        <v>138</v>
      </c>
      <c r="CE30" t="s">
        <v>138</v>
      </c>
      <c r="CF30" t="s">
        <v>138</v>
      </c>
      <c r="CG30" t="s">
        <v>138</v>
      </c>
      <c r="CH30" t="s">
        <v>138</v>
      </c>
      <c r="CI30" t="s">
        <v>138</v>
      </c>
      <c r="CJ30" t="s">
        <v>138</v>
      </c>
      <c r="CK30" t="s">
        <v>138</v>
      </c>
      <c r="CL30" t="s">
        <v>138</v>
      </c>
      <c r="CM30" t="s">
        <v>138</v>
      </c>
      <c r="CN30" t="s">
        <v>138</v>
      </c>
      <c r="CO30" t="s">
        <v>138</v>
      </c>
      <c r="CP30" t="s">
        <v>138</v>
      </c>
      <c r="CQ30" t="s">
        <v>138</v>
      </c>
      <c r="CR30" t="s">
        <v>138</v>
      </c>
      <c r="CS30" t="s">
        <v>138</v>
      </c>
      <c r="CT30" t="s">
        <v>138</v>
      </c>
      <c r="CU30" t="s">
        <v>138</v>
      </c>
      <c r="CV30" t="s">
        <v>138</v>
      </c>
      <c r="CW30" t="s">
        <v>138</v>
      </c>
    </row>
    <row r="31" spans="1:101" x14ac:dyDescent="0.25">
      <c r="A31" t="s">
        <v>77</v>
      </c>
      <c r="B31" t="s">
        <v>137</v>
      </c>
      <c r="C31" t="s">
        <v>137</v>
      </c>
      <c r="D31" t="s">
        <v>137</v>
      </c>
      <c r="E31" t="s">
        <v>137</v>
      </c>
      <c r="F31" t="s">
        <v>137</v>
      </c>
      <c r="G31" t="s">
        <v>137</v>
      </c>
      <c r="H31" t="s">
        <v>137</v>
      </c>
      <c r="I31" t="s">
        <v>137</v>
      </c>
      <c r="J31" t="s">
        <v>137</v>
      </c>
      <c r="K31" t="s">
        <v>137</v>
      </c>
      <c r="L31" t="s">
        <v>137</v>
      </c>
      <c r="M31" t="s">
        <v>137</v>
      </c>
      <c r="N31" t="s">
        <v>137</v>
      </c>
      <c r="O31" t="s">
        <v>137</v>
      </c>
      <c r="P31" t="s">
        <v>137</v>
      </c>
      <c r="Q31" t="s">
        <v>137</v>
      </c>
      <c r="R31" t="s">
        <v>137</v>
      </c>
      <c r="S31" t="s">
        <v>137</v>
      </c>
      <c r="T31" t="s">
        <v>137</v>
      </c>
      <c r="U31" t="s">
        <v>137</v>
      </c>
      <c r="V31" t="s">
        <v>137</v>
      </c>
      <c r="W31" t="s">
        <v>137</v>
      </c>
      <c r="X31" t="s">
        <v>137</v>
      </c>
      <c r="Y31" t="s">
        <v>137</v>
      </c>
      <c r="Z31" t="s">
        <v>137</v>
      </c>
      <c r="AA31" t="s">
        <v>137</v>
      </c>
      <c r="AB31" t="s">
        <v>137</v>
      </c>
      <c r="AC31" t="s">
        <v>137</v>
      </c>
      <c r="AD31" t="s">
        <v>137</v>
      </c>
      <c r="AE31" t="s">
        <v>137</v>
      </c>
      <c r="AF31" t="s">
        <v>137</v>
      </c>
      <c r="AG31" t="s">
        <v>137</v>
      </c>
      <c r="AH31" t="s">
        <v>137</v>
      </c>
      <c r="AI31" t="s">
        <v>137</v>
      </c>
      <c r="AJ31" t="s">
        <v>137</v>
      </c>
      <c r="AK31" t="s">
        <v>137</v>
      </c>
      <c r="AL31" t="s">
        <v>137</v>
      </c>
      <c r="AM31" t="s">
        <v>137</v>
      </c>
      <c r="AN31" t="s">
        <v>137</v>
      </c>
      <c r="AO31" t="s">
        <v>137</v>
      </c>
      <c r="AP31" t="s">
        <v>137</v>
      </c>
      <c r="AQ31" t="s">
        <v>137</v>
      </c>
      <c r="AR31" t="s">
        <v>137</v>
      </c>
      <c r="AS31" t="s">
        <v>137</v>
      </c>
      <c r="AT31" t="s">
        <v>137</v>
      </c>
      <c r="AU31" t="s">
        <v>137</v>
      </c>
      <c r="AV31" t="s">
        <v>137</v>
      </c>
      <c r="AW31" t="s">
        <v>137</v>
      </c>
      <c r="AX31" t="s">
        <v>137</v>
      </c>
      <c r="AY31" t="s">
        <v>137</v>
      </c>
      <c r="AZ31" t="s">
        <v>137</v>
      </c>
      <c r="BA31" t="s">
        <v>137</v>
      </c>
      <c r="BB31" t="s">
        <v>137</v>
      </c>
      <c r="BC31" t="s">
        <v>137</v>
      </c>
      <c r="BD31" t="s">
        <v>137</v>
      </c>
      <c r="BE31" t="s">
        <v>137</v>
      </c>
      <c r="BF31" t="s">
        <v>137</v>
      </c>
      <c r="BG31" t="s">
        <v>137</v>
      </c>
      <c r="BH31" t="s">
        <v>137</v>
      </c>
      <c r="BI31" t="s">
        <v>137</v>
      </c>
      <c r="BJ31" t="s">
        <v>137</v>
      </c>
      <c r="BK31" t="s">
        <v>137</v>
      </c>
      <c r="BL31" t="s">
        <v>137</v>
      </c>
      <c r="BM31" t="s">
        <v>137</v>
      </c>
      <c r="BN31" t="s">
        <v>137</v>
      </c>
      <c r="BO31" t="s">
        <v>137</v>
      </c>
      <c r="BP31" t="s">
        <v>137</v>
      </c>
      <c r="BQ31" t="s">
        <v>137</v>
      </c>
      <c r="BR31" t="s">
        <v>137</v>
      </c>
      <c r="BS31" t="s">
        <v>137</v>
      </c>
      <c r="BT31" t="s">
        <v>137</v>
      </c>
      <c r="BU31" t="s">
        <v>137</v>
      </c>
      <c r="BV31" t="s">
        <v>137</v>
      </c>
      <c r="BW31" t="s">
        <v>137</v>
      </c>
      <c r="BX31" t="s">
        <v>137</v>
      </c>
      <c r="BY31" t="s">
        <v>137</v>
      </c>
      <c r="BZ31" t="s">
        <v>137</v>
      </c>
      <c r="CA31" t="s">
        <v>137</v>
      </c>
      <c r="CB31" t="s">
        <v>137</v>
      </c>
      <c r="CC31" t="s">
        <v>137</v>
      </c>
      <c r="CD31" t="s">
        <v>137</v>
      </c>
      <c r="CE31" t="s">
        <v>137</v>
      </c>
      <c r="CF31" t="s">
        <v>137</v>
      </c>
      <c r="CG31" t="s">
        <v>137</v>
      </c>
      <c r="CH31" t="s">
        <v>137</v>
      </c>
      <c r="CI31" t="s">
        <v>137</v>
      </c>
      <c r="CJ31" t="s">
        <v>137</v>
      </c>
      <c r="CK31" t="s">
        <v>137</v>
      </c>
      <c r="CL31" t="s">
        <v>137</v>
      </c>
      <c r="CM31" t="s">
        <v>137</v>
      </c>
      <c r="CN31" t="s">
        <v>137</v>
      </c>
      <c r="CO31" t="s">
        <v>137</v>
      </c>
      <c r="CP31" t="s">
        <v>137</v>
      </c>
      <c r="CQ31" t="s">
        <v>137</v>
      </c>
      <c r="CR31" t="s">
        <v>137</v>
      </c>
      <c r="CS31" t="s">
        <v>137</v>
      </c>
      <c r="CT31" t="s">
        <v>137</v>
      </c>
      <c r="CU31" t="s">
        <v>137</v>
      </c>
      <c r="CV31" t="s">
        <v>137</v>
      </c>
      <c r="CW31" t="s">
        <v>137</v>
      </c>
    </row>
    <row r="32" spans="1:101" x14ac:dyDescent="0.25">
      <c r="A32" t="s">
        <v>78</v>
      </c>
      <c r="B32" t="s">
        <v>137</v>
      </c>
      <c r="C32" t="s">
        <v>138</v>
      </c>
      <c r="D32" t="s">
        <v>138</v>
      </c>
      <c r="E32" t="s">
        <v>138</v>
      </c>
      <c r="F32" t="s">
        <v>138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  <c r="U32" t="s">
        <v>138</v>
      </c>
      <c r="V32" t="s">
        <v>138</v>
      </c>
      <c r="W32" t="s">
        <v>138</v>
      </c>
      <c r="X32" t="s">
        <v>138</v>
      </c>
      <c r="Y32" t="s">
        <v>138</v>
      </c>
      <c r="Z32" t="s">
        <v>138</v>
      </c>
      <c r="AA32" t="s">
        <v>138</v>
      </c>
      <c r="AB32" t="s">
        <v>138</v>
      </c>
      <c r="AC32" t="s">
        <v>138</v>
      </c>
      <c r="AD32" t="s">
        <v>138</v>
      </c>
      <c r="AE32" t="s">
        <v>138</v>
      </c>
      <c r="AF32" t="s">
        <v>138</v>
      </c>
      <c r="AG32" t="s">
        <v>138</v>
      </c>
      <c r="AH32" t="s">
        <v>138</v>
      </c>
      <c r="AI32" t="s">
        <v>138</v>
      </c>
      <c r="AJ32" t="s">
        <v>138</v>
      </c>
      <c r="AK32" t="s">
        <v>138</v>
      </c>
      <c r="AL32" t="s">
        <v>138</v>
      </c>
      <c r="AM32" t="s">
        <v>138</v>
      </c>
      <c r="AN32" t="s">
        <v>138</v>
      </c>
      <c r="AO32" t="s">
        <v>138</v>
      </c>
      <c r="AP32" t="s">
        <v>138</v>
      </c>
      <c r="AQ32" t="s">
        <v>138</v>
      </c>
      <c r="AR32" t="s">
        <v>138</v>
      </c>
      <c r="AS32" t="s">
        <v>138</v>
      </c>
      <c r="AT32" t="s">
        <v>138</v>
      </c>
      <c r="AU32" t="s">
        <v>138</v>
      </c>
      <c r="AV32" t="s">
        <v>138</v>
      </c>
      <c r="AW32" t="s">
        <v>138</v>
      </c>
      <c r="AX32" t="s">
        <v>138</v>
      </c>
      <c r="AY32" t="s">
        <v>138</v>
      </c>
      <c r="AZ32" t="s">
        <v>138</v>
      </c>
      <c r="BA32" t="s">
        <v>138</v>
      </c>
      <c r="BB32" t="s">
        <v>138</v>
      </c>
      <c r="BC32" t="s">
        <v>138</v>
      </c>
      <c r="BD32" t="s">
        <v>138</v>
      </c>
      <c r="BE32" t="s">
        <v>138</v>
      </c>
      <c r="BF32" t="s">
        <v>138</v>
      </c>
      <c r="BG32" t="s">
        <v>138</v>
      </c>
      <c r="BH32" t="s">
        <v>138</v>
      </c>
      <c r="BI32" t="s">
        <v>138</v>
      </c>
      <c r="BJ32" t="s">
        <v>138</v>
      </c>
      <c r="BK32" t="s">
        <v>138</v>
      </c>
      <c r="BL32" t="s">
        <v>138</v>
      </c>
      <c r="BM32" t="s">
        <v>138</v>
      </c>
      <c r="BN32" t="s">
        <v>138</v>
      </c>
      <c r="BO32" t="s">
        <v>138</v>
      </c>
      <c r="BP32" t="s">
        <v>138</v>
      </c>
      <c r="BQ32" t="s">
        <v>138</v>
      </c>
      <c r="BR32" t="s">
        <v>138</v>
      </c>
      <c r="BS32" t="s">
        <v>138</v>
      </c>
      <c r="BT32" t="s">
        <v>138</v>
      </c>
      <c r="BU32" t="s">
        <v>138</v>
      </c>
      <c r="BV32" t="s">
        <v>138</v>
      </c>
      <c r="BW32" t="s">
        <v>138</v>
      </c>
      <c r="BX32" t="s">
        <v>138</v>
      </c>
      <c r="BY32" t="s">
        <v>138</v>
      </c>
      <c r="BZ32" t="s">
        <v>138</v>
      </c>
      <c r="CA32" t="s">
        <v>138</v>
      </c>
      <c r="CB32" t="s">
        <v>138</v>
      </c>
      <c r="CC32" t="s">
        <v>138</v>
      </c>
      <c r="CD32" t="s">
        <v>138</v>
      </c>
      <c r="CE32" t="s">
        <v>138</v>
      </c>
      <c r="CF32" t="s">
        <v>138</v>
      </c>
      <c r="CG32" t="s">
        <v>138</v>
      </c>
      <c r="CH32" t="s">
        <v>138</v>
      </c>
      <c r="CI32" t="s">
        <v>138</v>
      </c>
      <c r="CJ32" t="s">
        <v>138</v>
      </c>
      <c r="CK32" t="s">
        <v>138</v>
      </c>
      <c r="CL32" t="s">
        <v>138</v>
      </c>
      <c r="CM32" t="s">
        <v>138</v>
      </c>
      <c r="CN32" t="s">
        <v>138</v>
      </c>
      <c r="CO32" t="s">
        <v>138</v>
      </c>
      <c r="CP32" t="s">
        <v>138</v>
      </c>
      <c r="CQ32" t="s">
        <v>138</v>
      </c>
      <c r="CR32" t="s">
        <v>138</v>
      </c>
      <c r="CS32" t="s">
        <v>138</v>
      </c>
      <c r="CT32" t="s">
        <v>138</v>
      </c>
      <c r="CU32" t="s">
        <v>138</v>
      </c>
      <c r="CV32" t="s">
        <v>138</v>
      </c>
      <c r="CW32" t="s">
        <v>138</v>
      </c>
    </row>
    <row r="33" spans="1:101" x14ac:dyDescent="0.25">
      <c r="A33" t="s">
        <v>79</v>
      </c>
      <c r="B33" t="s">
        <v>137</v>
      </c>
      <c r="C33" t="s">
        <v>137</v>
      </c>
      <c r="D33" t="s">
        <v>137</v>
      </c>
      <c r="E33" t="s">
        <v>137</v>
      </c>
      <c r="F33" t="s">
        <v>137</v>
      </c>
      <c r="G33" t="s">
        <v>137</v>
      </c>
      <c r="H33" t="s">
        <v>137</v>
      </c>
      <c r="I33" t="s">
        <v>137</v>
      </c>
      <c r="J33" t="s">
        <v>137</v>
      </c>
      <c r="K33" t="s">
        <v>137</v>
      </c>
      <c r="L33" t="s">
        <v>137</v>
      </c>
      <c r="M33" t="s">
        <v>137</v>
      </c>
      <c r="N33" t="s">
        <v>137</v>
      </c>
      <c r="O33" t="s">
        <v>137</v>
      </c>
      <c r="P33" t="s">
        <v>137</v>
      </c>
      <c r="Q33" t="s">
        <v>137</v>
      </c>
      <c r="R33" t="s">
        <v>137</v>
      </c>
      <c r="S33" t="s">
        <v>137</v>
      </c>
      <c r="T33" t="s">
        <v>137</v>
      </c>
      <c r="U33" t="s">
        <v>137</v>
      </c>
      <c r="V33" t="s">
        <v>137</v>
      </c>
      <c r="W33" t="s">
        <v>137</v>
      </c>
      <c r="X33" t="s">
        <v>137</v>
      </c>
      <c r="Y33" t="s">
        <v>137</v>
      </c>
      <c r="Z33" t="s">
        <v>137</v>
      </c>
      <c r="AA33" t="s">
        <v>137</v>
      </c>
      <c r="AB33" t="s">
        <v>137</v>
      </c>
      <c r="AC33" t="s">
        <v>137</v>
      </c>
      <c r="AD33" t="s">
        <v>137</v>
      </c>
      <c r="AE33" t="s">
        <v>137</v>
      </c>
      <c r="AF33" t="s">
        <v>137</v>
      </c>
      <c r="AG33" t="s">
        <v>137</v>
      </c>
      <c r="AH33" t="s">
        <v>137</v>
      </c>
      <c r="AI33" t="s">
        <v>137</v>
      </c>
      <c r="AJ33" t="s">
        <v>137</v>
      </c>
      <c r="AK33" t="s">
        <v>137</v>
      </c>
      <c r="AL33" t="s">
        <v>137</v>
      </c>
      <c r="AM33" t="s">
        <v>137</v>
      </c>
      <c r="AN33" t="s">
        <v>137</v>
      </c>
      <c r="AO33" t="s">
        <v>137</v>
      </c>
      <c r="AP33" t="s">
        <v>137</v>
      </c>
      <c r="AQ33" t="s">
        <v>137</v>
      </c>
      <c r="AR33" t="s">
        <v>137</v>
      </c>
      <c r="AS33" t="s">
        <v>137</v>
      </c>
      <c r="AT33" t="s">
        <v>137</v>
      </c>
      <c r="AU33" t="s">
        <v>137</v>
      </c>
      <c r="AV33" t="s">
        <v>137</v>
      </c>
      <c r="AW33" t="s">
        <v>137</v>
      </c>
      <c r="AX33" t="s">
        <v>137</v>
      </c>
      <c r="AY33" t="s">
        <v>137</v>
      </c>
      <c r="AZ33" t="s">
        <v>137</v>
      </c>
      <c r="BA33" t="s">
        <v>137</v>
      </c>
      <c r="BB33" t="s">
        <v>137</v>
      </c>
      <c r="BC33" t="s">
        <v>137</v>
      </c>
      <c r="BD33" t="s">
        <v>137</v>
      </c>
      <c r="BE33" t="s">
        <v>137</v>
      </c>
      <c r="BF33" t="s">
        <v>137</v>
      </c>
      <c r="BG33" t="s">
        <v>137</v>
      </c>
      <c r="BH33" t="s">
        <v>137</v>
      </c>
      <c r="BI33" t="s">
        <v>137</v>
      </c>
      <c r="BJ33" t="s">
        <v>137</v>
      </c>
      <c r="BK33" t="s">
        <v>137</v>
      </c>
      <c r="BL33" t="s">
        <v>137</v>
      </c>
      <c r="BM33" t="s">
        <v>137</v>
      </c>
      <c r="BN33" t="s">
        <v>137</v>
      </c>
      <c r="BO33" t="s">
        <v>137</v>
      </c>
      <c r="BP33" t="s">
        <v>137</v>
      </c>
      <c r="BQ33" t="s">
        <v>137</v>
      </c>
      <c r="BR33" t="s">
        <v>137</v>
      </c>
      <c r="BS33" t="s">
        <v>137</v>
      </c>
      <c r="BT33" t="s">
        <v>137</v>
      </c>
      <c r="BU33" t="s">
        <v>137</v>
      </c>
      <c r="BV33" t="s">
        <v>137</v>
      </c>
      <c r="BW33" t="s">
        <v>137</v>
      </c>
      <c r="BX33" t="s">
        <v>137</v>
      </c>
      <c r="BY33" t="s">
        <v>137</v>
      </c>
      <c r="BZ33" t="s">
        <v>137</v>
      </c>
      <c r="CA33" t="s">
        <v>137</v>
      </c>
      <c r="CB33" t="s">
        <v>137</v>
      </c>
      <c r="CC33" t="s">
        <v>137</v>
      </c>
      <c r="CD33" t="s">
        <v>137</v>
      </c>
      <c r="CE33" t="s">
        <v>137</v>
      </c>
      <c r="CF33" t="s">
        <v>137</v>
      </c>
      <c r="CG33" t="s">
        <v>137</v>
      </c>
      <c r="CH33" t="s">
        <v>137</v>
      </c>
      <c r="CI33" t="s">
        <v>137</v>
      </c>
      <c r="CJ33" t="s">
        <v>137</v>
      </c>
      <c r="CK33" t="s">
        <v>137</v>
      </c>
      <c r="CL33" t="s">
        <v>137</v>
      </c>
      <c r="CM33" t="s">
        <v>137</v>
      </c>
      <c r="CN33" t="s">
        <v>137</v>
      </c>
      <c r="CO33" t="s">
        <v>137</v>
      </c>
      <c r="CP33" t="s">
        <v>137</v>
      </c>
      <c r="CQ33" t="s">
        <v>137</v>
      </c>
      <c r="CR33" t="s">
        <v>137</v>
      </c>
      <c r="CS33" t="s">
        <v>137</v>
      </c>
      <c r="CT33" t="s">
        <v>137</v>
      </c>
      <c r="CU33" t="s">
        <v>137</v>
      </c>
      <c r="CV33" t="s">
        <v>137</v>
      </c>
      <c r="CW33" t="s">
        <v>137</v>
      </c>
    </row>
    <row r="34" spans="1:101" x14ac:dyDescent="0.25">
      <c r="A34" t="s">
        <v>80</v>
      </c>
      <c r="B34" t="s">
        <v>137</v>
      </c>
      <c r="C34" t="s">
        <v>137</v>
      </c>
      <c r="D34" t="s">
        <v>137</v>
      </c>
      <c r="E34" t="s">
        <v>137</v>
      </c>
      <c r="F34" t="s">
        <v>137</v>
      </c>
      <c r="G34" t="s">
        <v>137</v>
      </c>
      <c r="H34" t="s">
        <v>137</v>
      </c>
      <c r="I34" t="s">
        <v>137</v>
      </c>
      <c r="J34" t="s">
        <v>137</v>
      </c>
      <c r="K34" t="s">
        <v>137</v>
      </c>
      <c r="L34" t="s">
        <v>137</v>
      </c>
      <c r="M34" t="s">
        <v>137</v>
      </c>
      <c r="N34" t="s">
        <v>137</v>
      </c>
      <c r="O34" t="s">
        <v>137</v>
      </c>
      <c r="P34" t="s">
        <v>137</v>
      </c>
      <c r="Q34" t="s">
        <v>137</v>
      </c>
      <c r="R34" t="s">
        <v>137</v>
      </c>
      <c r="S34" t="s">
        <v>137</v>
      </c>
      <c r="T34" t="s">
        <v>137</v>
      </c>
      <c r="U34" t="s">
        <v>137</v>
      </c>
      <c r="V34" t="s">
        <v>137</v>
      </c>
      <c r="W34" t="s">
        <v>137</v>
      </c>
      <c r="X34" t="s">
        <v>137</v>
      </c>
      <c r="Y34" t="s">
        <v>137</v>
      </c>
      <c r="Z34" t="s">
        <v>137</v>
      </c>
      <c r="AA34" t="s">
        <v>137</v>
      </c>
      <c r="AB34" t="s">
        <v>137</v>
      </c>
      <c r="AC34" t="s">
        <v>137</v>
      </c>
      <c r="AD34" t="s">
        <v>137</v>
      </c>
      <c r="AE34" t="s">
        <v>137</v>
      </c>
      <c r="AF34" t="s">
        <v>137</v>
      </c>
      <c r="AG34" t="s">
        <v>137</v>
      </c>
      <c r="AH34" t="s">
        <v>137</v>
      </c>
      <c r="AI34" t="s">
        <v>137</v>
      </c>
      <c r="AJ34" t="s">
        <v>137</v>
      </c>
      <c r="AK34" t="s">
        <v>137</v>
      </c>
      <c r="AL34" t="s">
        <v>137</v>
      </c>
      <c r="AM34" t="s">
        <v>137</v>
      </c>
      <c r="AN34" t="s">
        <v>137</v>
      </c>
      <c r="AO34" t="s">
        <v>137</v>
      </c>
      <c r="AP34" t="s">
        <v>137</v>
      </c>
      <c r="AQ34" t="s">
        <v>137</v>
      </c>
      <c r="AR34" t="s">
        <v>137</v>
      </c>
      <c r="AS34" t="s">
        <v>137</v>
      </c>
      <c r="AT34" t="s">
        <v>137</v>
      </c>
      <c r="AU34" t="s">
        <v>137</v>
      </c>
      <c r="AV34" t="s">
        <v>137</v>
      </c>
      <c r="AW34" t="s">
        <v>137</v>
      </c>
      <c r="AX34" t="s">
        <v>137</v>
      </c>
      <c r="AY34" t="s">
        <v>137</v>
      </c>
      <c r="AZ34" t="s">
        <v>137</v>
      </c>
      <c r="BA34" t="s">
        <v>137</v>
      </c>
      <c r="BB34" t="s">
        <v>137</v>
      </c>
      <c r="BC34" t="s">
        <v>137</v>
      </c>
      <c r="BD34" t="s">
        <v>137</v>
      </c>
      <c r="BE34" t="s">
        <v>137</v>
      </c>
      <c r="BF34" t="s">
        <v>137</v>
      </c>
      <c r="BG34" t="s">
        <v>137</v>
      </c>
      <c r="BH34" t="s">
        <v>137</v>
      </c>
      <c r="BI34" t="s">
        <v>137</v>
      </c>
      <c r="BJ34" t="s">
        <v>137</v>
      </c>
      <c r="BK34" t="s">
        <v>137</v>
      </c>
      <c r="BL34" t="s">
        <v>137</v>
      </c>
      <c r="BM34" t="s">
        <v>137</v>
      </c>
      <c r="BN34" t="s">
        <v>137</v>
      </c>
      <c r="BO34" t="s">
        <v>137</v>
      </c>
      <c r="BP34" t="s">
        <v>137</v>
      </c>
      <c r="BQ34" t="s">
        <v>137</v>
      </c>
      <c r="BR34" t="s">
        <v>137</v>
      </c>
      <c r="BS34" t="s">
        <v>137</v>
      </c>
      <c r="BT34" t="s">
        <v>137</v>
      </c>
      <c r="BU34" t="s">
        <v>137</v>
      </c>
      <c r="BV34" t="s">
        <v>137</v>
      </c>
      <c r="BW34" t="s">
        <v>137</v>
      </c>
      <c r="BX34" t="s">
        <v>137</v>
      </c>
      <c r="BY34" t="s">
        <v>137</v>
      </c>
      <c r="BZ34" t="s">
        <v>137</v>
      </c>
      <c r="CA34" t="s">
        <v>137</v>
      </c>
      <c r="CB34" t="s">
        <v>137</v>
      </c>
      <c r="CC34" t="s">
        <v>137</v>
      </c>
      <c r="CD34" t="s">
        <v>137</v>
      </c>
      <c r="CE34" t="s">
        <v>137</v>
      </c>
      <c r="CF34" t="s">
        <v>137</v>
      </c>
      <c r="CG34" t="s">
        <v>137</v>
      </c>
      <c r="CH34" t="s">
        <v>137</v>
      </c>
      <c r="CI34" t="s">
        <v>137</v>
      </c>
      <c r="CJ34" t="s">
        <v>137</v>
      </c>
      <c r="CK34" t="s">
        <v>137</v>
      </c>
      <c r="CL34" t="s">
        <v>137</v>
      </c>
      <c r="CM34" t="s">
        <v>137</v>
      </c>
      <c r="CN34" t="s">
        <v>137</v>
      </c>
      <c r="CO34" t="s">
        <v>137</v>
      </c>
      <c r="CP34" t="s">
        <v>137</v>
      </c>
      <c r="CQ34" t="s">
        <v>137</v>
      </c>
      <c r="CR34" t="s">
        <v>137</v>
      </c>
      <c r="CS34" t="s">
        <v>137</v>
      </c>
      <c r="CT34" t="s">
        <v>137</v>
      </c>
      <c r="CU34" t="s">
        <v>137</v>
      </c>
      <c r="CV34" t="s">
        <v>137</v>
      </c>
      <c r="CW34" t="s">
        <v>137</v>
      </c>
    </row>
    <row r="35" spans="1:101" x14ac:dyDescent="0.25">
      <c r="A35" t="s">
        <v>82</v>
      </c>
      <c r="B35" t="s">
        <v>137</v>
      </c>
      <c r="C35" t="s">
        <v>137</v>
      </c>
      <c r="D35" t="s">
        <v>137</v>
      </c>
      <c r="E35" t="s">
        <v>137</v>
      </c>
      <c r="F35" t="s">
        <v>137</v>
      </c>
      <c r="G35" t="s">
        <v>137</v>
      </c>
      <c r="H35" t="s">
        <v>137</v>
      </c>
      <c r="I35" t="s">
        <v>137</v>
      </c>
      <c r="J35" t="s">
        <v>137</v>
      </c>
      <c r="K35" t="s">
        <v>137</v>
      </c>
      <c r="L35" t="s">
        <v>137</v>
      </c>
      <c r="M35" t="s">
        <v>137</v>
      </c>
      <c r="N35" t="s">
        <v>137</v>
      </c>
      <c r="O35" t="s">
        <v>137</v>
      </c>
      <c r="P35" t="s">
        <v>137</v>
      </c>
      <c r="Q35" t="s">
        <v>137</v>
      </c>
      <c r="R35" t="s">
        <v>137</v>
      </c>
      <c r="S35" t="s">
        <v>137</v>
      </c>
      <c r="T35" t="s">
        <v>137</v>
      </c>
      <c r="U35" t="s">
        <v>137</v>
      </c>
      <c r="V35" t="s">
        <v>137</v>
      </c>
      <c r="W35" t="s">
        <v>137</v>
      </c>
      <c r="X35" t="s">
        <v>137</v>
      </c>
      <c r="Y35" t="s">
        <v>137</v>
      </c>
      <c r="Z35" t="s">
        <v>137</v>
      </c>
      <c r="AA35" t="s">
        <v>137</v>
      </c>
      <c r="AB35" t="s">
        <v>137</v>
      </c>
      <c r="AC35" t="s">
        <v>137</v>
      </c>
      <c r="AD35" t="s">
        <v>137</v>
      </c>
      <c r="AE35" t="s">
        <v>137</v>
      </c>
      <c r="AF35" t="s">
        <v>137</v>
      </c>
      <c r="AG35" t="s">
        <v>137</v>
      </c>
      <c r="AH35" t="s">
        <v>137</v>
      </c>
      <c r="AI35" t="s">
        <v>137</v>
      </c>
      <c r="AJ35" t="s">
        <v>137</v>
      </c>
      <c r="AK35" t="s">
        <v>137</v>
      </c>
      <c r="AL35" t="s">
        <v>137</v>
      </c>
      <c r="AM35" t="s">
        <v>137</v>
      </c>
      <c r="AN35" t="s">
        <v>137</v>
      </c>
      <c r="AO35" t="s">
        <v>137</v>
      </c>
      <c r="AP35" t="s">
        <v>137</v>
      </c>
      <c r="AQ35" t="s">
        <v>137</v>
      </c>
      <c r="AR35" t="s">
        <v>137</v>
      </c>
      <c r="AS35" t="s">
        <v>137</v>
      </c>
      <c r="AT35" t="s">
        <v>137</v>
      </c>
      <c r="AU35" t="s">
        <v>137</v>
      </c>
      <c r="AV35" t="s">
        <v>137</v>
      </c>
      <c r="AW35" t="s">
        <v>137</v>
      </c>
      <c r="AX35" t="s">
        <v>137</v>
      </c>
      <c r="AY35" t="s">
        <v>137</v>
      </c>
      <c r="AZ35" t="s">
        <v>137</v>
      </c>
      <c r="BA35" t="s">
        <v>137</v>
      </c>
      <c r="BB35" t="s">
        <v>137</v>
      </c>
      <c r="BC35" t="s">
        <v>137</v>
      </c>
      <c r="BD35" t="s">
        <v>137</v>
      </c>
      <c r="BE35" t="s">
        <v>137</v>
      </c>
      <c r="BF35" t="s">
        <v>137</v>
      </c>
      <c r="BG35" t="s">
        <v>137</v>
      </c>
      <c r="BH35" t="s">
        <v>137</v>
      </c>
      <c r="BI35" t="s">
        <v>137</v>
      </c>
      <c r="BJ35" t="s">
        <v>137</v>
      </c>
      <c r="BK35" t="s">
        <v>137</v>
      </c>
      <c r="BL35" t="s">
        <v>137</v>
      </c>
      <c r="BM35" t="s">
        <v>137</v>
      </c>
      <c r="BN35" t="s">
        <v>137</v>
      </c>
      <c r="BO35" t="s">
        <v>137</v>
      </c>
      <c r="BP35" t="s">
        <v>137</v>
      </c>
      <c r="BQ35" t="s">
        <v>137</v>
      </c>
      <c r="BR35" t="s">
        <v>137</v>
      </c>
      <c r="BS35" t="s">
        <v>137</v>
      </c>
      <c r="BT35" t="s">
        <v>137</v>
      </c>
      <c r="BU35" t="s">
        <v>137</v>
      </c>
      <c r="BV35" t="s">
        <v>137</v>
      </c>
      <c r="BW35" t="s">
        <v>137</v>
      </c>
      <c r="BX35" t="s">
        <v>137</v>
      </c>
      <c r="BY35" t="s">
        <v>137</v>
      </c>
      <c r="BZ35" t="s">
        <v>137</v>
      </c>
      <c r="CA35" t="s">
        <v>137</v>
      </c>
      <c r="CB35" t="s">
        <v>137</v>
      </c>
      <c r="CC35" t="s">
        <v>137</v>
      </c>
      <c r="CD35" t="s">
        <v>137</v>
      </c>
      <c r="CE35" t="s">
        <v>137</v>
      </c>
      <c r="CF35" t="s">
        <v>137</v>
      </c>
      <c r="CG35" t="s">
        <v>137</v>
      </c>
      <c r="CH35" t="s">
        <v>137</v>
      </c>
      <c r="CI35" t="s">
        <v>137</v>
      </c>
      <c r="CJ35" t="s">
        <v>137</v>
      </c>
      <c r="CK35" t="s">
        <v>137</v>
      </c>
      <c r="CL35" t="s">
        <v>137</v>
      </c>
      <c r="CM35" t="s">
        <v>137</v>
      </c>
      <c r="CN35" t="s">
        <v>137</v>
      </c>
      <c r="CO35" t="s">
        <v>137</v>
      </c>
      <c r="CP35" t="s">
        <v>137</v>
      </c>
      <c r="CQ35" t="s">
        <v>137</v>
      </c>
      <c r="CR35" t="s">
        <v>137</v>
      </c>
      <c r="CS35" t="s">
        <v>137</v>
      </c>
      <c r="CT35" t="s">
        <v>137</v>
      </c>
      <c r="CU35" t="s">
        <v>137</v>
      </c>
      <c r="CV35" t="s">
        <v>137</v>
      </c>
      <c r="CW35" t="s">
        <v>137</v>
      </c>
    </row>
    <row r="36" spans="1:101" x14ac:dyDescent="0.25">
      <c r="A36" t="s">
        <v>83</v>
      </c>
      <c r="B36" t="s">
        <v>137</v>
      </c>
      <c r="C36" t="s">
        <v>137</v>
      </c>
      <c r="D36" t="s">
        <v>137</v>
      </c>
      <c r="E36" t="s">
        <v>137</v>
      </c>
      <c r="F36" t="s">
        <v>137</v>
      </c>
      <c r="G36" t="s">
        <v>137</v>
      </c>
      <c r="H36" t="s">
        <v>137</v>
      </c>
      <c r="I36" t="s">
        <v>137</v>
      </c>
      <c r="J36" t="s">
        <v>137</v>
      </c>
      <c r="K36" t="s">
        <v>137</v>
      </c>
      <c r="L36" t="s">
        <v>137</v>
      </c>
      <c r="M36" t="s">
        <v>137</v>
      </c>
      <c r="N36" t="s">
        <v>137</v>
      </c>
      <c r="O36" t="s">
        <v>137</v>
      </c>
      <c r="P36" t="s">
        <v>137</v>
      </c>
      <c r="Q36" t="s">
        <v>137</v>
      </c>
      <c r="R36" t="s">
        <v>137</v>
      </c>
      <c r="S36" t="s">
        <v>137</v>
      </c>
      <c r="T36" t="s">
        <v>137</v>
      </c>
      <c r="U36" t="s">
        <v>137</v>
      </c>
      <c r="V36" t="s">
        <v>137</v>
      </c>
      <c r="W36" t="s">
        <v>137</v>
      </c>
      <c r="X36" t="s">
        <v>137</v>
      </c>
      <c r="Y36" t="s">
        <v>137</v>
      </c>
      <c r="Z36" t="s">
        <v>137</v>
      </c>
      <c r="AA36" t="s">
        <v>137</v>
      </c>
      <c r="AB36" t="s">
        <v>137</v>
      </c>
      <c r="AC36" t="s">
        <v>137</v>
      </c>
      <c r="AD36" t="s">
        <v>137</v>
      </c>
      <c r="AE36" t="s">
        <v>137</v>
      </c>
      <c r="AF36" t="s">
        <v>137</v>
      </c>
      <c r="AG36" t="s">
        <v>137</v>
      </c>
      <c r="AH36" t="s">
        <v>137</v>
      </c>
      <c r="AI36" t="s">
        <v>137</v>
      </c>
      <c r="AJ36" t="s">
        <v>137</v>
      </c>
      <c r="AK36" t="s">
        <v>137</v>
      </c>
      <c r="AL36" t="s">
        <v>137</v>
      </c>
      <c r="AM36" t="s">
        <v>137</v>
      </c>
      <c r="AN36" t="s">
        <v>137</v>
      </c>
      <c r="AO36" t="s">
        <v>137</v>
      </c>
      <c r="AP36" t="s">
        <v>137</v>
      </c>
      <c r="AQ36" t="s">
        <v>137</v>
      </c>
      <c r="AR36" t="s">
        <v>137</v>
      </c>
      <c r="AS36" t="s">
        <v>137</v>
      </c>
      <c r="AT36" t="s">
        <v>137</v>
      </c>
      <c r="AU36" t="s">
        <v>137</v>
      </c>
      <c r="AV36" t="s">
        <v>137</v>
      </c>
      <c r="AW36" t="s">
        <v>137</v>
      </c>
      <c r="AX36" t="s">
        <v>137</v>
      </c>
      <c r="AY36" t="s">
        <v>137</v>
      </c>
      <c r="AZ36" t="s">
        <v>137</v>
      </c>
      <c r="BA36" t="s">
        <v>137</v>
      </c>
      <c r="BB36" t="s">
        <v>137</v>
      </c>
      <c r="BC36" t="s">
        <v>137</v>
      </c>
      <c r="BD36" t="s">
        <v>137</v>
      </c>
      <c r="BE36" t="s">
        <v>137</v>
      </c>
      <c r="BF36" t="s">
        <v>137</v>
      </c>
      <c r="BG36" t="s">
        <v>137</v>
      </c>
      <c r="BH36" t="s">
        <v>137</v>
      </c>
      <c r="BI36" t="s">
        <v>137</v>
      </c>
      <c r="BJ36" t="s">
        <v>137</v>
      </c>
      <c r="BK36" t="s">
        <v>137</v>
      </c>
      <c r="BL36" t="s">
        <v>137</v>
      </c>
      <c r="BM36" t="s">
        <v>137</v>
      </c>
      <c r="BN36" t="s">
        <v>137</v>
      </c>
      <c r="BO36" t="s">
        <v>137</v>
      </c>
      <c r="BP36" t="s">
        <v>137</v>
      </c>
      <c r="BQ36" t="s">
        <v>137</v>
      </c>
      <c r="BR36" t="s">
        <v>137</v>
      </c>
      <c r="BS36" t="s">
        <v>137</v>
      </c>
      <c r="BT36" t="s">
        <v>137</v>
      </c>
      <c r="BU36" t="s">
        <v>137</v>
      </c>
      <c r="BV36" t="s">
        <v>137</v>
      </c>
      <c r="BW36" t="s">
        <v>137</v>
      </c>
      <c r="BX36" t="s">
        <v>137</v>
      </c>
      <c r="BY36" t="s">
        <v>137</v>
      </c>
      <c r="BZ36" t="s">
        <v>137</v>
      </c>
      <c r="CA36" t="s">
        <v>137</v>
      </c>
      <c r="CB36" t="s">
        <v>137</v>
      </c>
      <c r="CC36" t="s">
        <v>137</v>
      </c>
      <c r="CD36" t="s">
        <v>137</v>
      </c>
      <c r="CE36" t="s">
        <v>137</v>
      </c>
      <c r="CF36" t="s">
        <v>137</v>
      </c>
      <c r="CG36" t="s">
        <v>137</v>
      </c>
      <c r="CH36" t="s">
        <v>137</v>
      </c>
      <c r="CI36" t="s">
        <v>137</v>
      </c>
      <c r="CJ36" t="s">
        <v>137</v>
      </c>
      <c r="CK36" t="s">
        <v>137</v>
      </c>
      <c r="CL36" t="s">
        <v>137</v>
      </c>
      <c r="CM36" t="s">
        <v>137</v>
      </c>
      <c r="CN36" t="s">
        <v>137</v>
      </c>
      <c r="CO36" t="s">
        <v>137</v>
      </c>
      <c r="CP36" t="s">
        <v>137</v>
      </c>
      <c r="CQ36" t="s">
        <v>137</v>
      </c>
      <c r="CR36" t="s">
        <v>137</v>
      </c>
      <c r="CS36" t="s">
        <v>137</v>
      </c>
      <c r="CT36" t="s">
        <v>137</v>
      </c>
      <c r="CU36" t="s">
        <v>137</v>
      </c>
      <c r="CV36" t="s">
        <v>137</v>
      </c>
      <c r="CW36" t="s">
        <v>137</v>
      </c>
    </row>
    <row r="37" spans="1:101" x14ac:dyDescent="0.25">
      <c r="A37" t="s">
        <v>84</v>
      </c>
      <c r="B37" t="s">
        <v>137</v>
      </c>
      <c r="C37" t="s">
        <v>137</v>
      </c>
      <c r="D37" t="s">
        <v>137</v>
      </c>
      <c r="E37" t="s">
        <v>137</v>
      </c>
      <c r="F37" t="s">
        <v>137</v>
      </c>
      <c r="G37" t="s">
        <v>137</v>
      </c>
      <c r="H37" t="s">
        <v>137</v>
      </c>
      <c r="I37" t="s">
        <v>137</v>
      </c>
      <c r="J37" t="s">
        <v>137</v>
      </c>
      <c r="K37" t="s">
        <v>137</v>
      </c>
      <c r="L37" t="s">
        <v>137</v>
      </c>
      <c r="M37" t="s">
        <v>137</v>
      </c>
      <c r="N37" t="s">
        <v>137</v>
      </c>
      <c r="O37" t="s">
        <v>137</v>
      </c>
      <c r="P37" t="s">
        <v>137</v>
      </c>
      <c r="Q37" t="s">
        <v>137</v>
      </c>
      <c r="R37" t="s">
        <v>137</v>
      </c>
      <c r="S37" t="s">
        <v>137</v>
      </c>
      <c r="T37" t="s">
        <v>137</v>
      </c>
      <c r="U37" t="s">
        <v>137</v>
      </c>
      <c r="V37" t="s">
        <v>137</v>
      </c>
      <c r="W37" t="s">
        <v>137</v>
      </c>
      <c r="X37" t="s">
        <v>137</v>
      </c>
      <c r="Y37" t="s">
        <v>137</v>
      </c>
      <c r="Z37" t="s">
        <v>137</v>
      </c>
      <c r="AA37" t="s">
        <v>137</v>
      </c>
      <c r="AB37" t="s">
        <v>137</v>
      </c>
      <c r="AC37" t="s">
        <v>137</v>
      </c>
      <c r="AD37" t="s">
        <v>137</v>
      </c>
      <c r="AE37" t="s">
        <v>137</v>
      </c>
      <c r="AF37" t="s">
        <v>137</v>
      </c>
      <c r="AG37" t="s">
        <v>137</v>
      </c>
      <c r="AH37" t="s">
        <v>137</v>
      </c>
      <c r="AI37" t="s">
        <v>137</v>
      </c>
      <c r="AJ37" t="s">
        <v>137</v>
      </c>
      <c r="AK37" t="s">
        <v>137</v>
      </c>
      <c r="AL37" t="s">
        <v>137</v>
      </c>
      <c r="AM37" t="s">
        <v>137</v>
      </c>
      <c r="AN37" t="s">
        <v>137</v>
      </c>
      <c r="AO37" t="s">
        <v>137</v>
      </c>
      <c r="AP37" t="s">
        <v>137</v>
      </c>
      <c r="AQ37" t="s">
        <v>137</v>
      </c>
      <c r="AR37" t="s">
        <v>137</v>
      </c>
      <c r="AS37" t="s">
        <v>137</v>
      </c>
      <c r="AT37" t="s">
        <v>137</v>
      </c>
      <c r="AU37" t="s">
        <v>137</v>
      </c>
      <c r="AV37" t="s">
        <v>137</v>
      </c>
      <c r="AW37" t="s">
        <v>137</v>
      </c>
      <c r="AX37" t="s">
        <v>137</v>
      </c>
      <c r="AY37" t="s">
        <v>137</v>
      </c>
      <c r="AZ37" t="s">
        <v>137</v>
      </c>
      <c r="BA37" t="s">
        <v>137</v>
      </c>
      <c r="BB37" t="s">
        <v>137</v>
      </c>
      <c r="BC37" t="s">
        <v>137</v>
      </c>
      <c r="BD37" t="s">
        <v>137</v>
      </c>
      <c r="BE37" t="s">
        <v>137</v>
      </c>
      <c r="BF37" t="s">
        <v>137</v>
      </c>
      <c r="BG37" t="s">
        <v>137</v>
      </c>
      <c r="BH37" t="s">
        <v>137</v>
      </c>
      <c r="BI37" t="s">
        <v>137</v>
      </c>
      <c r="BJ37" t="s">
        <v>137</v>
      </c>
      <c r="BK37" t="s">
        <v>137</v>
      </c>
      <c r="BL37" t="s">
        <v>137</v>
      </c>
      <c r="BM37" t="s">
        <v>137</v>
      </c>
      <c r="BN37" t="s">
        <v>137</v>
      </c>
      <c r="BO37" t="s">
        <v>137</v>
      </c>
      <c r="BP37" t="s">
        <v>137</v>
      </c>
      <c r="BQ37" t="s">
        <v>137</v>
      </c>
      <c r="BR37" t="s">
        <v>137</v>
      </c>
      <c r="BS37" t="s">
        <v>137</v>
      </c>
      <c r="BT37" t="s">
        <v>137</v>
      </c>
      <c r="BU37" t="s">
        <v>137</v>
      </c>
      <c r="BV37" t="s">
        <v>137</v>
      </c>
      <c r="BW37" t="s">
        <v>137</v>
      </c>
      <c r="BX37" t="s">
        <v>137</v>
      </c>
      <c r="BY37" t="s">
        <v>137</v>
      </c>
      <c r="BZ37" t="s">
        <v>137</v>
      </c>
      <c r="CA37" t="s">
        <v>137</v>
      </c>
      <c r="CB37" t="s">
        <v>137</v>
      </c>
      <c r="CC37" t="s">
        <v>137</v>
      </c>
      <c r="CD37" t="s">
        <v>137</v>
      </c>
      <c r="CE37" t="s">
        <v>137</v>
      </c>
      <c r="CF37" t="s">
        <v>137</v>
      </c>
      <c r="CG37" t="s">
        <v>137</v>
      </c>
      <c r="CH37" t="s">
        <v>137</v>
      </c>
      <c r="CI37" t="s">
        <v>137</v>
      </c>
      <c r="CJ37" t="s">
        <v>137</v>
      </c>
      <c r="CK37" t="s">
        <v>137</v>
      </c>
      <c r="CL37" t="s">
        <v>137</v>
      </c>
      <c r="CM37" t="s">
        <v>137</v>
      </c>
      <c r="CN37" t="s">
        <v>137</v>
      </c>
      <c r="CO37" t="s">
        <v>137</v>
      </c>
      <c r="CP37" t="s">
        <v>137</v>
      </c>
      <c r="CQ37" t="s">
        <v>137</v>
      </c>
      <c r="CR37" t="s">
        <v>137</v>
      </c>
      <c r="CS37" t="s">
        <v>137</v>
      </c>
      <c r="CT37" t="s">
        <v>137</v>
      </c>
      <c r="CU37" t="s">
        <v>137</v>
      </c>
      <c r="CV37" t="s">
        <v>137</v>
      </c>
      <c r="CW37" t="s">
        <v>137</v>
      </c>
    </row>
    <row r="38" spans="1:101" x14ac:dyDescent="0.25">
      <c r="A38" t="s">
        <v>85</v>
      </c>
      <c r="B38" t="s">
        <v>137</v>
      </c>
      <c r="C38" t="s">
        <v>137</v>
      </c>
      <c r="D38" t="s">
        <v>137</v>
      </c>
      <c r="E38" t="s">
        <v>137</v>
      </c>
      <c r="F38" t="s">
        <v>137</v>
      </c>
      <c r="G38" t="s">
        <v>137</v>
      </c>
      <c r="H38" t="s">
        <v>137</v>
      </c>
      <c r="I38" t="s">
        <v>137</v>
      </c>
      <c r="J38" t="s">
        <v>137</v>
      </c>
      <c r="K38" t="s">
        <v>137</v>
      </c>
      <c r="L38" t="s">
        <v>137</v>
      </c>
      <c r="M38" t="s">
        <v>137</v>
      </c>
      <c r="N38" t="s">
        <v>137</v>
      </c>
      <c r="O38" t="s">
        <v>137</v>
      </c>
      <c r="P38" t="s">
        <v>137</v>
      </c>
      <c r="Q38" t="s">
        <v>137</v>
      </c>
      <c r="R38" t="s">
        <v>137</v>
      </c>
      <c r="S38" t="s">
        <v>137</v>
      </c>
      <c r="T38" t="s">
        <v>137</v>
      </c>
      <c r="U38" t="s">
        <v>137</v>
      </c>
      <c r="V38" t="s">
        <v>137</v>
      </c>
      <c r="W38" t="s">
        <v>137</v>
      </c>
      <c r="X38" t="s">
        <v>137</v>
      </c>
      <c r="Y38" t="s">
        <v>137</v>
      </c>
      <c r="Z38" t="s">
        <v>137</v>
      </c>
      <c r="AA38" t="s">
        <v>137</v>
      </c>
      <c r="AB38" t="s">
        <v>137</v>
      </c>
      <c r="AC38" t="s">
        <v>137</v>
      </c>
      <c r="AD38" t="s">
        <v>137</v>
      </c>
      <c r="AE38" t="s">
        <v>137</v>
      </c>
      <c r="AF38" t="s">
        <v>137</v>
      </c>
      <c r="AG38" t="s">
        <v>137</v>
      </c>
      <c r="AH38" t="s">
        <v>137</v>
      </c>
      <c r="AI38" t="s">
        <v>137</v>
      </c>
      <c r="AJ38" t="s">
        <v>137</v>
      </c>
      <c r="AK38" t="s">
        <v>137</v>
      </c>
      <c r="AL38" t="s">
        <v>137</v>
      </c>
      <c r="AM38" t="s">
        <v>137</v>
      </c>
      <c r="AN38" t="s">
        <v>137</v>
      </c>
      <c r="AO38" t="s">
        <v>137</v>
      </c>
      <c r="AP38" t="s">
        <v>137</v>
      </c>
      <c r="AQ38" t="s">
        <v>137</v>
      </c>
      <c r="AR38" t="s">
        <v>137</v>
      </c>
      <c r="AS38" t="s">
        <v>137</v>
      </c>
      <c r="AT38" t="s">
        <v>137</v>
      </c>
      <c r="AU38" t="s">
        <v>137</v>
      </c>
      <c r="AV38" t="s">
        <v>137</v>
      </c>
      <c r="AW38" t="s">
        <v>137</v>
      </c>
      <c r="AX38" t="s">
        <v>137</v>
      </c>
      <c r="AY38" t="s">
        <v>137</v>
      </c>
      <c r="AZ38" t="s">
        <v>137</v>
      </c>
      <c r="BA38" t="s">
        <v>137</v>
      </c>
      <c r="BB38" t="s">
        <v>137</v>
      </c>
      <c r="BC38" t="s">
        <v>137</v>
      </c>
      <c r="BD38" t="s">
        <v>137</v>
      </c>
      <c r="BE38" t="s">
        <v>137</v>
      </c>
      <c r="BF38" t="s">
        <v>137</v>
      </c>
      <c r="BG38" t="s">
        <v>137</v>
      </c>
      <c r="BH38" t="s">
        <v>137</v>
      </c>
      <c r="BI38" t="s">
        <v>137</v>
      </c>
      <c r="BJ38" t="s">
        <v>137</v>
      </c>
      <c r="BK38" t="s">
        <v>137</v>
      </c>
      <c r="BL38" t="s">
        <v>137</v>
      </c>
      <c r="BM38" t="s">
        <v>137</v>
      </c>
      <c r="BN38" t="s">
        <v>137</v>
      </c>
      <c r="BO38" t="s">
        <v>137</v>
      </c>
      <c r="BP38" t="s">
        <v>137</v>
      </c>
      <c r="BQ38" t="s">
        <v>137</v>
      </c>
      <c r="BR38" t="s">
        <v>137</v>
      </c>
      <c r="BS38" t="s">
        <v>137</v>
      </c>
      <c r="BT38" t="s">
        <v>137</v>
      </c>
      <c r="BU38" t="s">
        <v>137</v>
      </c>
      <c r="BV38" t="s">
        <v>137</v>
      </c>
      <c r="BW38" t="s">
        <v>137</v>
      </c>
      <c r="BX38" t="s">
        <v>137</v>
      </c>
      <c r="BY38" t="s">
        <v>137</v>
      </c>
      <c r="BZ38" t="s">
        <v>137</v>
      </c>
      <c r="CA38" t="s">
        <v>137</v>
      </c>
      <c r="CB38" t="s">
        <v>137</v>
      </c>
      <c r="CC38" t="s">
        <v>137</v>
      </c>
      <c r="CD38" t="s">
        <v>137</v>
      </c>
      <c r="CE38" t="s">
        <v>137</v>
      </c>
      <c r="CF38" t="s">
        <v>137</v>
      </c>
      <c r="CG38" t="s">
        <v>137</v>
      </c>
      <c r="CH38" t="s">
        <v>137</v>
      </c>
      <c r="CI38" t="s">
        <v>137</v>
      </c>
      <c r="CJ38" t="s">
        <v>137</v>
      </c>
      <c r="CK38" t="s">
        <v>137</v>
      </c>
      <c r="CL38" t="s">
        <v>137</v>
      </c>
      <c r="CM38" t="s">
        <v>137</v>
      </c>
      <c r="CN38" t="s">
        <v>137</v>
      </c>
      <c r="CO38" t="s">
        <v>137</v>
      </c>
      <c r="CP38" t="s">
        <v>137</v>
      </c>
      <c r="CQ38" t="s">
        <v>137</v>
      </c>
      <c r="CR38" t="s">
        <v>137</v>
      </c>
      <c r="CS38" t="s">
        <v>137</v>
      </c>
      <c r="CT38" t="s">
        <v>137</v>
      </c>
      <c r="CU38" t="s">
        <v>137</v>
      </c>
      <c r="CV38" t="s">
        <v>137</v>
      </c>
      <c r="CW38" t="s">
        <v>137</v>
      </c>
    </row>
    <row r="39" spans="1:101" x14ac:dyDescent="0.25">
      <c r="A39" t="s">
        <v>86</v>
      </c>
      <c r="B39" t="s">
        <v>137</v>
      </c>
      <c r="C39" t="s">
        <v>137</v>
      </c>
      <c r="D39" t="s">
        <v>137</v>
      </c>
      <c r="E39" t="s">
        <v>137</v>
      </c>
      <c r="F39" t="s">
        <v>137</v>
      </c>
      <c r="G39" t="s">
        <v>137</v>
      </c>
      <c r="H39" t="s">
        <v>137</v>
      </c>
      <c r="I39" t="s">
        <v>137</v>
      </c>
      <c r="J39" t="s">
        <v>137</v>
      </c>
      <c r="K39" t="s">
        <v>137</v>
      </c>
      <c r="L39" t="s">
        <v>137</v>
      </c>
      <c r="M39" t="s">
        <v>137</v>
      </c>
      <c r="N39" t="s">
        <v>137</v>
      </c>
      <c r="O39" t="s">
        <v>137</v>
      </c>
      <c r="P39" t="s">
        <v>137</v>
      </c>
      <c r="Q39" t="s">
        <v>137</v>
      </c>
      <c r="R39" t="s">
        <v>137</v>
      </c>
      <c r="S39" t="s">
        <v>137</v>
      </c>
      <c r="T39" t="s">
        <v>137</v>
      </c>
      <c r="U39" t="s">
        <v>137</v>
      </c>
      <c r="V39" t="s">
        <v>137</v>
      </c>
      <c r="W39" t="s">
        <v>137</v>
      </c>
      <c r="X39" t="s">
        <v>137</v>
      </c>
      <c r="Y39" t="s">
        <v>137</v>
      </c>
      <c r="Z39" t="s">
        <v>137</v>
      </c>
      <c r="AA39" t="s">
        <v>137</v>
      </c>
      <c r="AB39" t="s">
        <v>137</v>
      </c>
      <c r="AC39" t="s">
        <v>137</v>
      </c>
      <c r="AD39" t="s">
        <v>137</v>
      </c>
      <c r="AE39" t="s">
        <v>137</v>
      </c>
      <c r="AF39" t="s">
        <v>137</v>
      </c>
      <c r="AG39" t="s">
        <v>137</v>
      </c>
      <c r="AH39" t="s">
        <v>137</v>
      </c>
      <c r="AI39" t="s">
        <v>137</v>
      </c>
      <c r="AJ39" t="s">
        <v>137</v>
      </c>
      <c r="AK39" t="s">
        <v>137</v>
      </c>
      <c r="AL39" t="s">
        <v>137</v>
      </c>
      <c r="AM39" t="s">
        <v>137</v>
      </c>
      <c r="AN39" t="s">
        <v>137</v>
      </c>
      <c r="AO39" t="s">
        <v>137</v>
      </c>
      <c r="AP39" t="s">
        <v>137</v>
      </c>
      <c r="AQ39" t="s">
        <v>137</v>
      </c>
      <c r="AR39" t="s">
        <v>137</v>
      </c>
      <c r="AS39" t="s">
        <v>137</v>
      </c>
      <c r="AT39" t="s">
        <v>137</v>
      </c>
      <c r="AU39" t="s">
        <v>137</v>
      </c>
      <c r="AV39" t="s">
        <v>137</v>
      </c>
      <c r="AW39" t="s">
        <v>137</v>
      </c>
      <c r="AX39" t="s">
        <v>137</v>
      </c>
      <c r="AY39" t="s">
        <v>137</v>
      </c>
      <c r="AZ39" t="s">
        <v>137</v>
      </c>
      <c r="BA39" t="s">
        <v>137</v>
      </c>
      <c r="BB39" t="s">
        <v>137</v>
      </c>
      <c r="BC39" t="s">
        <v>137</v>
      </c>
      <c r="BD39" t="s">
        <v>137</v>
      </c>
      <c r="BE39" t="s">
        <v>137</v>
      </c>
      <c r="BF39" t="s">
        <v>137</v>
      </c>
      <c r="BG39" t="s">
        <v>137</v>
      </c>
      <c r="BH39" t="s">
        <v>137</v>
      </c>
      <c r="BI39" t="s">
        <v>137</v>
      </c>
      <c r="BJ39" t="s">
        <v>137</v>
      </c>
      <c r="BK39" t="s">
        <v>137</v>
      </c>
      <c r="BL39" t="s">
        <v>137</v>
      </c>
      <c r="BM39" t="s">
        <v>137</v>
      </c>
      <c r="BN39" t="s">
        <v>137</v>
      </c>
      <c r="BO39" t="s">
        <v>137</v>
      </c>
      <c r="BP39" t="s">
        <v>137</v>
      </c>
      <c r="BQ39" t="s">
        <v>137</v>
      </c>
      <c r="BR39" t="s">
        <v>137</v>
      </c>
      <c r="BS39" t="s">
        <v>137</v>
      </c>
      <c r="BT39" t="s">
        <v>137</v>
      </c>
      <c r="BU39" t="s">
        <v>137</v>
      </c>
      <c r="BV39" t="s">
        <v>137</v>
      </c>
      <c r="BW39" t="s">
        <v>137</v>
      </c>
      <c r="BX39" t="s">
        <v>137</v>
      </c>
      <c r="BY39" t="s">
        <v>137</v>
      </c>
      <c r="BZ39" t="s">
        <v>137</v>
      </c>
      <c r="CA39" t="s">
        <v>137</v>
      </c>
      <c r="CB39" t="s">
        <v>137</v>
      </c>
      <c r="CC39" t="s">
        <v>137</v>
      </c>
      <c r="CD39" t="s">
        <v>137</v>
      </c>
      <c r="CE39" t="s">
        <v>137</v>
      </c>
      <c r="CF39" t="s">
        <v>137</v>
      </c>
      <c r="CG39" t="s">
        <v>137</v>
      </c>
      <c r="CH39" t="s">
        <v>137</v>
      </c>
      <c r="CI39" t="s">
        <v>137</v>
      </c>
      <c r="CJ39" t="s">
        <v>137</v>
      </c>
      <c r="CK39" t="s">
        <v>137</v>
      </c>
      <c r="CL39" t="s">
        <v>137</v>
      </c>
      <c r="CM39" t="s">
        <v>137</v>
      </c>
      <c r="CN39" t="s">
        <v>137</v>
      </c>
      <c r="CO39" t="s">
        <v>137</v>
      </c>
      <c r="CP39" t="s">
        <v>137</v>
      </c>
      <c r="CQ39" t="s">
        <v>137</v>
      </c>
      <c r="CR39" t="s">
        <v>137</v>
      </c>
      <c r="CS39" t="s">
        <v>137</v>
      </c>
      <c r="CT39" t="s">
        <v>137</v>
      </c>
      <c r="CU39" t="s">
        <v>137</v>
      </c>
      <c r="CV39" t="s">
        <v>137</v>
      </c>
      <c r="CW39" t="s">
        <v>137</v>
      </c>
    </row>
    <row r="40" spans="1:101" x14ac:dyDescent="0.25">
      <c r="A40" t="s">
        <v>87</v>
      </c>
      <c r="B40" t="s">
        <v>137</v>
      </c>
      <c r="C40" t="s">
        <v>137</v>
      </c>
      <c r="D40" t="s">
        <v>137</v>
      </c>
      <c r="E40" t="s">
        <v>137</v>
      </c>
      <c r="F40" t="s">
        <v>137</v>
      </c>
      <c r="G40" t="s">
        <v>137</v>
      </c>
      <c r="H40" t="s">
        <v>137</v>
      </c>
      <c r="I40" t="s">
        <v>137</v>
      </c>
      <c r="J40" t="s">
        <v>137</v>
      </c>
      <c r="K40" t="s">
        <v>137</v>
      </c>
      <c r="L40" t="s">
        <v>137</v>
      </c>
      <c r="M40" t="s">
        <v>137</v>
      </c>
      <c r="N40" t="s">
        <v>137</v>
      </c>
      <c r="O40" t="s">
        <v>137</v>
      </c>
      <c r="P40" t="s">
        <v>137</v>
      </c>
      <c r="Q40" t="s">
        <v>137</v>
      </c>
      <c r="R40" t="s">
        <v>137</v>
      </c>
      <c r="S40" t="s">
        <v>137</v>
      </c>
      <c r="T40" t="s">
        <v>137</v>
      </c>
      <c r="U40" t="s">
        <v>137</v>
      </c>
      <c r="V40" t="s">
        <v>137</v>
      </c>
      <c r="W40" t="s">
        <v>137</v>
      </c>
      <c r="X40" t="s">
        <v>137</v>
      </c>
      <c r="Y40" t="s">
        <v>137</v>
      </c>
      <c r="Z40" t="s">
        <v>137</v>
      </c>
      <c r="AA40" t="s">
        <v>137</v>
      </c>
      <c r="AB40" t="s">
        <v>137</v>
      </c>
      <c r="AC40" t="s">
        <v>137</v>
      </c>
      <c r="AD40" t="s">
        <v>137</v>
      </c>
      <c r="AE40" t="s">
        <v>137</v>
      </c>
      <c r="AF40" t="s">
        <v>137</v>
      </c>
      <c r="AG40" t="s">
        <v>137</v>
      </c>
      <c r="AH40" t="s">
        <v>137</v>
      </c>
      <c r="AI40" t="s">
        <v>137</v>
      </c>
      <c r="AJ40" t="s">
        <v>137</v>
      </c>
      <c r="AK40" t="s">
        <v>137</v>
      </c>
      <c r="AL40" t="s">
        <v>137</v>
      </c>
      <c r="AM40" t="s">
        <v>137</v>
      </c>
      <c r="AN40" t="s">
        <v>137</v>
      </c>
      <c r="AO40" t="s">
        <v>137</v>
      </c>
      <c r="AP40" t="s">
        <v>137</v>
      </c>
      <c r="AQ40" t="s">
        <v>137</v>
      </c>
      <c r="AR40" t="s">
        <v>137</v>
      </c>
      <c r="AS40" t="s">
        <v>137</v>
      </c>
      <c r="AT40" t="s">
        <v>137</v>
      </c>
      <c r="AU40" t="s">
        <v>137</v>
      </c>
      <c r="AV40" t="s">
        <v>137</v>
      </c>
      <c r="AW40" t="s">
        <v>137</v>
      </c>
      <c r="AX40" t="s">
        <v>137</v>
      </c>
      <c r="AY40" t="s">
        <v>137</v>
      </c>
      <c r="AZ40" t="s">
        <v>137</v>
      </c>
      <c r="BA40" t="s">
        <v>137</v>
      </c>
      <c r="BB40" t="s">
        <v>137</v>
      </c>
      <c r="BC40" t="s">
        <v>137</v>
      </c>
      <c r="BD40" t="s">
        <v>137</v>
      </c>
      <c r="BE40" t="s">
        <v>137</v>
      </c>
      <c r="BF40" t="s">
        <v>137</v>
      </c>
      <c r="BG40" t="s">
        <v>137</v>
      </c>
      <c r="BH40" t="s">
        <v>137</v>
      </c>
      <c r="BI40" t="s">
        <v>137</v>
      </c>
      <c r="BJ40" t="s">
        <v>137</v>
      </c>
      <c r="BK40" t="s">
        <v>137</v>
      </c>
      <c r="BL40" t="s">
        <v>137</v>
      </c>
      <c r="BM40" t="s">
        <v>137</v>
      </c>
      <c r="BN40" t="s">
        <v>137</v>
      </c>
      <c r="BO40" t="s">
        <v>137</v>
      </c>
      <c r="BP40" t="s">
        <v>137</v>
      </c>
      <c r="BQ40" t="s">
        <v>137</v>
      </c>
      <c r="BR40" t="s">
        <v>137</v>
      </c>
      <c r="BS40" t="s">
        <v>137</v>
      </c>
      <c r="BT40" t="s">
        <v>137</v>
      </c>
      <c r="BU40" t="s">
        <v>137</v>
      </c>
      <c r="BV40" t="s">
        <v>137</v>
      </c>
      <c r="BW40" t="s">
        <v>137</v>
      </c>
      <c r="BX40" t="s">
        <v>137</v>
      </c>
      <c r="BY40" t="s">
        <v>137</v>
      </c>
      <c r="BZ40" t="s">
        <v>137</v>
      </c>
      <c r="CA40" t="s">
        <v>137</v>
      </c>
      <c r="CB40" t="s">
        <v>137</v>
      </c>
      <c r="CC40" t="s">
        <v>137</v>
      </c>
      <c r="CD40" t="s">
        <v>137</v>
      </c>
      <c r="CE40" t="s">
        <v>137</v>
      </c>
      <c r="CF40" t="s">
        <v>137</v>
      </c>
      <c r="CG40" t="s">
        <v>137</v>
      </c>
      <c r="CH40" t="s">
        <v>137</v>
      </c>
      <c r="CI40" t="s">
        <v>137</v>
      </c>
      <c r="CJ40" t="s">
        <v>137</v>
      </c>
      <c r="CK40" t="s">
        <v>137</v>
      </c>
      <c r="CL40" t="s">
        <v>137</v>
      </c>
      <c r="CM40" t="s">
        <v>137</v>
      </c>
      <c r="CN40" t="s">
        <v>137</v>
      </c>
      <c r="CO40" t="s">
        <v>137</v>
      </c>
      <c r="CP40" t="s">
        <v>137</v>
      </c>
      <c r="CQ40" t="s">
        <v>137</v>
      </c>
      <c r="CR40" t="s">
        <v>137</v>
      </c>
      <c r="CS40" t="s">
        <v>137</v>
      </c>
      <c r="CT40" t="s">
        <v>137</v>
      </c>
      <c r="CU40" t="s">
        <v>137</v>
      </c>
      <c r="CV40" t="s">
        <v>137</v>
      </c>
      <c r="CW40" t="s">
        <v>137</v>
      </c>
    </row>
    <row r="41" spans="1:101" x14ac:dyDescent="0.25">
      <c r="A41" t="s">
        <v>89</v>
      </c>
      <c r="B41" t="s">
        <v>137</v>
      </c>
      <c r="C41" t="s">
        <v>137</v>
      </c>
      <c r="D41" t="s">
        <v>137</v>
      </c>
      <c r="E41" t="s">
        <v>137</v>
      </c>
      <c r="F41" t="s">
        <v>137</v>
      </c>
      <c r="G41" t="s">
        <v>137</v>
      </c>
      <c r="H41" t="s">
        <v>137</v>
      </c>
      <c r="I41" t="s">
        <v>137</v>
      </c>
      <c r="J41" t="s">
        <v>137</v>
      </c>
      <c r="K41" t="s">
        <v>137</v>
      </c>
      <c r="L41" t="s">
        <v>137</v>
      </c>
      <c r="M41" t="s">
        <v>137</v>
      </c>
      <c r="N41" t="s">
        <v>137</v>
      </c>
      <c r="O41" t="s">
        <v>137</v>
      </c>
      <c r="P41" t="s">
        <v>137</v>
      </c>
      <c r="Q41" t="s">
        <v>137</v>
      </c>
      <c r="R41" t="s">
        <v>137</v>
      </c>
      <c r="S41" t="s">
        <v>137</v>
      </c>
      <c r="T41" t="s">
        <v>137</v>
      </c>
      <c r="U41" t="s">
        <v>137</v>
      </c>
      <c r="V41" t="s">
        <v>137</v>
      </c>
      <c r="W41" t="s">
        <v>137</v>
      </c>
      <c r="X41" t="s">
        <v>137</v>
      </c>
      <c r="Y41" t="s">
        <v>137</v>
      </c>
      <c r="Z41" t="s">
        <v>137</v>
      </c>
      <c r="AA41" t="s">
        <v>137</v>
      </c>
      <c r="AB41" t="s">
        <v>137</v>
      </c>
      <c r="AC41" t="s">
        <v>137</v>
      </c>
      <c r="AD41" t="s">
        <v>137</v>
      </c>
      <c r="AE41" t="s">
        <v>137</v>
      </c>
      <c r="AF41" t="s">
        <v>137</v>
      </c>
      <c r="AG41" t="s">
        <v>137</v>
      </c>
      <c r="AH41" t="s">
        <v>137</v>
      </c>
      <c r="AI41" t="s">
        <v>137</v>
      </c>
      <c r="AJ41" t="s">
        <v>137</v>
      </c>
      <c r="AK41" t="s">
        <v>137</v>
      </c>
      <c r="AL41" t="s">
        <v>137</v>
      </c>
      <c r="AM41" t="s">
        <v>137</v>
      </c>
      <c r="AN41" t="s">
        <v>137</v>
      </c>
      <c r="AO41" t="s">
        <v>137</v>
      </c>
      <c r="AP41" t="s">
        <v>137</v>
      </c>
      <c r="AQ41" t="s">
        <v>137</v>
      </c>
      <c r="AR41" t="s">
        <v>137</v>
      </c>
      <c r="AS41" t="s">
        <v>137</v>
      </c>
      <c r="AT41" t="s">
        <v>137</v>
      </c>
      <c r="AU41" t="s">
        <v>137</v>
      </c>
      <c r="AV41" t="s">
        <v>137</v>
      </c>
      <c r="AW41" t="s">
        <v>137</v>
      </c>
      <c r="AX41" t="s">
        <v>137</v>
      </c>
      <c r="AY41" t="s">
        <v>137</v>
      </c>
      <c r="AZ41" t="s">
        <v>137</v>
      </c>
      <c r="BA41" t="s">
        <v>137</v>
      </c>
      <c r="BB41" t="s">
        <v>137</v>
      </c>
      <c r="BC41" t="s">
        <v>137</v>
      </c>
      <c r="BD41" t="s">
        <v>137</v>
      </c>
      <c r="BE41" t="s">
        <v>137</v>
      </c>
      <c r="BF41" t="s">
        <v>137</v>
      </c>
      <c r="BG41" t="s">
        <v>137</v>
      </c>
      <c r="BH41" t="s">
        <v>137</v>
      </c>
      <c r="BI41" t="s">
        <v>137</v>
      </c>
      <c r="BJ41" t="s">
        <v>137</v>
      </c>
      <c r="BK41" t="s">
        <v>137</v>
      </c>
      <c r="BL41" t="s">
        <v>137</v>
      </c>
      <c r="BM41" t="s">
        <v>137</v>
      </c>
      <c r="BN41" t="s">
        <v>137</v>
      </c>
      <c r="BO41" t="s">
        <v>137</v>
      </c>
      <c r="BP41" t="s">
        <v>137</v>
      </c>
      <c r="BQ41" t="s">
        <v>137</v>
      </c>
      <c r="BR41" t="s">
        <v>137</v>
      </c>
      <c r="BS41" t="s">
        <v>137</v>
      </c>
      <c r="BT41" t="s">
        <v>137</v>
      </c>
      <c r="BU41" t="s">
        <v>137</v>
      </c>
      <c r="BV41" t="s">
        <v>137</v>
      </c>
      <c r="BW41" t="s">
        <v>137</v>
      </c>
      <c r="BX41" t="s">
        <v>137</v>
      </c>
      <c r="BY41" t="s">
        <v>137</v>
      </c>
      <c r="BZ41" t="s">
        <v>137</v>
      </c>
      <c r="CA41" t="s">
        <v>137</v>
      </c>
      <c r="CB41" t="s">
        <v>137</v>
      </c>
      <c r="CC41" t="s">
        <v>137</v>
      </c>
      <c r="CD41" t="s">
        <v>137</v>
      </c>
      <c r="CE41" t="s">
        <v>137</v>
      </c>
      <c r="CF41" t="s">
        <v>137</v>
      </c>
      <c r="CG41" t="s">
        <v>137</v>
      </c>
      <c r="CH41" t="s">
        <v>137</v>
      </c>
      <c r="CI41" t="s">
        <v>137</v>
      </c>
      <c r="CJ41" t="s">
        <v>137</v>
      </c>
      <c r="CK41" t="s">
        <v>137</v>
      </c>
      <c r="CL41" t="s">
        <v>137</v>
      </c>
      <c r="CM41" t="s">
        <v>137</v>
      </c>
      <c r="CN41" t="s">
        <v>137</v>
      </c>
      <c r="CO41" t="s">
        <v>137</v>
      </c>
      <c r="CP41" t="s">
        <v>137</v>
      </c>
      <c r="CQ41" t="s">
        <v>137</v>
      </c>
      <c r="CR41" t="s">
        <v>137</v>
      </c>
      <c r="CS41" t="s">
        <v>137</v>
      </c>
      <c r="CT41" t="s">
        <v>137</v>
      </c>
      <c r="CU41" t="s">
        <v>137</v>
      </c>
      <c r="CV41" t="s">
        <v>137</v>
      </c>
      <c r="CW41" t="s">
        <v>137</v>
      </c>
    </row>
    <row r="42" spans="1:101" x14ac:dyDescent="0.25">
      <c r="A42" t="s">
        <v>90</v>
      </c>
      <c r="B42" t="s">
        <v>137</v>
      </c>
      <c r="C42" t="s">
        <v>137</v>
      </c>
      <c r="D42" t="s">
        <v>137</v>
      </c>
      <c r="E42" t="s">
        <v>137</v>
      </c>
      <c r="F42" t="s">
        <v>137</v>
      </c>
      <c r="G42" t="s">
        <v>137</v>
      </c>
      <c r="H42" t="s">
        <v>137</v>
      </c>
      <c r="I42" t="s">
        <v>137</v>
      </c>
      <c r="J42" t="s">
        <v>137</v>
      </c>
      <c r="K42" t="s">
        <v>137</v>
      </c>
      <c r="L42" t="s">
        <v>137</v>
      </c>
      <c r="M42" t="s">
        <v>137</v>
      </c>
      <c r="N42" t="s">
        <v>137</v>
      </c>
      <c r="O42" t="s">
        <v>137</v>
      </c>
      <c r="P42" t="s">
        <v>137</v>
      </c>
      <c r="Q42" t="s">
        <v>137</v>
      </c>
      <c r="R42" t="s">
        <v>137</v>
      </c>
      <c r="S42" t="s">
        <v>137</v>
      </c>
      <c r="T42" t="s">
        <v>137</v>
      </c>
      <c r="U42" t="s">
        <v>137</v>
      </c>
      <c r="V42" t="s">
        <v>137</v>
      </c>
      <c r="W42" t="s">
        <v>137</v>
      </c>
      <c r="X42" t="s">
        <v>137</v>
      </c>
      <c r="Y42" t="s">
        <v>137</v>
      </c>
      <c r="Z42" t="s">
        <v>137</v>
      </c>
      <c r="AA42" t="s">
        <v>137</v>
      </c>
      <c r="AB42" t="s">
        <v>137</v>
      </c>
      <c r="AC42" t="s">
        <v>137</v>
      </c>
      <c r="AD42" t="s">
        <v>137</v>
      </c>
      <c r="AE42" t="s">
        <v>137</v>
      </c>
      <c r="AF42" t="s">
        <v>137</v>
      </c>
      <c r="AG42" t="s">
        <v>137</v>
      </c>
      <c r="AH42" t="s">
        <v>137</v>
      </c>
      <c r="AI42" t="s">
        <v>137</v>
      </c>
      <c r="AJ42" t="s">
        <v>137</v>
      </c>
      <c r="AK42" t="s">
        <v>137</v>
      </c>
      <c r="AL42" t="s">
        <v>137</v>
      </c>
      <c r="AM42" t="s">
        <v>137</v>
      </c>
      <c r="AN42" t="s">
        <v>137</v>
      </c>
      <c r="AO42" t="s">
        <v>137</v>
      </c>
      <c r="AP42" t="s">
        <v>137</v>
      </c>
      <c r="AQ42" t="s">
        <v>137</v>
      </c>
      <c r="AR42" t="s">
        <v>137</v>
      </c>
      <c r="AS42" t="s">
        <v>137</v>
      </c>
      <c r="AT42" t="s">
        <v>137</v>
      </c>
      <c r="AU42" t="s">
        <v>137</v>
      </c>
      <c r="AV42" t="s">
        <v>137</v>
      </c>
      <c r="AW42" t="s">
        <v>137</v>
      </c>
      <c r="AX42" t="s">
        <v>137</v>
      </c>
      <c r="AY42" t="s">
        <v>137</v>
      </c>
      <c r="AZ42" t="s">
        <v>137</v>
      </c>
      <c r="BA42" t="s">
        <v>137</v>
      </c>
      <c r="BB42" t="s">
        <v>137</v>
      </c>
      <c r="BC42" t="s">
        <v>137</v>
      </c>
      <c r="BD42" t="s">
        <v>137</v>
      </c>
      <c r="BE42" t="s">
        <v>137</v>
      </c>
      <c r="BF42" t="s">
        <v>137</v>
      </c>
      <c r="BG42" t="s">
        <v>137</v>
      </c>
      <c r="BH42" t="s">
        <v>137</v>
      </c>
      <c r="BI42" t="s">
        <v>137</v>
      </c>
      <c r="BJ42" t="s">
        <v>137</v>
      </c>
      <c r="BK42" t="s">
        <v>137</v>
      </c>
      <c r="BL42" t="s">
        <v>137</v>
      </c>
      <c r="BM42" t="s">
        <v>137</v>
      </c>
      <c r="BN42" t="s">
        <v>137</v>
      </c>
      <c r="BO42" t="s">
        <v>137</v>
      </c>
      <c r="BP42" t="s">
        <v>137</v>
      </c>
      <c r="BQ42" t="s">
        <v>137</v>
      </c>
      <c r="BR42" t="s">
        <v>137</v>
      </c>
      <c r="BS42" t="s">
        <v>137</v>
      </c>
      <c r="BT42" t="s">
        <v>137</v>
      </c>
      <c r="BU42" t="s">
        <v>137</v>
      </c>
      <c r="BV42" t="s">
        <v>137</v>
      </c>
      <c r="BW42" t="s">
        <v>137</v>
      </c>
      <c r="BX42" t="s">
        <v>137</v>
      </c>
      <c r="BY42" t="s">
        <v>137</v>
      </c>
      <c r="BZ42" t="s">
        <v>137</v>
      </c>
      <c r="CA42" t="s">
        <v>137</v>
      </c>
      <c r="CB42" t="s">
        <v>137</v>
      </c>
      <c r="CC42" t="s">
        <v>137</v>
      </c>
      <c r="CD42" t="s">
        <v>137</v>
      </c>
      <c r="CE42" t="s">
        <v>137</v>
      </c>
      <c r="CF42" t="s">
        <v>137</v>
      </c>
      <c r="CG42" t="s">
        <v>137</v>
      </c>
      <c r="CH42" t="s">
        <v>137</v>
      </c>
      <c r="CI42" t="s">
        <v>137</v>
      </c>
      <c r="CJ42" t="s">
        <v>137</v>
      </c>
      <c r="CK42" t="s">
        <v>137</v>
      </c>
      <c r="CL42" t="s">
        <v>137</v>
      </c>
      <c r="CM42" t="s">
        <v>137</v>
      </c>
      <c r="CN42" t="s">
        <v>137</v>
      </c>
      <c r="CO42" t="s">
        <v>137</v>
      </c>
      <c r="CP42" t="s">
        <v>137</v>
      </c>
      <c r="CQ42" t="s">
        <v>137</v>
      </c>
      <c r="CR42" t="s">
        <v>137</v>
      </c>
      <c r="CS42" t="s">
        <v>137</v>
      </c>
      <c r="CT42" t="s">
        <v>137</v>
      </c>
      <c r="CU42" t="s">
        <v>137</v>
      </c>
      <c r="CV42" t="s">
        <v>137</v>
      </c>
      <c r="CW42" t="s">
        <v>137</v>
      </c>
    </row>
    <row r="43" spans="1:101" x14ac:dyDescent="0.25">
      <c r="A43" t="s">
        <v>91</v>
      </c>
      <c r="B43" t="s">
        <v>137</v>
      </c>
      <c r="C43" t="s">
        <v>137</v>
      </c>
      <c r="D43" t="s">
        <v>137</v>
      </c>
      <c r="E43" t="s">
        <v>137</v>
      </c>
      <c r="F43" t="s">
        <v>137</v>
      </c>
      <c r="G43" t="s">
        <v>137</v>
      </c>
      <c r="H43" t="s">
        <v>137</v>
      </c>
      <c r="I43" t="s">
        <v>137</v>
      </c>
      <c r="J43" t="s">
        <v>137</v>
      </c>
      <c r="K43" t="s">
        <v>137</v>
      </c>
      <c r="L43" t="s">
        <v>137</v>
      </c>
      <c r="M43" t="s">
        <v>137</v>
      </c>
      <c r="N43" t="s">
        <v>137</v>
      </c>
      <c r="O43" t="s">
        <v>137</v>
      </c>
      <c r="P43" t="s">
        <v>137</v>
      </c>
      <c r="Q43" t="s">
        <v>137</v>
      </c>
      <c r="R43" t="s">
        <v>137</v>
      </c>
      <c r="S43" t="s">
        <v>137</v>
      </c>
      <c r="T43" t="s">
        <v>137</v>
      </c>
      <c r="U43" t="s">
        <v>137</v>
      </c>
      <c r="V43" t="s">
        <v>137</v>
      </c>
      <c r="W43" t="s">
        <v>137</v>
      </c>
      <c r="X43" t="s">
        <v>137</v>
      </c>
      <c r="Y43" t="s">
        <v>137</v>
      </c>
      <c r="Z43" t="s">
        <v>137</v>
      </c>
      <c r="AA43" t="s">
        <v>137</v>
      </c>
      <c r="AB43" t="s">
        <v>137</v>
      </c>
      <c r="AC43" t="s">
        <v>137</v>
      </c>
      <c r="AD43" t="s">
        <v>137</v>
      </c>
      <c r="AE43" t="s">
        <v>137</v>
      </c>
      <c r="AF43" t="s">
        <v>137</v>
      </c>
      <c r="AG43" t="s">
        <v>137</v>
      </c>
      <c r="AH43" t="s">
        <v>137</v>
      </c>
      <c r="AI43" t="s">
        <v>137</v>
      </c>
      <c r="AJ43" t="s">
        <v>137</v>
      </c>
      <c r="AK43" t="s">
        <v>137</v>
      </c>
      <c r="AL43" t="s">
        <v>137</v>
      </c>
      <c r="AM43" t="s">
        <v>137</v>
      </c>
      <c r="AN43" t="s">
        <v>137</v>
      </c>
      <c r="AO43" t="s">
        <v>137</v>
      </c>
      <c r="AP43" t="s">
        <v>137</v>
      </c>
      <c r="AQ43" t="s">
        <v>137</v>
      </c>
      <c r="AR43" t="s">
        <v>137</v>
      </c>
      <c r="AS43" t="s">
        <v>137</v>
      </c>
      <c r="AT43" t="s">
        <v>137</v>
      </c>
      <c r="AU43" t="s">
        <v>137</v>
      </c>
      <c r="AV43" t="s">
        <v>137</v>
      </c>
      <c r="AW43" t="s">
        <v>137</v>
      </c>
      <c r="AX43" t="s">
        <v>137</v>
      </c>
      <c r="AY43" t="s">
        <v>137</v>
      </c>
      <c r="AZ43" t="s">
        <v>137</v>
      </c>
      <c r="BA43" t="s">
        <v>137</v>
      </c>
      <c r="BB43" t="s">
        <v>137</v>
      </c>
      <c r="BC43" t="s">
        <v>137</v>
      </c>
      <c r="BD43" t="s">
        <v>137</v>
      </c>
      <c r="BE43" t="s">
        <v>137</v>
      </c>
      <c r="BF43" t="s">
        <v>137</v>
      </c>
      <c r="BG43" t="s">
        <v>137</v>
      </c>
      <c r="BH43" t="s">
        <v>137</v>
      </c>
      <c r="BI43" t="s">
        <v>137</v>
      </c>
      <c r="BJ43" t="s">
        <v>137</v>
      </c>
      <c r="BK43" t="s">
        <v>137</v>
      </c>
      <c r="BL43" t="s">
        <v>137</v>
      </c>
      <c r="BM43" t="s">
        <v>137</v>
      </c>
      <c r="BN43" t="s">
        <v>137</v>
      </c>
      <c r="BO43" t="s">
        <v>137</v>
      </c>
      <c r="BP43" t="s">
        <v>137</v>
      </c>
      <c r="BQ43" t="s">
        <v>137</v>
      </c>
      <c r="BR43" t="s">
        <v>137</v>
      </c>
      <c r="BS43" t="s">
        <v>137</v>
      </c>
      <c r="BT43" t="s">
        <v>137</v>
      </c>
      <c r="BU43" t="s">
        <v>137</v>
      </c>
      <c r="BV43" t="s">
        <v>137</v>
      </c>
      <c r="BW43" t="s">
        <v>137</v>
      </c>
      <c r="BX43" t="s">
        <v>137</v>
      </c>
      <c r="BY43" t="s">
        <v>137</v>
      </c>
      <c r="BZ43" t="s">
        <v>137</v>
      </c>
      <c r="CA43" t="s">
        <v>137</v>
      </c>
      <c r="CB43" t="s">
        <v>137</v>
      </c>
      <c r="CC43" t="s">
        <v>137</v>
      </c>
      <c r="CD43" t="s">
        <v>137</v>
      </c>
      <c r="CE43" t="s">
        <v>137</v>
      </c>
      <c r="CF43" t="s">
        <v>137</v>
      </c>
      <c r="CG43" t="s">
        <v>137</v>
      </c>
      <c r="CH43" t="s">
        <v>137</v>
      </c>
      <c r="CI43" t="s">
        <v>137</v>
      </c>
      <c r="CJ43" t="s">
        <v>137</v>
      </c>
      <c r="CK43" t="s">
        <v>137</v>
      </c>
      <c r="CL43" t="s">
        <v>137</v>
      </c>
      <c r="CM43" t="s">
        <v>137</v>
      </c>
      <c r="CN43" t="s">
        <v>137</v>
      </c>
      <c r="CO43" t="s">
        <v>137</v>
      </c>
      <c r="CP43" t="s">
        <v>137</v>
      </c>
      <c r="CQ43" t="s">
        <v>137</v>
      </c>
      <c r="CR43" t="s">
        <v>137</v>
      </c>
      <c r="CS43" t="s">
        <v>137</v>
      </c>
      <c r="CT43" t="s">
        <v>137</v>
      </c>
      <c r="CU43" t="s">
        <v>137</v>
      </c>
      <c r="CV43" t="s">
        <v>137</v>
      </c>
      <c r="CW43" t="s">
        <v>137</v>
      </c>
    </row>
    <row r="44" spans="1:101" x14ac:dyDescent="0.25">
      <c r="A44" t="s">
        <v>92</v>
      </c>
      <c r="B44" t="s">
        <v>137</v>
      </c>
      <c r="C44" t="s">
        <v>137</v>
      </c>
      <c r="D44" t="s">
        <v>137</v>
      </c>
      <c r="E44" t="s">
        <v>137</v>
      </c>
      <c r="F44" t="s">
        <v>137</v>
      </c>
      <c r="G44" t="s">
        <v>137</v>
      </c>
      <c r="H44" t="s">
        <v>137</v>
      </c>
      <c r="I44" t="s">
        <v>137</v>
      </c>
      <c r="J44" t="s">
        <v>137</v>
      </c>
      <c r="K44" t="s">
        <v>137</v>
      </c>
      <c r="L44" t="s">
        <v>137</v>
      </c>
      <c r="M44" t="s">
        <v>137</v>
      </c>
      <c r="N44" t="s">
        <v>137</v>
      </c>
      <c r="O44" t="s">
        <v>137</v>
      </c>
      <c r="P44" t="s">
        <v>137</v>
      </c>
      <c r="Q44" t="s">
        <v>137</v>
      </c>
      <c r="R44" t="s">
        <v>137</v>
      </c>
      <c r="S44" t="s">
        <v>137</v>
      </c>
      <c r="T44" t="s">
        <v>137</v>
      </c>
      <c r="U44" t="s">
        <v>137</v>
      </c>
      <c r="V44" t="s">
        <v>137</v>
      </c>
      <c r="W44" t="s">
        <v>137</v>
      </c>
      <c r="X44" t="s">
        <v>137</v>
      </c>
      <c r="Y44" t="s">
        <v>137</v>
      </c>
      <c r="Z44" t="s">
        <v>137</v>
      </c>
      <c r="AA44" t="s">
        <v>137</v>
      </c>
      <c r="AB44" t="s">
        <v>137</v>
      </c>
      <c r="AC44" t="s">
        <v>137</v>
      </c>
      <c r="AD44" t="s">
        <v>137</v>
      </c>
      <c r="AE44" t="s">
        <v>137</v>
      </c>
      <c r="AF44" t="s">
        <v>137</v>
      </c>
      <c r="AG44" t="s">
        <v>137</v>
      </c>
      <c r="AH44" t="s">
        <v>137</v>
      </c>
      <c r="AI44" t="s">
        <v>137</v>
      </c>
      <c r="AJ44" t="s">
        <v>137</v>
      </c>
      <c r="AK44" t="s">
        <v>137</v>
      </c>
      <c r="AL44" t="s">
        <v>137</v>
      </c>
      <c r="AM44" t="s">
        <v>137</v>
      </c>
      <c r="AN44" t="s">
        <v>137</v>
      </c>
      <c r="AO44" t="s">
        <v>137</v>
      </c>
      <c r="AP44" t="s">
        <v>137</v>
      </c>
      <c r="AQ44" t="s">
        <v>137</v>
      </c>
      <c r="AR44" t="s">
        <v>137</v>
      </c>
      <c r="AS44" t="s">
        <v>137</v>
      </c>
      <c r="AT44" t="s">
        <v>137</v>
      </c>
      <c r="AU44" t="s">
        <v>137</v>
      </c>
      <c r="AV44" t="s">
        <v>137</v>
      </c>
      <c r="AW44" t="s">
        <v>137</v>
      </c>
      <c r="AX44" t="s">
        <v>137</v>
      </c>
      <c r="AY44" t="s">
        <v>137</v>
      </c>
      <c r="AZ44" t="s">
        <v>137</v>
      </c>
      <c r="BA44" t="s">
        <v>137</v>
      </c>
      <c r="BB44" t="s">
        <v>137</v>
      </c>
      <c r="BC44" t="s">
        <v>137</v>
      </c>
      <c r="BD44" t="s">
        <v>137</v>
      </c>
      <c r="BE44" t="s">
        <v>137</v>
      </c>
      <c r="BF44" t="s">
        <v>137</v>
      </c>
      <c r="BG44" t="s">
        <v>137</v>
      </c>
      <c r="BH44" t="s">
        <v>137</v>
      </c>
      <c r="BI44" t="s">
        <v>137</v>
      </c>
      <c r="BJ44" t="s">
        <v>137</v>
      </c>
      <c r="BK44" t="s">
        <v>137</v>
      </c>
      <c r="BL44" t="s">
        <v>137</v>
      </c>
      <c r="BM44" t="s">
        <v>137</v>
      </c>
      <c r="BN44" t="s">
        <v>137</v>
      </c>
      <c r="BO44" t="s">
        <v>137</v>
      </c>
      <c r="BP44" t="s">
        <v>137</v>
      </c>
      <c r="BQ44" t="s">
        <v>137</v>
      </c>
      <c r="BR44" t="s">
        <v>137</v>
      </c>
      <c r="BS44" t="s">
        <v>137</v>
      </c>
      <c r="BT44" t="s">
        <v>137</v>
      </c>
      <c r="BU44" t="s">
        <v>137</v>
      </c>
      <c r="BV44" t="s">
        <v>137</v>
      </c>
      <c r="BW44" t="s">
        <v>137</v>
      </c>
      <c r="BX44" t="s">
        <v>137</v>
      </c>
      <c r="BY44" t="s">
        <v>137</v>
      </c>
      <c r="BZ44" t="s">
        <v>137</v>
      </c>
      <c r="CA44" t="s">
        <v>137</v>
      </c>
      <c r="CB44" t="s">
        <v>137</v>
      </c>
      <c r="CC44" t="s">
        <v>137</v>
      </c>
      <c r="CD44" t="s">
        <v>137</v>
      </c>
      <c r="CE44" t="s">
        <v>137</v>
      </c>
      <c r="CF44" t="s">
        <v>137</v>
      </c>
      <c r="CG44" t="s">
        <v>137</v>
      </c>
      <c r="CH44" t="s">
        <v>137</v>
      </c>
      <c r="CI44" t="s">
        <v>137</v>
      </c>
      <c r="CJ44" t="s">
        <v>137</v>
      </c>
      <c r="CK44" t="s">
        <v>137</v>
      </c>
      <c r="CL44" t="s">
        <v>137</v>
      </c>
      <c r="CM44" t="s">
        <v>137</v>
      </c>
      <c r="CN44" t="s">
        <v>137</v>
      </c>
      <c r="CO44" t="s">
        <v>137</v>
      </c>
      <c r="CP44" t="s">
        <v>137</v>
      </c>
      <c r="CQ44" t="s">
        <v>137</v>
      </c>
      <c r="CR44" t="s">
        <v>137</v>
      </c>
      <c r="CS44" t="s">
        <v>137</v>
      </c>
      <c r="CT44" t="s">
        <v>137</v>
      </c>
      <c r="CU44" t="s">
        <v>137</v>
      </c>
      <c r="CV44" t="s">
        <v>137</v>
      </c>
      <c r="CW44" t="s">
        <v>137</v>
      </c>
    </row>
    <row r="45" spans="1:101" x14ac:dyDescent="0.25">
      <c r="A45" t="s">
        <v>93</v>
      </c>
      <c r="B45" t="s">
        <v>137</v>
      </c>
      <c r="C45" t="s">
        <v>137</v>
      </c>
      <c r="D45" t="s">
        <v>137</v>
      </c>
      <c r="E45" t="s">
        <v>137</v>
      </c>
      <c r="F45" t="s">
        <v>137</v>
      </c>
      <c r="G45" t="s">
        <v>137</v>
      </c>
      <c r="H45" t="s">
        <v>137</v>
      </c>
      <c r="I45" t="s">
        <v>137</v>
      </c>
      <c r="J45" t="s">
        <v>137</v>
      </c>
      <c r="K45" t="s">
        <v>137</v>
      </c>
      <c r="L45" t="s">
        <v>137</v>
      </c>
      <c r="M45" t="s">
        <v>137</v>
      </c>
      <c r="N45" t="s">
        <v>137</v>
      </c>
      <c r="O45" t="s">
        <v>137</v>
      </c>
      <c r="P45" t="s">
        <v>137</v>
      </c>
      <c r="Q45" t="s">
        <v>137</v>
      </c>
      <c r="R45" t="s">
        <v>137</v>
      </c>
      <c r="S45" t="s">
        <v>137</v>
      </c>
      <c r="T45" t="s">
        <v>137</v>
      </c>
      <c r="U45" t="s">
        <v>137</v>
      </c>
      <c r="V45" t="s">
        <v>137</v>
      </c>
      <c r="W45" t="s">
        <v>137</v>
      </c>
      <c r="X45" t="s">
        <v>137</v>
      </c>
      <c r="Y45" t="s">
        <v>137</v>
      </c>
      <c r="Z45" t="s">
        <v>137</v>
      </c>
      <c r="AA45" t="s">
        <v>137</v>
      </c>
      <c r="AB45" t="s">
        <v>137</v>
      </c>
      <c r="AC45" t="s">
        <v>137</v>
      </c>
      <c r="AD45" t="s">
        <v>137</v>
      </c>
      <c r="AE45" t="s">
        <v>137</v>
      </c>
      <c r="AF45" t="s">
        <v>137</v>
      </c>
      <c r="AG45" t="s">
        <v>137</v>
      </c>
      <c r="AH45" t="s">
        <v>137</v>
      </c>
      <c r="AI45" t="s">
        <v>137</v>
      </c>
      <c r="AJ45" t="s">
        <v>137</v>
      </c>
      <c r="AK45" t="s">
        <v>137</v>
      </c>
      <c r="AL45" t="s">
        <v>137</v>
      </c>
      <c r="AM45" t="s">
        <v>137</v>
      </c>
      <c r="AN45" t="s">
        <v>137</v>
      </c>
      <c r="AO45" t="s">
        <v>137</v>
      </c>
      <c r="AP45" t="s">
        <v>137</v>
      </c>
      <c r="AQ45" t="s">
        <v>137</v>
      </c>
      <c r="AR45" t="s">
        <v>137</v>
      </c>
      <c r="AS45" t="s">
        <v>137</v>
      </c>
      <c r="AT45" t="s">
        <v>137</v>
      </c>
      <c r="AU45" t="s">
        <v>137</v>
      </c>
      <c r="AV45" t="s">
        <v>137</v>
      </c>
      <c r="AW45" t="s">
        <v>137</v>
      </c>
      <c r="AX45" t="s">
        <v>137</v>
      </c>
      <c r="AY45" t="s">
        <v>137</v>
      </c>
      <c r="AZ45" t="s">
        <v>137</v>
      </c>
      <c r="BA45" t="s">
        <v>137</v>
      </c>
      <c r="BB45" t="s">
        <v>137</v>
      </c>
      <c r="BC45" t="s">
        <v>137</v>
      </c>
      <c r="BD45" t="s">
        <v>137</v>
      </c>
      <c r="BE45" t="s">
        <v>137</v>
      </c>
      <c r="BF45" t="s">
        <v>137</v>
      </c>
      <c r="BG45" t="s">
        <v>137</v>
      </c>
      <c r="BH45" t="s">
        <v>137</v>
      </c>
      <c r="BI45" t="s">
        <v>137</v>
      </c>
      <c r="BJ45" t="s">
        <v>137</v>
      </c>
      <c r="BK45" t="s">
        <v>137</v>
      </c>
      <c r="BL45" t="s">
        <v>137</v>
      </c>
      <c r="BM45" t="s">
        <v>137</v>
      </c>
      <c r="BN45" t="s">
        <v>137</v>
      </c>
      <c r="BO45" t="s">
        <v>137</v>
      </c>
      <c r="BP45" t="s">
        <v>137</v>
      </c>
      <c r="BQ45" t="s">
        <v>137</v>
      </c>
      <c r="BR45" t="s">
        <v>137</v>
      </c>
      <c r="BS45" t="s">
        <v>137</v>
      </c>
      <c r="BT45" t="s">
        <v>137</v>
      </c>
      <c r="BU45" t="s">
        <v>137</v>
      </c>
      <c r="BV45" t="s">
        <v>137</v>
      </c>
      <c r="BW45" t="s">
        <v>137</v>
      </c>
      <c r="BX45" t="s">
        <v>137</v>
      </c>
      <c r="BY45" t="s">
        <v>137</v>
      </c>
      <c r="BZ45" t="s">
        <v>137</v>
      </c>
      <c r="CA45" t="s">
        <v>137</v>
      </c>
      <c r="CB45" t="s">
        <v>137</v>
      </c>
      <c r="CC45" t="s">
        <v>137</v>
      </c>
      <c r="CD45" t="s">
        <v>137</v>
      </c>
      <c r="CE45" t="s">
        <v>137</v>
      </c>
      <c r="CF45" t="s">
        <v>137</v>
      </c>
      <c r="CG45" t="s">
        <v>137</v>
      </c>
      <c r="CH45" t="s">
        <v>137</v>
      </c>
      <c r="CI45" t="s">
        <v>137</v>
      </c>
      <c r="CJ45" t="s">
        <v>137</v>
      </c>
      <c r="CK45" t="s">
        <v>137</v>
      </c>
      <c r="CL45" t="s">
        <v>137</v>
      </c>
      <c r="CM45" t="s">
        <v>137</v>
      </c>
      <c r="CN45" t="s">
        <v>137</v>
      </c>
      <c r="CO45" t="s">
        <v>137</v>
      </c>
      <c r="CP45" t="s">
        <v>137</v>
      </c>
      <c r="CQ45" t="s">
        <v>137</v>
      </c>
      <c r="CR45" t="s">
        <v>137</v>
      </c>
      <c r="CS45" t="s">
        <v>137</v>
      </c>
      <c r="CT45" t="s">
        <v>137</v>
      </c>
      <c r="CU45" t="s">
        <v>137</v>
      </c>
      <c r="CV45" t="s">
        <v>137</v>
      </c>
      <c r="CW45" t="s">
        <v>137</v>
      </c>
    </row>
    <row r="46" spans="1:101" x14ac:dyDescent="0.25">
      <c r="A46" t="s">
        <v>94</v>
      </c>
      <c r="B46" t="s">
        <v>137</v>
      </c>
      <c r="C46" t="s">
        <v>137</v>
      </c>
      <c r="D46" t="s">
        <v>136</v>
      </c>
      <c r="E46" t="s">
        <v>136</v>
      </c>
      <c r="F46" t="s">
        <v>136</v>
      </c>
      <c r="G46" t="s">
        <v>136</v>
      </c>
      <c r="H46" t="s">
        <v>136</v>
      </c>
      <c r="I46" t="s">
        <v>136</v>
      </c>
      <c r="J46" t="s">
        <v>136</v>
      </c>
      <c r="K46" t="s">
        <v>136</v>
      </c>
      <c r="L46" t="s">
        <v>136</v>
      </c>
      <c r="M46" t="s">
        <v>136</v>
      </c>
      <c r="N46" t="s">
        <v>136</v>
      </c>
      <c r="O46" t="s">
        <v>136</v>
      </c>
      <c r="P46" t="s">
        <v>136</v>
      </c>
      <c r="Q46" t="s">
        <v>136</v>
      </c>
      <c r="R46" t="s">
        <v>136</v>
      </c>
      <c r="S46" t="s">
        <v>136</v>
      </c>
      <c r="T46" t="s">
        <v>136</v>
      </c>
      <c r="U46" t="s">
        <v>136</v>
      </c>
      <c r="V46" t="s">
        <v>136</v>
      </c>
      <c r="W46" t="s">
        <v>136</v>
      </c>
      <c r="X46" t="s">
        <v>136</v>
      </c>
      <c r="Y46" t="s">
        <v>136</v>
      </c>
      <c r="Z46" t="s">
        <v>136</v>
      </c>
      <c r="AA46" t="s">
        <v>136</v>
      </c>
      <c r="AB46" t="s">
        <v>136</v>
      </c>
      <c r="AC46" t="s">
        <v>136</v>
      </c>
      <c r="AD46" t="s">
        <v>136</v>
      </c>
      <c r="AE46" t="s">
        <v>136</v>
      </c>
      <c r="AF46" t="s">
        <v>136</v>
      </c>
      <c r="AG46" t="s">
        <v>136</v>
      </c>
      <c r="AH46" t="s">
        <v>136</v>
      </c>
      <c r="AI46" t="s">
        <v>136</v>
      </c>
      <c r="AJ46" t="s">
        <v>136</v>
      </c>
      <c r="AK46" t="s">
        <v>136</v>
      </c>
      <c r="AL46" t="s">
        <v>136</v>
      </c>
      <c r="AM46" t="s">
        <v>136</v>
      </c>
      <c r="AN46" t="s">
        <v>136</v>
      </c>
      <c r="AO46" t="s">
        <v>136</v>
      </c>
      <c r="AP46" t="s">
        <v>136</v>
      </c>
      <c r="AQ46" t="s">
        <v>136</v>
      </c>
      <c r="AR46" t="s">
        <v>136</v>
      </c>
      <c r="AS46" t="s">
        <v>136</v>
      </c>
      <c r="AT46" t="s">
        <v>136</v>
      </c>
      <c r="AU46" t="s">
        <v>136</v>
      </c>
      <c r="AV46" t="s">
        <v>136</v>
      </c>
      <c r="AW46" t="s">
        <v>136</v>
      </c>
      <c r="AX46" t="s">
        <v>136</v>
      </c>
      <c r="AY46" t="s">
        <v>136</v>
      </c>
      <c r="AZ46" t="s">
        <v>136</v>
      </c>
      <c r="BA46" t="s">
        <v>136</v>
      </c>
      <c r="BB46" t="s">
        <v>136</v>
      </c>
      <c r="BC46" t="s">
        <v>136</v>
      </c>
      <c r="BD46" t="s">
        <v>136</v>
      </c>
      <c r="BE46" t="s">
        <v>136</v>
      </c>
      <c r="BF46" t="s">
        <v>136</v>
      </c>
      <c r="BG46" t="s">
        <v>136</v>
      </c>
      <c r="BH46" t="s">
        <v>136</v>
      </c>
      <c r="BI46" t="s">
        <v>136</v>
      </c>
      <c r="BJ46" t="s">
        <v>136</v>
      </c>
      <c r="BK46" t="s">
        <v>136</v>
      </c>
      <c r="BL46" t="s">
        <v>136</v>
      </c>
      <c r="BM46" t="s">
        <v>136</v>
      </c>
      <c r="BN46" t="s">
        <v>136</v>
      </c>
      <c r="BO46" t="s">
        <v>136</v>
      </c>
      <c r="BP46" t="s">
        <v>136</v>
      </c>
      <c r="BQ46" t="s">
        <v>136</v>
      </c>
      <c r="BR46" t="s">
        <v>136</v>
      </c>
      <c r="BS46" t="s">
        <v>136</v>
      </c>
      <c r="BT46" t="s">
        <v>136</v>
      </c>
      <c r="BU46" t="s">
        <v>136</v>
      </c>
      <c r="BV46" t="s">
        <v>136</v>
      </c>
      <c r="BW46" t="s">
        <v>136</v>
      </c>
      <c r="BX46" t="s">
        <v>136</v>
      </c>
      <c r="BY46" t="s">
        <v>136</v>
      </c>
      <c r="BZ46" t="s">
        <v>136</v>
      </c>
      <c r="CA46" t="s">
        <v>136</v>
      </c>
      <c r="CB46" t="s">
        <v>136</v>
      </c>
      <c r="CC46" t="s">
        <v>136</v>
      </c>
      <c r="CD46" t="s">
        <v>136</v>
      </c>
      <c r="CE46" t="s">
        <v>136</v>
      </c>
      <c r="CF46" t="s">
        <v>136</v>
      </c>
      <c r="CG46" t="s">
        <v>136</v>
      </c>
      <c r="CH46" t="s">
        <v>136</v>
      </c>
      <c r="CI46" t="s">
        <v>136</v>
      </c>
      <c r="CJ46" t="s">
        <v>136</v>
      </c>
      <c r="CK46" t="s">
        <v>136</v>
      </c>
      <c r="CL46" t="s">
        <v>136</v>
      </c>
      <c r="CM46" t="s">
        <v>136</v>
      </c>
      <c r="CN46" t="s">
        <v>136</v>
      </c>
      <c r="CO46" t="s">
        <v>136</v>
      </c>
      <c r="CP46" t="s">
        <v>136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136</v>
      </c>
    </row>
    <row r="47" spans="1:101" x14ac:dyDescent="0.25">
      <c r="A47" t="s">
        <v>95</v>
      </c>
      <c r="B47" t="s">
        <v>137</v>
      </c>
      <c r="C47" t="s">
        <v>137</v>
      </c>
      <c r="D47" t="s">
        <v>137</v>
      </c>
      <c r="E47" t="s">
        <v>137</v>
      </c>
      <c r="F47" t="s">
        <v>137</v>
      </c>
      <c r="G47" t="s">
        <v>137</v>
      </c>
      <c r="H47" t="s">
        <v>137</v>
      </c>
      <c r="I47" t="s">
        <v>137</v>
      </c>
      <c r="J47" t="s">
        <v>137</v>
      </c>
      <c r="K47" t="s">
        <v>137</v>
      </c>
      <c r="L47" t="s">
        <v>137</v>
      </c>
      <c r="M47" t="s">
        <v>137</v>
      </c>
      <c r="N47" t="s">
        <v>137</v>
      </c>
      <c r="O47" t="s">
        <v>137</v>
      </c>
      <c r="P47" t="s">
        <v>137</v>
      </c>
      <c r="Q47" t="s">
        <v>137</v>
      </c>
      <c r="R47" t="s">
        <v>137</v>
      </c>
      <c r="S47" t="s">
        <v>137</v>
      </c>
      <c r="T47" t="s">
        <v>137</v>
      </c>
      <c r="U47" t="s">
        <v>137</v>
      </c>
      <c r="V47" t="s">
        <v>137</v>
      </c>
      <c r="W47" t="s">
        <v>137</v>
      </c>
      <c r="X47" t="s">
        <v>137</v>
      </c>
      <c r="Y47" t="s">
        <v>137</v>
      </c>
      <c r="Z47" t="s">
        <v>137</v>
      </c>
      <c r="AA47" t="s">
        <v>137</v>
      </c>
      <c r="AB47" t="s">
        <v>137</v>
      </c>
      <c r="AC47" t="s">
        <v>137</v>
      </c>
      <c r="AD47" t="s">
        <v>137</v>
      </c>
      <c r="AE47" t="s">
        <v>137</v>
      </c>
      <c r="AF47" t="s">
        <v>137</v>
      </c>
      <c r="AG47" t="s">
        <v>137</v>
      </c>
      <c r="AH47" t="s">
        <v>137</v>
      </c>
      <c r="AI47" t="s">
        <v>137</v>
      </c>
      <c r="AJ47" t="s">
        <v>137</v>
      </c>
      <c r="AK47" t="s">
        <v>137</v>
      </c>
      <c r="AL47" t="s">
        <v>137</v>
      </c>
      <c r="AM47" t="s">
        <v>137</v>
      </c>
      <c r="AN47" t="s">
        <v>137</v>
      </c>
      <c r="AO47" t="s">
        <v>137</v>
      </c>
      <c r="AP47" t="s">
        <v>137</v>
      </c>
      <c r="AQ47" t="s">
        <v>137</v>
      </c>
      <c r="AR47" t="s">
        <v>137</v>
      </c>
      <c r="AS47" t="s">
        <v>137</v>
      </c>
      <c r="AT47" t="s">
        <v>137</v>
      </c>
      <c r="AU47" t="s">
        <v>137</v>
      </c>
      <c r="AV47" t="s">
        <v>137</v>
      </c>
      <c r="AW47" t="s">
        <v>137</v>
      </c>
      <c r="AX47" t="s">
        <v>137</v>
      </c>
      <c r="AY47" t="s">
        <v>137</v>
      </c>
      <c r="AZ47" t="s">
        <v>137</v>
      </c>
      <c r="BA47" t="s">
        <v>137</v>
      </c>
      <c r="BB47" t="s">
        <v>137</v>
      </c>
      <c r="BC47" t="s">
        <v>137</v>
      </c>
      <c r="BD47" t="s">
        <v>137</v>
      </c>
      <c r="BE47" t="s">
        <v>137</v>
      </c>
      <c r="BF47" t="s">
        <v>137</v>
      </c>
      <c r="BG47" t="s">
        <v>137</v>
      </c>
      <c r="BH47" t="s">
        <v>137</v>
      </c>
      <c r="BI47" t="s">
        <v>137</v>
      </c>
      <c r="BJ47" t="s">
        <v>137</v>
      </c>
      <c r="BK47" t="s">
        <v>137</v>
      </c>
      <c r="BL47" t="s">
        <v>137</v>
      </c>
      <c r="BM47" t="s">
        <v>137</v>
      </c>
      <c r="BN47" t="s">
        <v>137</v>
      </c>
      <c r="BO47" t="s">
        <v>137</v>
      </c>
      <c r="BP47" t="s">
        <v>137</v>
      </c>
      <c r="BQ47" t="s">
        <v>137</v>
      </c>
      <c r="BR47" t="s">
        <v>137</v>
      </c>
      <c r="BS47" t="s">
        <v>137</v>
      </c>
      <c r="BT47" t="s">
        <v>137</v>
      </c>
      <c r="BU47" t="s">
        <v>137</v>
      </c>
      <c r="BV47" t="s">
        <v>137</v>
      </c>
      <c r="BW47" t="s">
        <v>137</v>
      </c>
      <c r="BX47" t="s">
        <v>137</v>
      </c>
      <c r="BY47" t="s">
        <v>137</v>
      </c>
      <c r="BZ47" t="s">
        <v>137</v>
      </c>
      <c r="CA47" t="s">
        <v>137</v>
      </c>
      <c r="CB47" t="s">
        <v>137</v>
      </c>
      <c r="CC47" t="s">
        <v>137</v>
      </c>
      <c r="CD47" t="s">
        <v>137</v>
      </c>
      <c r="CE47" t="s">
        <v>137</v>
      </c>
      <c r="CF47" t="s">
        <v>137</v>
      </c>
      <c r="CG47" t="s">
        <v>137</v>
      </c>
      <c r="CH47" t="s">
        <v>137</v>
      </c>
      <c r="CI47" t="s">
        <v>137</v>
      </c>
      <c r="CJ47" t="s">
        <v>137</v>
      </c>
      <c r="CK47" t="s">
        <v>137</v>
      </c>
      <c r="CL47" t="s">
        <v>137</v>
      </c>
      <c r="CM47" t="s">
        <v>137</v>
      </c>
      <c r="CN47" t="s">
        <v>137</v>
      </c>
      <c r="CO47" t="s">
        <v>137</v>
      </c>
      <c r="CP47" t="s">
        <v>137</v>
      </c>
      <c r="CQ47" t="s">
        <v>137</v>
      </c>
      <c r="CR47" t="s">
        <v>137</v>
      </c>
      <c r="CS47" t="s">
        <v>137</v>
      </c>
      <c r="CT47" t="s">
        <v>137</v>
      </c>
      <c r="CU47" t="s">
        <v>137</v>
      </c>
      <c r="CV47" t="s">
        <v>137</v>
      </c>
      <c r="CW47" t="s">
        <v>137</v>
      </c>
    </row>
    <row r="48" spans="1:101" x14ac:dyDescent="0.25">
      <c r="A48" t="s">
        <v>96</v>
      </c>
      <c r="B48" t="s">
        <v>137</v>
      </c>
      <c r="C48" t="s">
        <v>137</v>
      </c>
      <c r="D48" t="s">
        <v>137</v>
      </c>
      <c r="E48" t="s">
        <v>137</v>
      </c>
      <c r="F48" t="s">
        <v>137</v>
      </c>
      <c r="G48" t="s">
        <v>137</v>
      </c>
      <c r="H48" t="s">
        <v>137</v>
      </c>
      <c r="I48" t="s">
        <v>137</v>
      </c>
      <c r="J48" t="s">
        <v>137</v>
      </c>
      <c r="K48" t="s">
        <v>137</v>
      </c>
      <c r="L48" t="s">
        <v>137</v>
      </c>
      <c r="M48" t="s">
        <v>137</v>
      </c>
      <c r="N48" t="s">
        <v>137</v>
      </c>
      <c r="O48" t="s">
        <v>137</v>
      </c>
      <c r="P48" t="s">
        <v>137</v>
      </c>
      <c r="Q48" t="s">
        <v>137</v>
      </c>
      <c r="R48" t="s">
        <v>137</v>
      </c>
      <c r="S48" t="s">
        <v>137</v>
      </c>
      <c r="T48" t="s">
        <v>137</v>
      </c>
      <c r="U48" t="s">
        <v>137</v>
      </c>
      <c r="V48" t="s">
        <v>137</v>
      </c>
      <c r="W48" t="s">
        <v>137</v>
      </c>
      <c r="X48" t="s">
        <v>137</v>
      </c>
      <c r="Y48" t="s">
        <v>137</v>
      </c>
      <c r="Z48" t="s">
        <v>137</v>
      </c>
      <c r="AA48" t="s">
        <v>137</v>
      </c>
      <c r="AB48" t="s">
        <v>137</v>
      </c>
      <c r="AC48" t="s">
        <v>137</v>
      </c>
      <c r="AD48" t="s">
        <v>137</v>
      </c>
      <c r="AE48" t="s">
        <v>137</v>
      </c>
      <c r="AF48" t="s">
        <v>137</v>
      </c>
      <c r="AG48" t="s">
        <v>137</v>
      </c>
      <c r="AH48" t="s">
        <v>137</v>
      </c>
      <c r="AI48" t="s">
        <v>137</v>
      </c>
      <c r="AJ48" t="s">
        <v>137</v>
      </c>
      <c r="AK48" t="s">
        <v>137</v>
      </c>
      <c r="AL48" t="s">
        <v>137</v>
      </c>
      <c r="AM48" t="s">
        <v>137</v>
      </c>
      <c r="AN48" t="s">
        <v>137</v>
      </c>
      <c r="AO48" t="s">
        <v>137</v>
      </c>
      <c r="AP48" t="s">
        <v>137</v>
      </c>
      <c r="AQ48" t="s">
        <v>137</v>
      </c>
      <c r="AR48" t="s">
        <v>137</v>
      </c>
      <c r="AS48" t="s">
        <v>137</v>
      </c>
      <c r="AT48" t="s">
        <v>137</v>
      </c>
      <c r="AU48" t="s">
        <v>137</v>
      </c>
      <c r="AV48" t="s">
        <v>137</v>
      </c>
      <c r="AW48" t="s">
        <v>137</v>
      </c>
      <c r="AX48" t="s">
        <v>137</v>
      </c>
      <c r="AY48" t="s">
        <v>137</v>
      </c>
      <c r="AZ48" t="s">
        <v>137</v>
      </c>
      <c r="BA48" t="s">
        <v>137</v>
      </c>
      <c r="BB48" t="s">
        <v>137</v>
      </c>
      <c r="BC48" t="s">
        <v>137</v>
      </c>
      <c r="BD48" t="s">
        <v>137</v>
      </c>
      <c r="BE48" t="s">
        <v>137</v>
      </c>
      <c r="BF48" t="s">
        <v>137</v>
      </c>
      <c r="BG48" t="s">
        <v>137</v>
      </c>
      <c r="BH48" t="s">
        <v>137</v>
      </c>
      <c r="BI48" t="s">
        <v>137</v>
      </c>
      <c r="BJ48" t="s">
        <v>138</v>
      </c>
      <c r="BK48" t="s">
        <v>138</v>
      </c>
      <c r="BL48" t="s">
        <v>138</v>
      </c>
      <c r="BM48" t="s">
        <v>138</v>
      </c>
      <c r="BN48" t="s">
        <v>138</v>
      </c>
      <c r="BO48" t="s">
        <v>138</v>
      </c>
      <c r="BP48" t="s">
        <v>138</v>
      </c>
      <c r="BQ48" t="s">
        <v>138</v>
      </c>
      <c r="BR48" t="s">
        <v>138</v>
      </c>
      <c r="BS48" t="s">
        <v>138</v>
      </c>
      <c r="BT48" t="s">
        <v>138</v>
      </c>
      <c r="BU48" t="s">
        <v>138</v>
      </c>
      <c r="BV48" t="s">
        <v>138</v>
      </c>
      <c r="BW48" t="s">
        <v>138</v>
      </c>
      <c r="BX48" t="s">
        <v>138</v>
      </c>
      <c r="BY48" t="s">
        <v>138</v>
      </c>
      <c r="BZ48" t="s">
        <v>138</v>
      </c>
      <c r="CA48" t="s">
        <v>138</v>
      </c>
      <c r="CB48" t="s">
        <v>138</v>
      </c>
      <c r="CC48" t="s">
        <v>138</v>
      </c>
      <c r="CD48" t="s">
        <v>138</v>
      </c>
      <c r="CE48" t="s">
        <v>138</v>
      </c>
      <c r="CF48" t="s">
        <v>138</v>
      </c>
      <c r="CG48" t="s">
        <v>138</v>
      </c>
      <c r="CH48" t="s">
        <v>138</v>
      </c>
      <c r="CI48" t="s">
        <v>138</v>
      </c>
      <c r="CJ48" t="s">
        <v>138</v>
      </c>
      <c r="CK48" t="s">
        <v>138</v>
      </c>
      <c r="CL48" t="s">
        <v>138</v>
      </c>
      <c r="CM48" t="s">
        <v>138</v>
      </c>
      <c r="CN48" t="s">
        <v>138</v>
      </c>
      <c r="CO48" t="s">
        <v>138</v>
      </c>
      <c r="CP48" t="s">
        <v>138</v>
      </c>
      <c r="CQ48" t="s">
        <v>138</v>
      </c>
      <c r="CR48" t="s">
        <v>138</v>
      </c>
      <c r="CS48" t="s">
        <v>138</v>
      </c>
      <c r="CT48" t="s">
        <v>138</v>
      </c>
      <c r="CU48" t="s">
        <v>138</v>
      </c>
      <c r="CV48" t="s">
        <v>138</v>
      </c>
      <c r="CW48" t="s">
        <v>138</v>
      </c>
    </row>
    <row r="49" spans="1:101" x14ac:dyDescent="0.25">
      <c r="A49" t="s">
        <v>97</v>
      </c>
      <c r="B49" t="s">
        <v>137</v>
      </c>
      <c r="C49" t="s">
        <v>137</v>
      </c>
      <c r="D49" t="s">
        <v>137</v>
      </c>
      <c r="E49" t="s">
        <v>137</v>
      </c>
      <c r="F49" t="s">
        <v>137</v>
      </c>
      <c r="G49" t="s">
        <v>137</v>
      </c>
      <c r="H49" t="s">
        <v>137</v>
      </c>
      <c r="I49" t="s">
        <v>137</v>
      </c>
      <c r="J49" t="s">
        <v>137</v>
      </c>
      <c r="K49" t="s">
        <v>137</v>
      </c>
      <c r="L49" t="s">
        <v>137</v>
      </c>
      <c r="M49" t="s">
        <v>137</v>
      </c>
      <c r="N49" t="s">
        <v>137</v>
      </c>
      <c r="O49" t="s">
        <v>137</v>
      </c>
      <c r="P49" t="s">
        <v>137</v>
      </c>
      <c r="Q49" t="s">
        <v>137</v>
      </c>
      <c r="R49" t="s">
        <v>137</v>
      </c>
      <c r="S49" t="s">
        <v>137</v>
      </c>
      <c r="T49" t="s">
        <v>137</v>
      </c>
      <c r="U49" t="s">
        <v>137</v>
      </c>
      <c r="V49" t="s">
        <v>137</v>
      </c>
      <c r="W49" t="s">
        <v>137</v>
      </c>
      <c r="X49" t="s">
        <v>137</v>
      </c>
      <c r="Y49" t="s">
        <v>137</v>
      </c>
      <c r="Z49" t="s">
        <v>137</v>
      </c>
      <c r="AA49" t="s">
        <v>137</v>
      </c>
      <c r="AB49" t="s">
        <v>137</v>
      </c>
      <c r="AC49" t="s">
        <v>137</v>
      </c>
      <c r="AD49" t="s">
        <v>137</v>
      </c>
      <c r="AE49" t="s">
        <v>137</v>
      </c>
      <c r="AF49" t="s">
        <v>137</v>
      </c>
      <c r="AG49" t="s">
        <v>137</v>
      </c>
      <c r="AH49" t="s">
        <v>137</v>
      </c>
      <c r="AI49" t="s">
        <v>137</v>
      </c>
      <c r="AJ49" t="s">
        <v>137</v>
      </c>
      <c r="AK49" t="s">
        <v>137</v>
      </c>
      <c r="AL49" t="s">
        <v>137</v>
      </c>
      <c r="AM49" t="s">
        <v>137</v>
      </c>
      <c r="AN49" t="s">
        <v>137</v>
      </c>
      <c r="AO49" t="s">
        <v>137</v>
      </c>
      <c r="AP49" t="s">
        <v>137</v>
      </c>
      <c r="AQ49" t="s">
        <v>137</v>
      </c>
      <c r="AR49" t="s">
        <v>137</v>
      </c>
      <c r="AS49" t="s">
        <v>137</v>
      </c>
      <c r="AT49" t="s">
        <v>137</v>
      </c>
      <c r="AU49" t="s">
        <v>137</v>
      </c>
      <c r="AV49" t="s">
        <v>137</v>
      </c>
      <c r="AW49" t="s">
        <v>137</v>
      </c>
      <c r="AX49" t="s">
        <v>137</v>
      </c>
      <c r="AY49" t="s">
        <v>137</v>
      </c>
      <c r="AZ49" t="s">
        <v>137</v>
      </c>
      <c r="BA49" t="s">
        <v>137</v>
      </c>
      <c r="BB49" t="s">
        <v>137</v>
      </c>
      <c r="BC49" t="s">
        <v>137</v>
      </c>
      <c r="BD49" t="s">
        <v>137</v>
      </c>
      <c r="BE49" t="s">
        <v>137</v>
      </c>
      <c r="BF49" t="s">
        <v>137</v>
      </c>
      <c r="BG49" t="s">
        <v>137</v>
      </c>
      <c r="BH49" t="s">
        <v>137</v>
      </c>
      <c r="BI49" t="s">
        <v>137</v>
      </c>
      <c r="BJ49" t="s">
        <v>137</v>
      </c>
      <c r="BK49" t="s">
        <v>137</v>
      </c>
      <c r="BL49" t="s">
        <v>138</v>
      </c>
      <c r="BM49" t="s">
        <v>138</v>
      </c>
      <c r="BN49" t="s">
        <v>138</v>
      </c>
      <c r="BO49" t="s">
        <v>138</v>
      </c>
      <c r="BP49" t="s">
        <v>138</v>
      </c>
      <c r="BQ49" t="s">
        <v>138</v>
      </c>
      <c r="BR49" t="s">
        <v>138</v>
      </c>
      <c r="BS49" t="s">
        <v>138</v>
      </c>
      <c r="BT49" t="s">
        <v>138</v>
      </c>
      <c r="BU49" t="s">
        <v>138</v>
      </c>
      <c r="BV49" t="s">
        <v>138</v>
      </c>
      <c r="BW49" t="s">
        <v>138</v>
      </c>
      <c r="BX49" t="s">
        <v>138</v>
      </c>
      <c r="BY49" t="s">
        <v>138</v>
      </c>
      <c r="BZ49" t="s">
        <v>138</v>
      </c>
      <c r="CA49" t="s">
        <v>138</v>
      </c>
      <c r="CB49" t="s">
        <v>138</v>
      </c>
      <c r="CC49" t="s">
        <v>138</v>
      </c>
      <c r="CD49" t="s">
        <v>138</v>
      </c>
      <c r="CE49" t="s">
        <v>138</v>
      </c>
      <c r="CF49" t="s">
        <v>138</v>
      </c>
      <c r="CG49" t="s">
        <v>138</v>
      </c>
      <c r="CH49" t="s">
        <v>138</v>
      </c>
      <c r="CI49" t="s">
        <v>138</v>
      </c>
      <c r="CJ49" t="s">
        <v>138</v>
      </c>
      <c r="CK49" t="s">
        <v>138</v>
      </c>
      <c r="CL49" t="s">
        <v>138</v>
      </c>
      <c r="CM49" t="s">
        <v>138</v>
      </c>
      <c r="CN49" t="s">
        <v>138</v>
      </c>
      <c r="CO49" t="s">
        <v>138</v>
      </c>
      <c r="CP49" t="s">
        <v>138</v>
      </c>
      <c r="CQ49" t="s">
        <v>138</v>
      </c>
      <c r="CR49" t="s">
        <v>138</v>
      </c>
      <c r="CS49" t="s">
        <v>138</v>
      </c>
      <c r="CT49" t="s">
        <v>138</v>
      </c>
      <c r="CU49" t="s">
        <v>138</v>
      </c>
      <c r="CV49" t="s">
        <v>138</v>
      </c>
      <c r="CW49" t="s">
        <v>138</v>
      </c>
    </row>
    <row r="50" spans="1:101" x14ac:dyDescent="0.25">
      <c r="A50" t="s">
        <v>99</v>
      </c>
      <c r="B50" t="s">
        <v>137</v>
      </c>
      <c r="C50" t="s">
        <v>137</v>
      </c>
      <c r="D50" t="s">
        <v>137</v>
      </c>
      <c r="E50" t="s">
        <v>137</v>
      </c>
      <c r="F50" t="s">
        <v>137</v>
      </c>
      <c r="G50" t="s">
        <v>137</v>
      </c>
      <c r="H50" t="s">
        <v>137</v>
      </c>
      <c r="I50" t="s">
        <v>137</v>
      </c>
      <c r="J50" t="s">
        <v>137</v>
      </c>
      <c r="K50" t="s">
        <v>137</v>
      </c>
      <c r="L50" t="s">
        <v>137</v>
      </c>
      <c r="M50" t="s">
        <v>137</v>
      </c>
      <c r="N50" t="s">
        <v>137</v>
      </c>
      <c r="O50" t="s">
        <v>137</v>
      </c>
      <c r="P50" t="s">
        <v>137</v>
      </c>
      <c r="Q50" t="s">
        <v>137</v>
      </c>
      <c r="R50" t="s">
        <v>137</v>
      </c>
      <c r="S50" t="s">
        <v>137</v>
      </c>
      <c r="T50" t="s">
        <v>137</v>
      </c>
      <c r="U50" t="s">
        <v>137</v>
      </c>
      <c r="V50" t="s">
        <v>137</v>
      </c>
      <c r="W50" t="s">
        <v>137</v>
      </c>
      <c r="X50" t="s">
        <v>137</v>
      </c>
      <c r="Y50" t="s">
        <v>137</v>
      </c>
      <c r="Z50" t="s">
        <v>137</v>
      </c>
      <c r="AA50" t="s">
        <v>137</v>
      </c>
      <c r="AB50" t="s">
        <v>137</v>
      </c>
      <c r="AC50" t="s">
        <v>137</v>
      </c>
      <c r="AD50" t="s">
        <v>137</v>
      </c>
      <c r="AE50" t="s">
        <v>137</v>
      </c>
      <c r="AF50" t="s">
        <v>137</v>
      </c>
      <c r="AG50" t="s">
        <v>137</v>
      </c>
      <c r="AH50" t="s">
        <v>137</v>
      </c>
      <c r="AI50" t="s">
        <v>137</v>
      </c>
      <c r="AJ50" t="s">
        <v>137</v>
      </c>
      <c r="AK50" t="s">
        <v>137</v>
      </c>
      <c r="AL50" t="s">
        <v>137</v>
      </c>
      <c r="AM50" t="s">
        <v>137</v>
      </c>
      <c r="AN50" t="s">
        <v>137</v>
      </c>
      <c r="AO50" t="s">
        <v>137</v>
      </c>
      <c r="AP50" t="s">
        <v>137</v>
      </c>
      <c r="AQ50" t="s">
        <v>137</v>
      </c>
      <c r="AR50" t="s">
        <v>137</v>
      </c>
      <c r="AS50" t="s">
        <v>137</v>
      </c>
      <c r="AT50" t="s">
        <v>137</v>
      </c>
      <c r="AU50" t="s">
        <v>137</v>
      </c>
      <c r="AV50" t="s">
        <v>137</v>
      </c>
      <c r="AW50" t="s">
        <v>137</v>
      </c>
      <c r="AX50" t="s">
        <v>137</v>
      </c>
      <c r="AY50" t="s">
        <v>137</v>
      </c>
      <c r="AZ50" t="s">
        <v>137</v>
      </c>
      <c r="BA50" t="s">
        <v>137</v>
      </c>
      <c r="BB50" t="s">
        <v>137</v>
      </c>
      <c r="BC50" t="s">
        <v>137</v>
      </c>
      <c r="BD50" t="s">
        <v>137</v>
      </c>
      <c r="BE50" t="s">
        <v>137</v>
      </c>
      <c r="BF50" t="s">
        <v>137</v>
      </c>
      <c r="BG50" t="s">
        <v>137</v>
      </c>
      <c r="BH50" t="s">
        <v>137</v>
      </c>
      <c r="BI50" t="s">
        <v>137</v>
      </c>
      <c r="BJ50" t="s">
        <v>137</v>
      </c>
      <c r="BK50" t="s">
        <v>137</v>
      </c>
      <c r="BL50" t="s">
        <v>137</v>
      </c>
      <c r="BM50" t="s">
        <v>137</v>
      </c>
      <c r="BN50" t="s">
        <v>137</v>
      </c>
      <c r="BO50" t="s">
        <v>137</v>
      </c>
      <c r="BP50" t="s">
        <v>137</v>
      </c>
      <c r="BQ50" t="s">
        <v>137</v>
      </c>
      <c r="BR50" t="s">
        <v>137</v>
      </c>
      <c r="BS50" t="s">
        <v>137</v>
      </c>
      <c r="BT50" t="s">
        <v>137</v>
      </c>
      <c r="BU50" t="s">
        <v>137</v>
      </c>
      <c r="BV50" t="s">
        <v>137</v>
      </c>
      <c r="BW50" t="s">
        <v>137</v>
      </c>
      <c r="BX50" t="s">
        <v>137</v>
      </c>
      <c r="BY50" t="s">
        <v>137</v>
      </c>
      <c r="BZ50" t="s">
        <v>137</v>
      </c>
      <c r="CA50" t="s">
        <v>137</v>
      </c>
      <c r="CB50" t="s">
        <v>137</v>
      </c>
      <c r="CC50" t="s">
        <v>137</v>
      </c>
      <c r="CD50" t="s">
        <v>137</v>
      </c>
      <c r="CE50" t="s">
        <v>137</v>
      </c>
      <c r="CF50" t="s">
        <v>137</v>
      </c>
      <c r="CG50" t="s">
        <v>137</v>
      </c>
      <c r="CH50" t="s">
        <v>137</v>
      </c>
      <c r="CI50" t="s">
        <v>137</v>
      </c>
      <c r="CJ50" t="s">
        <v>137</v>
      </c>
      <c r="CK50" t="s">
        <v>137</v>
      </c>
      <c r="CL50" t="s">
        <v>137</v>
      </c>
      <c r="CM50" t="s">
        <v>137</v>
      </c>
      <c r="CN50" t="s">
        <v>137</v>
      </c>
      <c r="CO50" t="s">
        <v>137</v>
      </c>
      <c r="CP50" t="s">
        <v>137</v>
      </c>
      <c r="CQ50" t="s">
        <v>137</v>
      </c>
      <c r="CR50" t="s">
        <v>137</v>
      </c>
      <c r="CS50" t="s">
        <v>137</v>
      </c>
      <c r="CT50" t="s">
        <v>137</v>
      </c>
      <c r="CU50" t="s">
        <v>137</v>
      </c>
      <c r="CV50" t="s">
        <v>137</v>
      </c>
      <c r="CW50" t="s">
        <v>137</v>
      </c>
    </row>
    <row r="51" spans="1:101" x14ac:dyDescent="0.25">
      <c r="A51" t="s">
        <v>100</v>
      </c>
      <c r="B51" t="s">
        <v>137</v>
      </c>
      <c r="C51" t="s">
        <v>137</v>
      </c>
      <c r="D51" t="s">
        <v>137</v>
      </c>
      <c r="E51" t="s">
        <v>137</v>
      </c>
      <c r="F51" t="s">
        <v>137</v>
      </c>
      <c r="G51" t="s">
        <v>137</v>
      </c>
      <c r="H51" t="s">
        <v>137</v>
      </c>
      <c r="I51" t="s">
        <v>137</v>
      </c>
      <c r="J51" t="s">
        <v>137</v>
      </c>
      <c r="K51" t="s">
        <v>137</v>
      </c>
      <c r="L51" t="s">
        <v>137</v>
      </c>
      <c r="M51" t="s">
        <v>137</v>
      </c>
      <c r="N51" t="s">
        <v>137</v>
      </c>
      <c r="O51" t="s">
        <v>137</v>
      </c>
      <c r="P51" t="s">
        <v>137</v>
      </c>
      <c r="Q51" t="s">
        <v>137</v>
      </c>
      <c r="R51" t="s">
        <v>137</v>
      </c>
      <c r="S51" t="s">
        <v>137</v>
      </c>
      <c r="T51" t="s">
        <v>137</v>
      </c>
      <c r="U51" t="s">
        <v>137</v>
      </c>
      <c r="V51" t="s">
        <v>137</v>
      </c>
      <c r="W51" t="s">
        <v>137</v>
      </c>
      <c r="X51" t="s">
        <v>137</v>
      </c>
      <c r="Y51" t="s">
        <v>137</v>
      </c>
      <c r="Z51" t="s">
        <v>137</v>
      </c>
      <c r="AA51" t="s">
        <v>137</v>
      </c>
      <c r="AB51" t="s">
        <v>137</v>
      </c>
      <c r="AC51" t="s">
        <v>137</v>
      </c>
      <c r="AD51" t="s">
        <v>137</v>
      </c>
      <c r="AE51" t="s">
        <v>137</v>
      </c>
      <c r="AF51" t="s">
        <v>137</v>
      </c>
      <c r="AG51" t="s">
        <v>137</v>
      </c>
      <c r="AH51" t="s">
        <v>137</v>
      </c>
      <c r="AI51" t="s">
        <v>137</v>
      </c>
      <c r="AJ51" t="s">
        <v>137</v>
      </c>
      <c r="AK51" t="s">
        <v>137</v>
      </c>
      <c r="AL51" t="s">
        <v>137</v>
      </c>
      <c r="AM51" t="s">
        <v>137</v>
      </c>
      <c r="AN51" t="s">
        <v>137</v>
      </c>
      <c r="AO51" t="s">
        <v>137</v>
      </c>
      <c r="AP51" t="s">
        <v>137</v>
      </c>
      <c r="AQ51" t="s">
        <v>137</v>
      </c>
      <c r="AR51" t="s">
        <v>137</v>
      </c>
      <c r="AS51" t="s">
        <v>137</v>
      </c>
      <c r="AT51" t="s">
        <v>137</v>
      </c>
      <c r="AU51" t="s">
        <v>137</v>
      </c>
      <c r="AV51" t="s">
        <v>137</v>
      </c>
      <c r="AW51" t="s">
        <v>137</v>
      </c>
      <c r="AX51" t="s">
        <v>137</v>
      </c>
      <c r="AY51" t="s">
        <v>137</v>
      </c>
      <c r="AZ51" t="s">
        <v>137</v>
      </c>
      <c r="BA51" t="s">
        <v>137</v>
      </c>
      <c r="BB51" t="s">
        <v>137</v>
      </c>
      <c r="BC51" t="s">
        <v>138</v>
      </c>
      <c r="BD51" t="s">
        <v>138</v>
      </c>
      <c r="BE51" t="s">
        <v>138</v>
      </c>
      <c r="BF51" t="s">
        <v>138</v>
      </c>
      <c r="BG51" t="s">
        <v>138</v>
      </c>
      <c r="BH51" t="s">
        <v>138</v>
      </c>
      <c r="BI51" t="s">
        <v>138</v>
      </c>
      <c r="BJ51" t="s">
        <v>138</v>
      </c>
      <c r="BK51" t="s">
        <v>138</v>
      </c>
      <c r="BL51" t="s">
        <v>138</v>
      </c>
      <c r="BM51" t="s">
        <v>138</v>
      </c>
      <c r="BN51" t="s">
        <v>138</v>
      </c>
      <c r="BO51" t="s">
        <v>138</v>
      </c>
      <c r="BP51" t="s">
        <v>138</v>
      </c>
      <c r="BQ51" t="s">
        <v>138</v>
      </c>
      <c r="BR51" t="s">
        <v>138</v>
      </c>
      <c r="BS51" t="s">
        <v>138</v>
      </c>
      <c r="BT51" t="s">
        <v>138</v>
      </c>
      <c r="BU51" t="s">
        <v>138</v>
      </c>
      <c r="BV51" t="s">
        <v>138</v>
      </c>
      <c r="BW51" t="s">
        <v>138</v>
      </c>
      <c r="BX51" t="s">
        <v>138</v>
      </c>
      <c r="BY51" t="s">
        <v>138</v>
      </c>
      <c r="BZ51" t="s">
        <v>138</v>
      </c>
      <c r="CA51" t="s">
        <v>138</v>
      </c>
      <c r="CB51" t="s">
        <v>138</v>
      </c>
      <c r="CC51" t="s">
        <v>138</v>
      </c>
      <c r="CD51" t="s">
        <v>138</v>
      </c>
      <c r="CE51" t="s">
        <v>138</v>
      </c>
      <c r="CF51" t="s">
        <v>138</v>
      </c>
      <c r="CG51" t="s">
        <v>138</v>
      </c>
      <c r="CH51" t="s">
        <v>138</v>
      </c>
      <c r="CI51" t="s">
        <v>138</v>
      </c>
      <c r="CJ51" t="s">
        <v>138</v>
      </c>
      <c r="CK51" t="s">
        <v>138</v>
      </c>
      <c r="CL51" t="s">
        <v>138</v>
      </c>
      <c r="CM51" t="s">
        <v>138</v>
      </c>
      <c r="CN51" t="s">
        <v>138</v>
      </c>
      <c r="CO51" t="s">
        <v>138</v>
      </c>
      <c r="CP51" t="s">
        <v>138</v>
      </c>
      <c r="CQ51" t="s">
        <v>138</v>
      </c>
      <c r="CR51" t="s">
        <v>138</v>
      </c>
      <c r="CS51" t="s">
        <v>138</v>
      </c>
      <c r="CT51" t="s">
        <v>138</v>
      </c>
      <c r="CU51" t="s">
        <v>138</v>
      </c>
      <c r="CV51" t="s">
        <v>138</v>
      </c>
      <c r="CW51" t="s">
        <v>138</v>
      </c>
    </row>
    <row r="52" spans="1:101" x14ac:dyDescent="0.25">
      <c r="A52" t="s">
        <v>101</v>
      </c>
      <c r="B52" t="s">
        <v>137</v>
      </c>
      <c r="C52" t="s">
        <v>137</v>
      </c>
      <c r="D52" t="s">
        <v>137</v>
      </c>
      <c r="E52" t="s">
        <v>137</v>
      </c>
      <c r="F52" t="s">
        <v>137</v>
      </c>
      <c r="G52" t="s">
        <v>137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S52" t="s">
        <v>137</v>
      </c>
      <c r="T52" t="s">
        <v>137</v>
      </c>
      <c r="U52" t="s">
        <v>137</v>
      </c>
      <c r="V52" t="s">
        <v>137</v>
      </c>
      <c r="W52" t="s">
        <v>137</v>
      </c>
      <c r="X52" t="s">
        <v>137</v>
      </c>
      <c r="Y52" t="s">
        <v>137</v>
      </c>
      <c r="Z52" t="s">
        <v>137</v>
      </c>
      <c r="AA52" t="s">
        <v>137</v>
      </c>
      <c r="AB52" t="s">
        <v>137</v>
      </c>
      <c r="AC52" t="s">
        <v>137</v>
      </c>
      <c r="AD52" t="s">
        <v>137</v>
      </c>
      <c r="AE52" t="s">
        <v>137</v>
      </c>
      <c r="AF52" t="s">
        <v>137</v>
      </c>
      <c r="AG52" t="s">
        <v>137</v>
      </c>
      <c r="AH52" t="s">
        <v>137</v>
      </c>
      <c r="AI52" t="s">
        <v>137</v>
      </c>
      <c r="AJ52" t="s">
        <v>137</v>
      </c>
      <c r="AK52" t="s">
        <v>137</v>
      </c>
      <c r="AL52" t="s">
        <v>137</v>
      </c>
      <c r="AM52" t="s">
        <v>137</v>
      </c>
      <c r="AN52" t="s">
        <v>137</v>
      </c>
      <c r="AO52" t="s">
        <v>137</v>
      </c>
      <c r="AP52" t="s">
        <v>137</v>
      </c>
      <c r="AQ52" t="s">
        <v>137</v>
      </c>
      <c r="AR52" t="s">
        <v>137</v>
      </c>
      <c r="AS52" t="s">
        <v>137</v>
      </c>
      <c r="AT52" t="s">
        <v>137</v>
      </c>
      <c r="AU52" t="s">
        <v>137</v>
      </c>
      <c r="AV52" t="s">
        <v>137</v>
      </c>
      <c r="AW52" t="s">
        <v>137</v>
      </c>
      <c r="AX52" t="s">
        <v>137</v>
      </c>
      <c r="AY52" t="s">
        <v>137</v>
      </c>
      <c r="AZ52" t="s">
        <v>137</v>
      </c>
      <c r="BA52" t="s">
        <v>137</v>
      </c>
      <c r="BB52" t="s">
        <v>137</v>
      </c>
      <c r="BC52" t="s">
        <v>137</v>
      </c>
      <c r="BD52" t="s">
        <v>138</v>
      </c>
      <c r="BE52" t="s">
        <v>138</v>
      </c>
      <c r="BF52" t="s">
        <v>138</v>
      </c>
      <c r="BG52" t="s">
        <v>138</v>
      </c>
      <c r="BH52" t="s">
        <v>138</v>
      </c>
      <c r="BI52" t="s">
        <v>138</v>
      </c>
      <c r="BJ52" t="s">
        <v>138</v>
      </c>
      <c r="BK52" t="s">
        <v>138</v>
      </c>
      <c r="BL52" t="s">
        <v>138</v>
      </c>
      <c r="BM52" t="s">
        <v>138</v>
      </c>
      <c r="BN52" t="s">
        <v>138</v>
      </c>
      <c r="BO52" t="s">
        <v>138</v>
      </c>
      <c r="BP52" t="s">
        <v>138</v>
      </c>
      <c r="BQ52" t="s">
        <v>138</v>
      </c>
      <c r="BR52" t="s">
        <v>138</v>
      </c>
      <c r="BS52" t="s">
        <v>138</v>
      </c>
      <c r="BT52" t="s">
        <v>138</v>
      </c>
      <c r="BU52" t="s">
        <v>138</v>
      </c>
      <c r="BV52" t="s">
        <v>138</v>
      </c>
      <c r="BW52" t="s">
        <v>138</v>
      </c>
      <c r="BX52" t="s">
        <v>138</v>
      </c>
      <c r="BY52" t="s">
        <v>138</v>
      </c>
      <c r="BZ52" t="s">
        <v>138</v>
      </c>
      <c r="CA52" t="s">
        <v>138</v>
      </c>
      <c r="CB52" t="s">
        <v>138</v>
      </c>
      <c r="CC52" t="s">
        <v>138</v>
      </c>
      <c r="CD52" t="s">
        <v>138</v>
      </c>
      <c r="CE52" t="s">
        <v>138</v>
      </c>
      <c r="CF52" t="s">
        <v>138</v>
      </c>
      <c r="CG52" t="s">
        <v>138</v>
      </c>
      <c r="CH52" t="s">
        <v>138</v>
      </c>
      <c r="CI52" t="s">
        <v>138</v>
      </c>
      <c r="CJ52" t="s">
        <v>138</v>
      </c>
      <c r="CK52" t="s">
        <v>138</v>
      </c>
      <c r="CL52" t="s">
        <v>138</v>
      </c>
      <c r="CM52" t="s">
        <v>138</v>
      </c>
      <c r="CN52" t="s">
        <v>138</v>
      </c>
      <c r="CO52" t="s">
        <v>138</v>
      </c>
      <c r="CP52" t="s">
        <v>138</v>
      </c>
      <c r="CQ52" t="s">
        <v>138</v>
      </c>
      <c r="CR52" t="s">
        <v>138</v>
      </c>
      <c r="CS52" t="s">
        <v>138</v>
      </c>
      <c r="CT52" t="s">
        <v>138</v>
      </c>
      <c r="CU52" t="s">
        <v>138</v>
      </c>
      <c r="CV52" t="s">
        <v>138</v>
      </c>
      <c r="CW52" t="s">
        <v>138</v>
      </c>
    </row>
    <row r="53" spans="1:101" x14ac:dyDescent="0.25">
      <c r="A53" t="s">
        <v>102</v>
      </c>
      <c r="B53" t="s">
        <v>137</v>
      </c>
      <c r="C53" t="s">
        <v>137</v>
      </c>
      <c r="D53" t="s">
        <v>137</v>
      </c>
      <c r="E53" t="s">
        <v>137</v>
      </c>
      <c r="F53" t="s">
        <v>137</v>
      </c>
      <c r="G53" t="s">
        <v>137</v>
      </c>
      <c r="H53" t="s">
        <v>137</v>
      </c>
      <c r="I53" t="s">
        <v>137</v>
      </c>
      <c r="J53" t="s">
        <v>137</v>
      </c>
      <c r="K53" t="s">
        <v>137</v>
      </c>
      <c r="L53" t="s">
        <v>137</v>
      </c>
      <c r="M53" t="s">
        <v>137</v>
      </c>
      <c r="N53" t="s">
        <v>137</v>
      </c>
      <c r="O53" t="s">
        <v>137</v>
      </c>
      <c r="P53" t="s">
        <v>137</v>
      </c>
      <c r="Q53" t="s">
        <v>137</v>
      </c>
      <c r="R53" t="s">
        <v>137</v>
      </c>
      <c r="S53" t="s">
        <v>137</v>
      </c>
      <c r="T53" t="s">
        <v>137</v>
      </c>
      <c r="U53" t="s">
        <v>137</v>
      </c>
      <c r="V53" t="s">
        <v>137</v>
      </c>
      <c r="W53" t="s">
        <v>137</v>
      </c>
      <c r="X53" t="s">
        <v>137</v>
      </c>
      <c r="Y53" t="s">
        <v>137</v>
      </c>
      <c r="Z53" t="s">
        <v>137</v>
      </c>
      <c r="AA53" t="s">
        <v>137</v>
      </c>
      <c r="AB53" t="s">
        <v>137</v>
      </c>
      <c r="AC53" t="s">
        <v>137</v>
      </c>
      <c r="AD53" t="s">
        <v>137</v>
      </c>
      <c r="AE53" t="s">
        <v>137</v>
      </c>
      <c r="AF53" t="s">
        <v>137</v>
      </c>
      <c r="AG53" t="s">
        <v>137</v>
      </c>
      <c r="AH53" t="s">
        <v>137</v>
      </c>
      <c r="AI53" t="s">
        <v>137</v>
      </c>
      <c r="AJ53" t="s">
        <v>137</v>
      </c>
      <c r="AK53" t="s">
        <v>137</v>
      </c>
      <c r="AL53" t="s">
        <v>137</v>
      </c>
      <c r="AM53" t="s">
        <v>137</v>
      </c>
      <c r="AN53" t="s">
        <v>137</v>
      </c>
      <c r="AO53" t="s">
        <v>137</v>
      </c>
      <c r="AP53" t="s">
        <v>137</v>
      </c>
      <c r="AQ53" t="s">
        <v>137</v>
      </c>
      <c r="AR53" t="s">
        <v>137</v>
      </c>
      <c r="AS53" t="s">
        <v>137</v>
      </c>
      <c r="AT53" t="s">
        <v>137</v>
      </c>
      <c r="AU53" t="s">
        <v>137</v>
      </c>
      <c r="AV53" t="s">
        <v>137</v>
      </c>
      <c r="AW53" t="s">
        <v>137</v>
      </c>
      <c r="AX53" t="s">
        <v>137</v>
      </c>
      <c r="AY53" t="s">
        <v>137</v>
      </c>
      <c r="AZ53" t="s">
        <v>137</v>
      </c>
      <c r="BA53" t="s">
        <v>137</v>
      </c>
      <c r="BB53" t="s">
        <v>137</v>
      </c>
      <c r="BC53" t="s">
        <v>137</v>
      </c>
      <c r="BD53" t="s">
        <v>137</v>
      </c>
      <c r="BE53" t="s">
        <v>137</v>
      </c>
      <c r="BF53" t="s">
        <v>137</v>
      </c>
      <c r="BG53" t="s">
        <v>137</v>
      </c>
      <c r="BH53" t="s">
        <v>137</v>
      </c>
      <c r="BI53" t="s">
        <v>137</v>
      </c>
      <c r="BJ53" t="s">
        <v>138</v>
      </c>
      <c r="BK53" t="s">
        <v>138</v>
      </c>
      <c r="BL53" t="s">
        <v>138</v>
      </c>
      <c r="BM53" t="s">
        <v>138</v>
      </c>
      <c r="BN53" t="s">
        <v>138</v>
      </c>
      <c r="BO53" t="s">
        <v>138</v>
      </c>
      <c r="BP53" t="s">
        <v>138</v>
      </c>
      <c r="BQ53" t="s">
        <v>138</v>
      </c>
      <c r="BR53" t="s">
        <v>138</v>
      </c>
      <c r="BS53" t="s">
        <v>138</v>
      </c>
      <c r="BT53" t="s">
        <v>138</v>
      </c>
      <c r="BU53" t="s">
        <v>138</v>
      </c>
      <c r="BV53" t="s">
        <v>138</v>
      </c>
      <c r="BW53" t="s">
        <v>138</v>
      </c>
      <c r="BX53" t="s">
        <v>138</v>
      </c>
      <c r="BY53" t="s">
        <v>138</v>
      </c>
      <c r="BZ53" t="s">
        <v>138</v>
      </c>
      <c r="CA53" t="s">
        <v>138</v>
      </c>
      <c r="CB53" t="s">
        <v>138</v>
      </c>
      <c r="CC53" t="s">
        <v>138</v>
      </c>
      <c r="CD53" t="s">
        <v>138</v>
      </c>
      <c r="CE53" t="s">
        <v>138</v>
      </c>
      <c r="CF53" t="s">
        <v>138</v>
      </c>
      <c r="CG53" t="s">
        <v>138</v>
      </c>
      <c r="CH53" t="s">
        <v>138</v>
      </c>
      <c r="CI53" t="s">
        <v>138</v>
      </c>
      <c r="CJ53" t="s">
        <v>138</v>
      </c>
      <c r="CK53" t="s">
        <v>138</v>
      </c>
      <c r="CL53" t="s">
        <v>138</v>
      </c>
      <c r="CM53" t="s">
        <v>138</v>
      </c>
      <c r="CN53" t="s">
        <v>138</v>
      </c>
      <c r="CO53" t="s">
        <v>138</v>
      </c>
      <c r="CP53" t="s">
        <v>138</v>
      </c>
      <c r="CQ53" t="s">
        <v>138</v>
      </c>
      <c r="CR53" t="s">
        <v>138</v>
      </c>
      <c r="CS53" t="s">
        <v>138</v>
      </c>
      <c r="CT53" t="s">
        <v>138</v>
      </c>
      <c r="CU53" t="s">
        <v>138</v>
      </c>
      <c r="CV53" t="s">
        <v>138</v>
      </c>
      <c r="CW53" t="s">
        <v>138</v>
      </c>
    </row>
    <row r="54" spans="1:101" x14ac:dyDescent="0.25">
      <c r="A54" t="s">
        <v>103</v>
      </c>
      <c r="B54" t="s">
        <v>137</v>
      </c>
      <c r="C54" t="s">
        <v>137</v>
      </c>
      <c r="D54" t="s">
        <v>137</v>
      </c>
      <c r="E54" t="s">
        <v>137</v>
      </c>
      <c r="F54" t="s">
        <v>137</v>
      </c>
      <c r="G54" t="s">
        <v>137</v>
      </c>
      <c r="H54" t="s">
        <v>137</v>
      </c>
      <c r="I54" t="s">
        <v>137</v>
      </c>
      <c r="J54" t="s">
        <v>137</v>
      </c>
      <c r="K54" t="s">
        <v>137</v>
      </c>
      <c r="L54" t="s">
        <v>137</v>
      </c>
      <c r="M54" t="s">
        <v>137</v>
      </c>
      <c r="N54" t="s">
        <v>137</v>
      </c>
      <c r="O54" t="s">
        <v>137</v>
      </c>
      <c r="P54" t="s">
        <v>137</v>
      </c>
      <c r="Q54" t="s">
        <v>137</v>
      </c>
      <c r="R54" t="s">
        <v>137</v>
      </c>
      <c r="S54" t="s">
        <v>137</v>
      </c>
      <c r="T54" t="s">
        <v>137</v>
      </c>
      <c r="U54" t="s">
        <v>137</v>
      </c>
      <c r="V54" t="s">
        <v>137</v>
      </c>
      <c r="W54" t="s">
        <v>137</v>
      </c>
      <c r="X54" t="s">
        <v>137</v>
      </c>
      <c r="Y54" t="s">
        <v>137</v>
      </c>
      <c r="Z54" t="s">
        <v>137</v>
      </c>
      <c r="AA54" t="s">
        <v>137</v>
      </c>
      <c r="AB54" t="s">
        <v>137</v>
      </c>
      <c r="AC54" t="s">
        <v>137</v>
      </c>
      <c r="AD54" t="s">
        <v>137</v>
      </c>
      <c r="AE54" t="s">
        <v>137</v>
      </c>
      <c r="AF54" t="s">
        <v>137</v>
      </c>
      <c r="AG54" t="s">
        <v>137</v>
      </c>
      <c r="AH54" t="s">
        <v>137</v>
      </c>
      <c r="AI54" t="s">
        <v>137</v>
      </c>
      <c r="AJ54" t="s">
        <v>137</v>
      </c>
      <c r="AK54" t="s">
        <v>137</v>
      </c>
      <c r="AL54" t="s">
        <v>137</v>
      </c>
      <c r="AM54" t="s">
        <v>137</v>
      </c>
      <c r="AN54" t="s">
        <v>137</v>
      </c>
      <c r="AO54" t="s">
        <v>137</v>
      </c>
      <c r="AP54" t="s">
        <v>137</v>
      </c>
      <c r="AQ54" t="s">
        <v>137</v>
      </c>
      <c r="AR54" t="s">
        <v>137</v>
      </c>
      <c r="AS54" t="s">
        <v>137</v>
      </c>
      <c r="AT54" t="s">
        <v>137</v>
      </c>
      <c r="AU54" t="s">
        <v>137</v>
      </c>
      <c r="AV54" t="s">
        <v>137</v>
      </c>
      <c r="AW54" t="s">
        <v>137</v>
      </c>
      <c r="AX54" t="s">
        <v>137</v>
      </c>
      <c r="AY54" t="s">
        <v>137</v>
      </c>
      <c r="AZ54" t="s">
        <v>137</v>
      </c>
      <c r="BA54" t="s">
        <v>137</v>
      </c>
      <c r="BB54" t="s">
        <v>137</v>
      </c>
      <c r="BC54" t="s">
        <v>137</v>
      </c>
      <c r="BD54" t="s">
        <v>137</v>
      </c>
      <c r="BE54" t="s">
        <v>137</v>
      </c>
      <c r="BF54" t="s">
        <v>137</v>
      </c>
      <c r="BG54" t="s">
        <v>137</v>
      </c>
      <c r="BH54" t="s">
        <v>137</v>
      </c>
      <c r="BI54" t="s">
        <v>137</v>
      </c>
      <c r="BJ54" t="s">
        <v>137</v>
      </c>
      <c r="BK54" t="s">
        <v>138</v>
      </c>
      <c r="BL54" t="s">
        <v>138</v>
      </c>
      <c r="BM54" t="s">
        <v>138</v>
      </c>
      <c r="BN54" t="s">
        <v>138</v>
      </c>
      <c r="BO54" t="s">
        <v>138</v>
      </c>
      <c r="BP54" t="s">
        <v>138</v>
      </c>
      <c r="BQ54" t="s">
        <v>138</v>
      </c>
      <c r="BR54" t="s">
        <v>138</v>
      </c>
      <c r="BS54" t="s">
        <v>138</v>
      </c>
      <c r="BT54" t="s">
        <v>138</v>
      </c>
      <c r="BU54" t="s">
        <v>138</v>
      </c>
      <c r="BV54" t="s">
        <v>138</v>
      </c>
      <c r="BW54" t="s">
        <v>138</v>
      </c>
      <c r="BX54" t="s">
        <v>138</v>
      </c>
      <c r="BY54" t="s">
        <v>138</v>
      </c>
      <c r="BZ54" t="s">
        <v>138</v>
      </c>
      <c r="CA54" t="s">
        <v>138</v>
      </c>
      <c r="CB54" t="s">
        <v>138</v>
      </c>
      <c r="CC54" t="s">
        <v>138</v>
      </c>
      <c r="CD54" t="s">
        <v>138</v>
      </c>
      <c r="CE54" t="s">
        <v>138</v>
      </c>
      <c r="CF54" t="s">
        <v>138</v>
      </c>
      <c r="CG54" t="s">
        <v>138</v>
      </c>
      <c r="CH54" t="s">
        <v>138</v>
      </c>
      <c r="CI54" t="s">
        <v>138</v>
      </c>
      <c r="CJ54" t="s">
        <v>138</v>
      </c>
      <c r="CK54" t="s">
        <v>138</v>
      </c>
      <c r="CL54" t="s">
        <v>138</v>
      </c>
      <c r="CM54" t="s">
        <v>138</v>
      </c>
      <c r="CN54" t="s">
        <v>138</v>
      </c>
      <c r="CO54" t="s">
        <v>138</v>
      </c>
      <c r="CP54" t="s">
        <v>138</v>
      </c>
      <c r="CQ54" t="s">
        <v>138</v>
      </c>
      <c r="CR54" t="s">
        <v>138</v>
      </c>
      <c r="CS54" t="s">
        <v>138</v>
      </c>
      <c r="CT54" t="s">
        <v>138</v>
      </c>
      <c r="CU54" t="s">
        <v>138</v>
      </c>
      <c r="CV54" t="s">
        <v>138</v>
      </c>
      <c r="CW54" t="s">
        <v>138</v>
      </c>
    </row>
    <row r="55" spans="1:101" x14ac:dyDescent="0.25">
      <c r="A55" t="s">
        <v>104</v>
      </c>
      <c r="B55" t="s">
        <v>137</v>
      </c>
      <c r="C55" t="s">
        <v>137</v>
      </c>
      <c r="D55" t="s">
        <v>137</v>
      </c>
      <c r="E55" t="s">
        <v>137</v>
      </c>
      <c r="F55" t="s">
        <v>137</v>
      </c>
      <c r="G55" t="s">
        <v>137</v>
      </c>
      <c r="H55" t="s">
        <v>137</v>
      </c>
      <c r="I55" t="s">
        <v>137</v>
      </c>
      <c r="J55" t="s">
        <v>137</v>
      </c>
      <c r="K55" t="s">
        <v>137</v>
      </c>
      <c r="L55" t="s">
        <v>137</v>
      </c>
      <c r="M55" t="s">
        <v>137</v>
      </c>
      <c r="N55" t="s">
        <v>137</v>
      </c>
      <c r="O55" t="s">
        <v>137</v>
      </c>
      <c r="P55" t="s">
        <v>137</v>
      </c>
      <c r="Q55" t="s">
        <v>137</v>
      </c>
      <c r="R55" t="s">
        <v>137</v>
      </c>
      <c r="S55" t="s">
        <v>137</v>
      </c>
      <c r="T55" t="s">
        <v>137</v>
      </c>
      <c r="U55" t="s">
        <v>137</v>
      </c>
      <c r="V55" t="s">
        <v>137</v>
      </c>
      <c r="W55" t="s">
        <v>137</v>
      </c>
      <c r="X55" t="s">
        <v>137</v>
      </c>
      <c r="Y55" t="s">
        <v>137</v>
      </c>
      <c r="Z55" t="s">
        <v>137</v>
      </c>
      <c r="AA55" t="s">
        <v>137</v>
      </c>
      <c r="AB55" t="s">
        <v>137</v>
      </c>
      <c r="AC55" t="s">
        <v>137</v>
      </c>
      <c r="AD55" t="s">
        <v>137</v>
      </c>
      <c r="AE55" t="s">
        <v>137</v>
      </c>
      <c r="AF55" t="s">
        <v>137</v>
      </c>
      <c r="AG55" t="s">
        <v>137</v>
      </c>
      <c r="AH55" t="s">
        <v>137</v>
      </c>
      <c r="AI55" t="s">
        <v>137</v>
      </c>
      <c r="AJ55" t="s">
        <v>137</v>
      </c>
      <c r="AK55" t="s">
        <v>137</v>
      </c>
      <c r="AL55" t="s">
        <v>137</v>
      </c>
      <c r="AM55" t="s">
        <v>137</v>
      </c>
      <c r="AN55" t="s">
        <v>137</v>
      </c>
      <c r="AO55" t="s">
        <v>137</v>
      </c>
      <c r="AP55" t="s">
        <v>137</v>
      </c>
      <c r="AQ55" t="s">
        <v>137</v>
      </c>
      <c r="AR55" t="s">
        <v>137</v>
      </c>
      <c r="AS55" t="s">
        <v>137</v>
      </c>
      <c r="AT55" t="s">
        <v>137</v>
      </c>
      <c r="AU55" t="s">
        <v>137</v>
      </c>
      <c r="AV55" t="s">
        <v>137</v>
      </c>
      <c r="AW55" t="s">
        <v>137</v>
      </c>
      <c r="AX55" t="s">
        <v>137</v>
      </c>
      <c r="AY55" t="s">
        <v>137</v>
      </c>
      <c r="AZ55" t="s">
        <v>137</v>
      </c>
      <c r="BA55" t="s">
        <v>137</v>
      </c>
      <c r="BB55" t="s">
        <v>137</v>
      </c>
      <c r="BC55" t="s">
        <v>137</v>
      </c>
      <c r="BD55" t="s">
        <v>137</v>
      </c>
      <c r="BE55" t="s">
        <v>137</v>
      </c>
      <c r="BF55" t="s">
        <v>137</v>
      </c>
      <c r="BG55" t="s">
        <v>137</v>
      </c>
      <c r="BH55" t="s">
        <v>137</v>
      </c>
      <c r="BI55" t="s">
        <v>137</v>
      </c>
      <c r="BJ55" t="s">
        <v>137</v>
      </c>
      <c r="BK55" t="s">
        <v>137</v>
      </c>
      <c r="BL55" t="s">
        <v>137</v>
      </c>
      <c r="BM55" t="s">
        <v>137</v>
      </c>
      <c r="BN55" t="s">
        <v>137</v>
      </c>
      <c r="BO55" t="s">
        <v>137</v>
      </c>
      <c r="BP55" t="s">
        <v>137</v>
      </c>
      <c r="BQ55" t="s">
        <v>137</v>
      </c>
      <c r="BR55" t="s">
        <v>137</v>
      </c>
      <c r="BS55" t="s">
        <v>137</v>
      </c>
      <c r="BT55" t="s">
        <v>137</v>
      </c>
      <c r="BU55" t="s">
        <v>137</v>
      </c>
      <c r="BV55" t="s">
        <v>137</v>
      </c>
      <c r="BW55" t="s">
        <v>137</v>
      </c>
      <c r="BX55" t="s">
        <v>137</v>
      </c>
      <c r="BY55" t="s">
        <v>137</v>
      </c>
      <c r="BZ55" t="s">
        <v>137</v>
      </c>
      <c r="CA55" t="s">
        <v>137</v>
      </c>
      <c r="CB55" t="s">
        <v>137</v>
      </c>
      <c r="CC55" t="s">
        <v>137</v>
      </c>
      <c r="CD55" t="s">
        <v>137</v>
      </c>
      <c r="CE55" t="s">
        <v>137</v>
      </c>
      <c r="CF55" t="s">
        <v>137</v>
      </c>
      <c r="CG55" t="s">
        <v>137</v>
      </c>
      <c r="CH55" t="s">
        <v>137</v>
      </c>
      <c r="CI55" t="s">
        <v>137</v>
      </c>
      <c r="CJ55" t="s">
        <v>137</v>
      </c>
      <c r="CK55" t="s">
        <v>137</v>
      </c>
      <c r="CL55" t="s">
        <v>137</v>
      </c>
      <c r="CM55" t="s">
        <v>137</v>
      </c>
      <c r="CN55" t="s">
        <v>137</v>
      </c>
      <c r="CO55" t="s">
        <v>137</v>
      </c>
      <c r="CP55" t="s">
        <v>137</v>
      </c>
      <c r="CQ55" t="s">
        <v>137</v>
      </c>
      <c r="CR55" t="s">
        <v>137</v>
      </c>
      <c r="CS55" t="s">
        <v>137</v>
      </c>
      <c r="CT55" t="s">
        <v>137</v>
      </c>
      <c r="CU55" t="s">
        <v>137</v>
      </c>
      <c r="CV55" t="s">
        <v>137</v>
      </c>
      <c r="CW55" t="s">
        <v>137</v>
      </c>
    </row>
    <row r="56" spans="1:101" x14ac:dyDescent="0.25">
      <c r="A56" t="s">
        <v>105</v>
      </c>
      <c r="B56" t="s">
        <v>137</v>
      </c>
      <c r="C56" t="s">
        <v>138</v>
      </c>
      <c r="D56" t="s">
        <v>138</v>
      </c>
      <c r="E56" t="s">
        <v>138</v>
      </c>
      <c r="F56" t="s">
        <v>138</v>
      </c>
      <c r="G56" t="s">
        <v>138</v>
      </c>
      <c r="H56" t="s">
        <v>138</v>
      </c>
      <c r="I56" t="s">
        <v>138</v>
      </c>
      <c r="J56" t="s">
        <v>138</v>
      </c>
      <c r="K56" t="s">
        <v>138</v>
      </c>
      <c r="L56" t="s">
        <v>138</v>
      </c>
      <c r="M56" t="s">
        <v>138</v>
      </c>
      <c r="N56" t="s">
        <v>138</v>
      </c>
      <c r="O56" t="s">
        <v>138</v>
      </c>
      <c r="P56" t="s">
        <v>138</v>
      </c>
      <c r="Q56" t="s">
        <v>138</v>
      </c>
      <c r="R56" t="s">
        <v>138</v>
      </c>
      <c r="S56" t="s">
        <v>138</v>
      </c>
      <c r="T56" t="s">
        <v>138</v>
      </c>
      <c r="U56" t="s">
        <v>138</v>
      </c>
      <c r="V56" t="s">
        <v>138</v>
      </c>
      <c r="W56" t="s">
        <v>138</v>
      </c>
      <c r="X56" t="s">
        <v>138</v>
      </c>
      <c r="Y56" t="s">
        <v>138</v>
      </c>
      <c r="Z56" t="s">
        <v>138</v>
      </c>
      <c r="AA56" t="s">
        <v>138</v>
      </c>
      <c r="AB56" t="s">
        <v>138</v>
      </c>
      <c r="AC56" t="s">
        <v>138</v>
      </c>
      <c r="AD56" t="s">
        <v>138</v>
      </c>
      <c r="AE56" t="s">
        <v>138</v>
      </c>
      <c r="AF56" t="s">
        <v>138</v>
      </c>
      <c r="AG56" t="s">
        <v>138</v>
      </c>
      <c r="AH56" t="s">
        <v>138</v>
      </c>
      <c r="AI56" t="s">
        <v>138</v>
      </c>
      <c r="AJ56" t="s">
        <v>138</v>
      </c>
      <c r="AK56" t="s">
        <v>138</v>
      </c>
      <c r="AL56" t="s">
        <v>138</v>
      </c>
      <c r="AM56" t="s">
        <v>138</v>
      </c>
      <c r="AN56" t="s">
        <v>138</v>
      </c>
      <c r="AO56" t="s">
        <v>138</v>
      </c>
      <c r="AP56" t="s">
        <v>138</v>
      </c>
      <c r="AQ56" t="s">
        <v>138</v>
      </c>
      <c r="AR56" t="s">
        <v>138</v>
      </c>
      <c r="AS56" t="s">
        <v>138</v>
      </c>
      <c r="AT56" t="s">
        <v>138</v>
      </c>
      <c r="AU56" t="s">
        <v>138</v>
      </c>
      <c r="AV56" t="s">
        <v>138</v>
      </c>
      <c r="AW56" t="s">
        <v>138</v>
      </c>
      <c r="AX56" t="s">
        <v>138</v>
      </c>
      <c r="AY56" t="s">
        <v>138</v>
      </c>
      <c r="AZ56" t="s">
        <v>138</v>
      </c>
      <c r="BA56" t="s">
        <v>138</v>
      </c>
      <c r="BB56" t="s">
        <v>138</v>
      </c>
      <c r="BC56" t="s">
        <v>138</v>
      </c>
      <c r="BD56" t="s">
        <v>138</v>
      </c>
      <c r="BE56" t="s">
        <v>138</v>
      </c>
      <c r="BF56" t="s">
        <v>138</v>
      </c>
      <c r="BG56" t="s">
        <v>138</v>
      </c>
      <c r="BH56" t="s">
        <v>138</v>
      </c>
      <c r="BI56" t="s">
        <v>138</v>
      </c>
      <c r="BJ56" t="s">
        <v>138</v>
      </c>
      <c r="BK56" t="s">
        <v>138</v>
      </c>
      <c r="BL56" t="s">
        <v>138</v>
      </c>
      <c r="BM56" t="s">
        <v>138</v>
      </c>
      <c r="BN56" t="s">
        <v>138</v>
      </c>
      <c r="BO56" t="s">
        <v>138</v>
      </c>
      <c r="BP56" t="s">
        <v>138</v>
      </c>
      <c r="BQ56" t="s">
        <v>138</v>
      </c>
      <c r="BR56" t="s">
        <v>138</v>
      </c>
      <c r="BS56" t="s">
        <v>138</v>
      </c>
      <c r="BT56" t="s">
        <v>138</v>
      </c>
      <c r="BU56" t="s">
        <v>138</v>
      </c>
      <c r="BV56" t="s">
        <v>138</v>
      </c>
      <c r="BW56" t="s">
        <v>138</v>
      </c>
      <c r="BX56" t="s">
        <v>138</v>
      </c>
      <c r="BY56" t="s">
        <v>138</v>
      </c>
      <c r="BZ56" t="s">
        <v>138</v>
      </c>
      <c r="CA56" t="s">
        <v>138</v>
      </c>
      <c r="CB56" t="s">
        <v>138</v>
      </c>
      <c r="CC56" t="s">
        <v>138</v>
      </c>
      <c r="CD56" t="s">
        <v>138</v>
      </c>
      <c r="CE56" t="s">
        <v>138</v>
      </c>
      <c r="CF56" t="s">
        <v>138</v>
      </c>
      <c r="CG56" t="s">
        <v>138</v>
      </c>
      <c r="CH56" t="s">
        <v>138</v>
      </c>
      <c r="CI56" t="s">
        <v>138</v>
      </c>
      <c r="CJ56" t="s">
        <v>138</v>
      </c>
      <c r="CK56" t="s">
        <v>138</v>
      </c>
      <c r="CL56" t="s">
        <v>138</v>
      </c>
      <c r="CM56" t="s">
        <v>138</v>
      </c>
      <c r="CN56" t="s">
        <v>138</v>
      </c>
      <c r="CO56" t="s">
        <v>138</v>
      </c>
      <c r="CP56" t="s">
        <v>138</v>
      </c>
      <c r="CQ56" t="s">
        <v>138</v>
      </c>
      <c r="CR56" t="s">
        <v>138</v>
      </c>
      <c r="CS56" t="s">
        <v>138</v>
      </c>
      <c r="CT56" t="s">
        <v>138</v>
      </c>
      <c r="CU56" t="s">
        <v>138</v>
      </c>
      <c r="CV56" t="s">
        <v>138</v>
      </c>
      <c r="CW56" t="s">
        <v>138</v>
      </c>
    </row>
    <row r="57" spans="1:101" x14ac:dyDescent="0.25">
      <c r="A57" t="s">
        <v>106</v>
      </c>
      <c r="B57" t="s">
        <v>137</v>
      </c>
      <c r="C57" t="s">
        <v>137</v>
      </c>
      <c r="D57" t="s">
        <v>137</v>
      </c>
      <c r="E57" t="s">
        <v>137</v>
      </c>
      <c r="F57" t="s">
        <v>137</v>
      </c>
      <c r="G57" t="s">
        <v>137</v>
      </c>
      <c r="H57" t="s">
        <v>137</v>
      </c>
      <c r="I57" t="s">
        <v>137</v>
      </c>
      <c r="J57" t="s">
        <v>137</v>
      </c>
      <c r="K57" t="s">
        <v>137</v>
      </c>
      <c r="L57" t="s">
        <v>137</v>
      </c>
      <c r="M57" t="s">
        <v>137</v>
      </c>
      <c r="N57" t="s">
        <v>137</v>
      </c>
      <c r="O57" t="s">
        <v>137</v>
      </c>
      <c r="P57" t="s">
        <v>137</v>
      </c>
      <c r="Q57" t="s">
        <v>137</v>
      </c>
      <c r="R57" t="s">
        <v>137</v>
      </c>
      <c r="S57" t="s">
        <v>137</v>
      </c>
      <c r="T57" t="s">
        <v>137</v>
      </c>
      <c r="U57" t="s">
        <v>137</v>
      </c>
      <c r="V57" t="s">
        <v>137</v>
      </c>
      <c r="W57" t="s">
        <v>137</v>
      </c>
      <c r="X57" t="s">
        <v>137</v>
      </c>
      <c r="Y57" t="s">
        <v>137</v>
      </c>
      <c r="Z57" t="s">
        <v>137</v>
      </c>
      <c r="AA57" t="s">
        <v>137</v>
      </c>
      <c r="AB57" t="s">
        <v>137</v>
      </c>
      <c r="AC57" t="s">
        <v>137</v>
      </c>
      <c r="AD57" t="s">
        <v>137</v>
      </c>
      <c r="AE57" t="s">
        <v>137</v>
      </c>
      <c r="AF57" t="s">
        <v>137</v>
      </c>
      <c r="AG57" t="s">
        <v>137</v>
      </c>
      <c r="AH57" t="s">
        <v>137</v>
      </c>
      <c r="AI57" t="s">
        <v>137</v>
      </c>
      <c r="AJ57" t="s">
        <v>137</v>
      </c>
      <c r="AK57" t="s">
        <v>137</v>
      </c>
      <c r="AL57" t="s">
        <v>137</v>
      </c>
      <c r="AM57" t="s">
        <v>137</v>
      </c>
      <c r="AN57" t="s">
        <v>137</v>
      </c>
      <c r="AO57" t="s">
        <v>137</v>
      </c>
      <c r="AP57" t="s">
        <v>137</v>
      </c>
      <c r="AQ57" t="s">
        <v>137</v>
      </c>
      <c r="AR57" t="s">
        <v>137</v>
      </c>
      <c r="AS57" t="s">
        <v>137</v>
      </c>
      <c r="AT57" t="s">
        <v>137</v>
      </c>
      <c r="AU57" t="s">
        <v>137</v>
      </c>
      <c r="AV57" t="s">
        <v>137</v>
      </c>
      <c r="AW57" t="s">
        <v>137</v>
      </c>
      <c r="AX57" t="s">
        <v>137</v>
      </c>
      <c r="AY57" t="s">
        <v>137</v>
      </c>
      <c r="AZ57" t="s">
        <v>137</v>
      </c>
      <c r="BA57" t="s">
        <v>137</v>
      </c>
      <c r="BB57" t="s">
        <v>137</v>
      </c>
      <c r="BC57" t="s">
        <v>137</v>
      </c>
      <c r="BD57" t="s">
        <v>137</v>
      </c>
      <c r="BE57" t="s">
        <v>137</v>
      </c>
      <c r="BF57" t="s">
        <v>137</v>
      </c>
      <c r="BG57" t="s">
        <v>137</v>
      </c>
      <c r="BH57" t="s">
        <v>137</v>
      </c>
      <c r="BI57" t="s">
        <v>137</v>
      </c>
      <c r="BJ57" t="s">
        <v>137</v>
      </c>
      <c r="BK57" t="s">
        <v>137</v>
      </c>
      <c r="BL57" t="s">
        <v>137</v>
      </c>
      <c r="BM57" t="s">
        <v>137</v>
      </c>
      <c r="BN57" t="s">
        <v>137</v>
      </c>
      <c r="BO57" t="s">
        <v>137</v>
      </c>
      <c r="BP57" t="s">
        <v>137</v>
      </c>
      <c r="BQ57" t="s">
        <v>137</v>
      </c>
      <c r="BR57" t="s">
        <v>137</v>
      </c>
      <c r="BS57" t="s">
        <v>137</v>
      </c>
      <c r="BT57" t="s">
        <v>137</v>
      </c>
      <c r="BU57" t="s">
        <v>137</v>
      </c>
      <c r="BV57" t="s">
        <v>137</v>
      </c>
      <c r="BW57" t="s">
        <v>137</v>
      </c>
      <c r="BX57" t="s">
        <v>137</v>
      </c>
      <c r="BY57" t="s">
        <v>137</v>
      </c>
      <c r="BZ57" t="s">
        <v>137</v>
      </c>
      <c r="CA57" t="s">
        <v>137</v>
      </c>
      <c r="CB57" t="s">
        <v>137</v>
      </c>
      <c r="CC57" t="s">
        <v>137</v>
      </c>
      <c r="CD57" t="s">
        <v>137</v>
      </c>
      <c r="CE57" t="s">
        <v>137</v>
      </c>
      <c r="CF57" t="s">
        <v>137</v>
      </c>
      <c r="CG57" t="s">
        <v>137</v>
      </c>
      <c r="CH57" t="s">
        <v>137</v>
      </c>
      <c r="CI57" t="s">
        <v>137</v>
      </c>
      <c r="CJ57" t="s">
        <v>137</v>
      </c>
      <c r="CK57" t="s">
        <v>137</v>
      </c>
      <c r="CL57" t="s">
        <v>137</v>
      </c>
      <c r="CM57" t="s">
        <v>137</v>
      </c>
      <c r="CN57" t="s">
        <v>137</v>
      </c>
      <c r="CO57" t="s">
        <v>137</v>
      </c>
      <c r="CP57" t="s">
        <v>137</v>
      </c>
      <c r="CQ57" t="s">
        <v>137</v>
      </c>
      <c r="CR57" t="s">
        <v>137</v>
      </c>
      <c r="CS57" t="s">
        <v>137</v>
      </c>
      <c r="CT57" t="s">
        <v>137</v>
      </c>
      <c r="CU57" t="s">
        <v>137</v>
      </c>
      <c r="CV57" t="s">
        <v>137</v>
      </c>
      <c r="CW57" t="s">
        <v>137</v>
      </c>
    </row>
    <row r="58" spans="1:101" x14ac:dyDescent="0.25">
      <c r="A58" t="s">
        <v>107</v>
      </c>
      <c r="B58" t="s">
        <v>137</v>
      </c>
      <c r="C58" t="s">
        <v>137</v>
      </c>
      <c r="D58" t="s">
        <v>137</v>
      </c>
      <c r="E58" t="s">
        <v>137</v>
      </c>
      <c r="F58" t="s">
        <v>137</v>
      </c>
      <c r="G58" t="s">
        <v>137</v>
      </c>
      <c r="H58" t="s">
        <v>137</v>
      </c>
      <c r="I58" t="s">
        <v>137</v>
      </c>
      <c r="J58" t="s">
        <v>137</v>
      </c>
      <c r="K58" t="s">
        <v>137</v>
      </c>
      <c r="L58" t="s">
        <v>137</v>
      </c>
      <c r="M58" t="s">
        <v>137</v>
      </c>
      <c r="N58" t="s">
        <v>137</v>
      </c>
      <c r="O58" t="s">
        <v>137</v>
      </c>
      <c r="P58" t="s">
        <v>137</v>
      </c>
      <c r="Q58" t="s">
        <v>137</v>
      </c>
      <c r="R58" t="s">
        <v>137</v>
      </c>
      <c r="S58" t="s">
        <v>137</v>
      </c>
      <c r="T58" t="s">
        <v>137</v>
      </c>
      <c r="U58" t="s">
        <v>137</v>
      </c>
      <c r="V58" t="s">
        <v>137</v>
      </c>
      <c r="W58" t="s">
        <v>137</v>
      </c>
      <c r="X58" t="s">
        <v>137</v>
      </c>
      <c r="Y58" t="s">
        <v>137</v>
      </c>
      <c r="Z58" t="s">
        <v>137</v>
      </c>
      <c r="AA58" t="s">
        <v>137</v>
      </c>
      <c r="AB58" t="s">
        <v>137</v>
      </c>
      <c r="AC58" t="s">
        <v>137</v>
      </c>
      <c r="AD58" t="s">
        <v>137</v>
      </c>
      <c r="AE58" t="s">
        <v>137</v>
      </c>
      <c r="AF58" t="s">
        <v>137</v>
      </c>
      <c r="AG58" t="s">
        <v>137</v>
      </c>
      <c r="AH58" t="s">
        <v>137</v>
      </c>
      <c r="AI58" t="s">
        <v>137</v>
      </c>
      <c r="AJ58" t="s">
        <v>137</v>
      </c>
      <c r="AK58" t="s">
        <v>137</v>
      </c>
      <c r="AL58" t="s">
        <v>137</v>
      </c>
      <c r="AM58" t="s">
        <v>137</v>
      </c>
      <c r="AN58" t="s">
        <v>137</v>
      </c>
      <c r="AO58" t="s">
        <v>137</v>
      </c>
      <c r="AP58" t="s">
        <v>137</v>
      </c>
      <c r="AQ58" t="s">
        <v>137</v>
      </c>
      <c r="AR58" t="s">
        <v>137</v>
      </c>
      <c r="AS58" t="s">
        <v>137</v>
      </c>
      <c r="AT58" t="s">
        <v>137</v>
      </c>
      <c r="AU58" t="s">
        <v>137</v>
      </c>
      <c r="AV58" t="s">
        <v>137</v>
      </c>
      <c r="AW58" t="s">
        <v>137</v>
      </c>
      <c r="AX58" t="s">
        <v>137</v>
      </c>
      <c r="AY58" t="s">
        <v>137</v>
      </c>
      <c r="AZ58" t="s">
        <v>137</v>
      </c>
      <c r="BA58" t="s">
        <v>137</v>
      </c>
      <c r="BB58" t="s">
        <v>137</v>
      </c>
      <c r="BC58" t="s">
        <v>137</v>
      </c>
      <c r="BD58" t="s">
        <v>137</v>
      </c>
      <c r="BE58" t="s">
        <v>137</v>
      </c>
      <c r="BF58" t="s">
        <v>137</v>
      </c>
      <c r="BG58" t="s">
        <v>137</v>
      </c>
      <c r="BH58" t="s">
        <v>137</v>
      </c>
      <c r="BI58" t="s">
        <v>137</v>
      </c>
      <c r="BJ58" t="s">
        <v>137</v>
      </c>
      <c r="BK58" t="s">
        <v>137</v>
      </c>
      <c r="BL58" t="s">
        <v>137</v>
      </c>
      <c r="BM58" t="s">
        <v>137</v>
      </c>
      <c r="BN58" t="s">
        <v>137</v>
      </c>
      <c r="BO58" t="s">
        <v>137</v>
      </c>
      <c r="BP58" t="s">
        <v>137</v>
      </c>
      <c r="BQ58" t="s">
        <v>137</v>
      </c>
      <c r="BR58" t="s">
        <v>137</v>
      </c>
      <c r="BS58" t="s">
        <v>137</v>
      </c>
      <c r="BT58" t="s">
        <v>137</v>
      </c>
      <c r="BU58" t="s">
        <v>137</v>
      </c>
      <c r="BV58" t="s">
        <v>137</v>
      </c>
      <c r="BW58" t="s">
        <v>137</v>
      </c>
      <c r="BX58" t="s">
        <v>137</v>
      </c>
      <c r="BY58" t="s">
        <v>137</v>
      </c>
      <c r="BZ58" t="s">
        <v>137</v>
      </c>
      <c r="CA58" t="s">
        <v>137</v>
      </c>
      <c r="CB58" t="s">
        <v>137</v>
      </c>
      <c r="CC58" t="s">
        <v>137</v>
      </c>
      <c r="CD58" t="s">
        <v>137</v>
      </c>
      <c r="CE58" t="s">
        <v>137</v>
      </c>
      <c r="CF58" t="s">
        <v>137</v>
      </c>
      <c r="CG58" t="s">
        <v>137</v>
      </c>
      <c r="CH58" t="s">
        <v>137</v>
      </c>
      <c r="CI58" t="s">
        <v>137</v>
      </c>
      <c r="CJ58" t="s">
        <v>137</v>
      </c>
      <c r="CK58" t="s">
        <v>137</v>
      </c>
      <c r="CL58" t="s">
        <v>137</v>
      </c>
      <c r="CM58" t="s">
        <v>137</v>
      </c>
      <c r="CN58" t="s">
        <v>137</v>
      </c>
      <c r="CO58" t="s">
        <v>137</v>
      </c>
      <c r="CP58" t="s">
        <v>137</v>
      </c>
      <c r="CQ58" t="s">
        <v>137</v>
      </c>
      <c r="CR58" t="s">
        <v>137</v>
      </c>
      <c r="CS58" t="s">
        <v>137</v>
      </c>
      <c r="CT58" t="s">
        <v>137</v>
      </c>
      <c r="CU58" t="s">
        <v>137</v>
      </c>
      <c r="CV58" t="s">
        <v>137</v>
      </c>
      <c r="CW58" t="s">
        <v>137</v>
      </c>
    </row>
    <row r="59" spans="1:101" x14ac:dyDescent="0.25">
      <c r="A59" t="s">
        <v>109</v>
      </c>
      <c r="B59" t="s">
        <v>137</v>
      </c>
      <c r="C59" t="s">
        <v>137</v>
      </c>
      <c r="D59" t="s">
        <v>137</v>
      </c>
      <c r="E59" t="s">
        <v>137</v>
      </c>
      <c r="F59" t="s">
        <v>137</v>
      </c>
      <c r="G59" t="s">
        <v>137</v>
      </c>
      <c r="H59" t="s">
        <v>137</v>
      </c>
      <c r="I59" t="s">
        <v>137</v>
      </c>
      <c r="J59" t="s">
        <v>137</v>
      </c>
      <c r="K59" t="s">
        <v>137</v>
      </c>
      <c r="L59" t="s">
        <v>137</v>
      </c>
      <c r="M59" t="s">
        <v>137</v>
      </c>
      <c r="N59" t="s">
        <v>137</v>
      </c>
      <c r="O59" t="s">
        <v>137</v>
      </c>
      <c r="P59" t="s">
        <v>137</v>
      </c>
      <c r="Q59" t="s">
        <v>137</v>
      </c>
      <c r="R59" t="s">
        <v>137</v>
      </c>
      <c r="S59" t="s">
        <v>137</v>
      </c>
      <c r="T59" t="s">
        <v>137</v>
      </c>
      <c r="U59" t="s">
        <v>137</v>
      </c>
      <c r="V59" t="s">
        <v>137</v>
      </c>
      <c r="W59" t="s">
        <v>137</v>
      </c>
      <c r="X59" t="s">
        <v>137</v>
      </c>
      <c r="Y59" t="s">
        <v>137</v>
      </c>
      <c r="Z59" t="s">
        <v>137</v>
      </c>
      <c r="AA59" t="s">
        <v>137</v>
      </c>
      <c r="AB59" t="s">
        <v>137</v>
      </c>
      <c r="AC59" t="s">
        <v>137</v>
      </c>
      <c r="AD59" t="s">
        <v>137</v>
      </c>
      <c r="AE59" t="s">
        <v>137</v>
      </c>
      <c r="AF59" t="s">
        <v>137</v>
      </c>
      <c r="AG59" t="s">
        <v>137</v>
      </c>
      <c r="AH59" t="s">
        <v>137</v>
      </c>
      <c r="AI59" t="s">
        <v>137</v>
      </c>
      <c r="AJ59" t="s">
        <v>137</v>
      </c>
      <c r="AK59" t="s">
        <v>137</v>
      </c>
      <c r="AL59" t="s">
        <v>137</v>
      </c>
      <c r="AM59" t="s">
        <v>137</v>
      </c>
      <c r="AN59" t="s">
        <v>137</v>
      </c>
      <c r="AO59" t="s">
        <v>137</v>
      </c>
      <c r="AP59" t="s">
        <v>137</v>
      </c>
      <c r="AQ59" t="s">
        <v>137</v>
      </c>
      <c r="AR59" t="s">
        <v>137</v>
      </c>
      <c r="AS59" t="s">
        <v>137</v>
      </c>
      <c r="AT59" t="s">
        <v>137</v>
      </c>
      <c r="AU59" t="s">
        <v>137</v>
      </c>
      <c r="AV59" t="s">
        <v>137</v>
      </c>
      <c r="AW59" t="s">
        <v>137</v>
      </c>
      <c r="AX59" t="s">
        <v>137</v>
      </c>
      <c r="AY59" t="s">
        <v>137</v>
      </c>
      <c r="AZ59" t="s">
        <v>137</v>
      </c>
      <c r="BA59" t="s">
        <v>137</v>
      </c>
      <c r="BB59" t="s">
        <v>137</v>
      </c>
      <c r="BC59" t="s">
        <v>137</v>
      </c>
      <c r="BD59" t="s">
        <v>137</v>
      </c>
      <c r="BE59" t="s">
        <v>137</v>
      </c>
      <c r="BF59" t="s">
        <v>137</v>
      </c>
      <c r="BG59" t="s">
        <v>137</v>
      </c>
      <c r="BH59" t="s">
        <v>137</v>
      </c>
      <c r="BI59" t="s">
        <v>137</v>
      </c>
      <c r="BJ59" t="s">
        <v>137</v>
      </c>
      <c r="BK59" t="s">
        <v>137</v>
      </c>
      <c r="BL59" t="s">
        <v>137</v>
      </c>
      <c r="BM59" t="s">
        <v>137</v>
      </c>
      <c r="BN59" t="s">
        <v>137</v>
      </c>
      <c r="BO59" t="s">
        <v>137</v>
      </c>
      <c r="BP59" t="s">
        <v>137</v>
      </c>
      <c r="BQ59" t="s">
        <v>137</v>
      </c>
      <c r="BR59" t="s">
        <v>137</v>
      </c>
      <c r="BS59" t="s">
        <v>137</v>
      </c>
      <c r="BT59" t="s">
        <v>137</v>
      </c>
      <c r="BU59" t="s">
        <v>137</v>
      </c>
      <c r="BV59" t="s">
        <v>137</v>
      </c>
      <c r="BW59" t="s">
        <v>137</v>
      </c>
      <c r="BX59" t="s">
        <v>137</v>
      </c>
      <c r="BY59" t="s">
        <v>137</v>
      </c>
      <c r="BZ59" t="s">
        <v>137</v>
      </c>
      <c r="CA59" t="s">
        <v>137</v>
      </c>
      <c r="CB59" t="s">
        <v>137</v>
      </c>
      <c r="CC59" t="s">
        <v>137</v>
      </c>
      <c r="CD59" t="s">
        <v>137</v>
      </c>
      <c r="CE59" t="s">
        <v>137</v>
      </c>
      <c r="CF59" t="s">
        <v>137</v>
      </c>
      <c r="CG59" t="s">
        <v>137</v>
      </c>
      <c r="CH59" t="s">
        <v>137</v>
      </c>
      <c r="CI59" t="s">
        <v>137</v>
      </c>
      <c r="CJ59" t="s">
        <v>137</v>
      </c>
      <c r="CK59" t="s">
        <v>137</v>
      </c>
      <c r="CL59" t="s">
        <v>137</v>
      </c>
      <c r="CM59" t="s">
        <v>137</v>
      </c>
      <c r="CN59" t="s">
        <v>137</v>
      </c>
      <c r="CO59" t="s">
        <v>137</v>
      </c>
      <c r="CP59" t="s">
        <v>137</v>
      </c>
      <c r="CQ59" t="s">
        <v>137</v>
      </c>
      <c r="CR59" t="s">
        <v>137</v>
      </c>
      <c r="CS59" t="s">
        <v>137</v>
      </c>
      <c r="CT59" t="s">
        <v>137</v>
      </c>
      <c r="CU59" t="s">
        <v>137</v>
      </c>
      <c r="CV59" t="s">
        <v>137</v>
      </c>
      <c r="CW59" t="s">
        <v>137</v>
      </c>
    </row>
    <row r="60" spans="1:101" x14ac:dyDescent="0.25">
      <c r="A60" t="s">
        <v>110</v>
      </c>
      <c r="B60" t="s">
        <v>137</v>
      </c>
      <c r="C60" t="s">
        <v>137</v>
      </c>
      <c r="D60" t="s">
        <v>137</v>
      </c>
      <c r="E60" t="s">
        <v>137</v>
      </c>
      <c r="F60" t="s">
        <v>137</v>
      </c>
      <c r="G60" t="s">
        <v>137</v>
      </c>
      <c r="H60" t="s">
        <v>137</v>
      </c>
      <c r="I60" t="s">
        <v>137</v>
      </c>
      <c r="J60" t="s">
        <v>137</v>
      </c>
      <c r="K60" t="s">
        <v>137</v>
      </c>
      <c r="L60" t="s">
        <v>137</v>
      </c>
      <c r="M60" t="s">
        <v>137</v>
      </c>
      <c r="N60" t="s">
        <v>137</v>
      </c>
      <c r="O60" t="s">
        <v>137</v>
      </c>
      <c r="P60" t="s">
        <v>137</v>
      </c>
      <c r="Q60" t="s">
        <v>137</v>
      </c>
      <c r="R60" t="s">
        <v>137</v>
      </c>
      <c r="S60" t="s">
        <v>137</v>
      </c>
      <c r="T60" t="s">
        <v>137</v>
      </c>
      <c r="U60" t="s">
        <v>137</v>
      </c>
      <c r="V60" t="s">
        <v>137</v>
      </c>
      <c r="W60" t="s">
        <v>137</v>
      </c>
      <c r="X60" t="s">
        <v>137</v>
      </c>
      <c r="Y60" t="s">
        <v>137</v>
      </c>
      <c r="Z60" t="s">
        <v>137</v>
      </c>
      <c r="AA60" t="s">
        <v>137</v>
      </c>
      <c r="AB60" t="s">
        <v>137</v>
      </c>
      <c r="AC60" t="s">
        <v>137</v>
      </c>
      <c r="AD60" t="s">
        <v>137</v>
      </c>
      <c r="AE60" t="s">
        <v>137</v>
      </c>
      <c r="AF60" t="s">
        <v>137</v>
      </c>
      <c r="AG60" t="s">
        <v>137</v>
      </c>
      <c r="AH60" t="s">
        <v>137</v>
      </c>
      <c r="AI60" t="s">
        <v>137</v>
      </c>
      <c r="AJ60" t="s">
        <v>137</v>
      </c>
      <c r="AK60" t="s">
        <v>137</v>
      </c>
      <c r="AL60" t="s">
        <v>137</v>
      </c>
      <c r="AM60" t="s">
        <v>137</v>
      </c>
      <c r="AN60" t="s">
        <v>137</v>
      </c>
      <c r="AO60" t="s">
        <v>137</v>
      </c>
      <c r="AP60" t="s">
        <v>137</v>
      </c>
      <c r="AQ60" t="s">
        <v>137</v>
      </c>
      <c r="AR60" t="s">
        <v>137</v>
      </c>
      <c r="AS60" t="s">
        <v>137</v>
      </c>
      <c r="AT60" t="s">
        <v>137</v>
      </c>
      <c r="AU60" t="s">
        <v>137</v>
      </c>
      <c r="AV60" t="s">
        <v>137</v>
      </c>
      <c r="AW60" t="s">
        <v>137</v>
      </c>
      <c r="AX60" t="s">
        <v>137</v>
      </c>
      <c r="AY60" t="s">
        <v>137</v>
      </c>
      <c r="AZ60" t="s">
        <v>137</v>
      </c>
      <c r="BA60" t="s">
        <v>137</v>
      </c>
      <c r="BB60" t="s">
        <v>137</v>
      </c>
      <c r="BC60" t="s">
        <v>137</v>
      </c>
      <c r="BD60" t="s">
        <v>137</v>
      </c>
      <c r="BE60" t="s">
        <v>137</v>
      </c>
      <c r="BF60" t="s">
        <v>137</v>
      </c>
      <c r="BG60" t="s">
        <v>137</v>
      </c>
      <c r="BH60" t="s">
        <v>137</v>
      </c>
      <c r="BI60" t="s">
        <v>137</v>
      </c>
      <c r="BJ60" t="s">
        <v>137</v>
      </c>
      <c r="BK60" t="s">
        <v>137</v>
      </c>
      <c r="BL60" t="s">
        <v>137</v>
      </c>
      <c r="BM60" t="s">
        <v>137</v>
      </c>
      <c r="BN60" t="s">
        <v>137</v>
      </c>
      <c r="BO60" t="s">
        <v>137</v>
      </c>
      <c r="BP60" t="s">
        <v>137</v>
      </c>
      <c r="BQ60" t="s">
        <v>137</v>
      </c>
      <c r="BR60" t="s">
        <v>137</v>
      </c>
      <c r="BS60" t="s">
        <v>137</v>
      </c>
      <c r="BT60" t="s">
        <v>137</v>
      </c>
      <c r="BU60" t="s">
        <v>137</v>
      </c>
      <c r="BV60" t="s">
        <v>137</v>
      </c>
      <c r="BW60" t="s">
        <v>137</v>
      </c>
      <c r="BX60" t="s">
        <v>137</v>
      </c>
      <c r="BY60" t="s">
        <v>137</v>
      </c>
      <c r="BZ60" t="s">
        <v>137</v>
      </c>
      <c r="CA60" t="s">
        <v>137</v>
      </c>
      <c r="CB60" t="s">
        <v>137</v>
      </c>
      <c r="CC60" t="s">
        <v>137</v>
      </c>
      <c r="CD60" t="s">
        <v>137</v>
      </c>
      <c r="CE60" t="s">
        <v>137</v>
      </c>
      <c r="CF60" t="s">
        <v>137</v>
      </c>
      <c r="CG60" t="s">
        <v>137</v>
      </c>
      <c r="CH60" t="s">
        <v>137</v>
      </c>
      <c r="CI60" t="s">
        <v>137</v>
      </c>
      <c r="CJ60" t="s">
        <v>137</v>
      </c>
      <c r="CK60" t="s">
        <v>137</v>
      </c>
      <c r="CL60" t="s">
        <v>137</v>
      </c>
      <c r="CM60" t="s">
        <v>137</v>
      </c>
      <c r="CN60" t="s">
        <v>137</v>
      </c>
      <c r="CO60" t="s">
        <v>137</v>
      </c>
      <c r="CP60" t="s">
        <v>137</v>
      </c>
      <c r="CQ60" t="s">
        <v>137</v>
      </c>
      <c r="CR60" t="s">
        <v>137</v>
      </c>
      <c r="CS60" t="s">
        <v>137</v>
      </c>
      <c r="CT60" t="s">
        <v>137</v>
      </c>
      <c r="CU60" t="s">
        <v>137</v>
      </c>
      <c r="CV60" t="s">
        <v>137</v>
      </c>
      <c r="CW60" t="s">
        <v>137</v>
      </c>
    </row>
    <row r="61" spans="1:101" x14ac:dyDescent="0.25">
      <c r="A61" t="s">
        <v>111</v>
      </c>
      <c r="B61" t="s">
        <v>137</v>
      </c>
      <c r="C61" t="s">
        <v>137</v>
      </c>
      <c r="D61" t="s">
        <v>137</v>
      </c>
      <c r="E61" t="s">
        <v>137</v>
      </c>
      <c r="F61" t="s">
        <v>137</v>
      </c>
      <c r="G61" t="s">
        <v>137</v>
      </c>
      <c r="H61" t="s">
        <v>137</v>
      </c>
      <c r="I61" t="s">
        <v>137</v>
      </c>
      <c r="J61" t="s">
        <v>137</v>
      </c>
      <c r="K61" t="s">
        <v>137</v>
      </c>
      <c r="L61" t="s">
        <v>137</v>
      </c>
      <c r="M61" t="s">
        <v>137</v>
      </c>
      <c r="N61" t="s">
        <v>137</v>
      </c>
      <c r="O61" t="s">
        <v>137</v>
      </c>
      <c r="P61" t="s">
        <v>137</v>
      </c>
      <c r="Q61" t="s">
        <v>137</v>
      </c>
      <c r="R61" t="s">
        <v>137</v>
      </c>
      <c r="S61" t="s">
        <v>137</v>
      </c>
      <c r="T61" t="s">
        <v>137</v>
      </c>
      <c r="U61" t="s">
        <v>137</v>
      </c>
      <c r="V61" t="s">
        <v>137</v>
      </c>
      <c r="W61" t="s">
        <v>137</v>
      </c>
      <c r="X61" t="s">
        <v>137</v>
      </c>
      <c r="Y61" t="s">
        <v>137</v>
      </c>
      <c r="Z61" t="s">
        <v>137</v>
      </c>
      <c r="AA61" t="s">
        <v>137</v>
      </c>
      <c r="AB61" t="s">
        <v>137</v>
      </c>
      <c r="AC61" t="s">
        <v>137</v>
      </c>
      <c r="AD61" t="s">
        <v>137</v>
      </c>
      <c r="AE61" t="s">
        <v>137</v>
      </c>
      <c r="AF61" t="s">
        <v>137</v>
      </c>
      <c r="AG61" t="s">
        <v>137</v>
      </c>
      <c r="AH61" t="s">
        <v>137</v>
      </c>
      <c r="AI61" t="s">
        <v>137</v>
      </c>
      <c r="AJ61" t="s">
        <v>137</v>
      </c>
      <c r="AK61" t="s">
        <v>137</v>
      </c>
      <c r="AL61" t="s">
        <v>137</v>
      </c>
      <c r="AM61" t="s">
        <v>137</v>
      </c>
      <c r="AN61" t="s">
        <v>137</v>
      </c>
      <c r="AO61" t="s">
        <v>137</v>
      </c>
      <c r="AP61" t="s">
        <v>137</v>
      </c>
      <c r="AQ61" t="s">
        <v>137</v>
      </c>
      <c r="AR61" t="s">
        <v>137</v>
      </c>
      <c r="AS61" t="s">
        <v>137</v>
      </c>
      <c r="AT61" t="s">
        <v>137</v>
      </c>
      <c r="AU61" t="s">
        <v>137</v>
      </c>
      <c r="AV61" t="s">
        <v>137</v>
      </c>
      <c r="AW61" t="s">
        <v>137</v>
      </c>
      <c r="AX61" t="s">
        <v>137</v>
      </c>
      <c r="AY61" t="s">
        <v>137</v>
      </c>
      <c r="AZ61" t="s">
        <v>137</v>
      </c>
      <c r="BA61" t="s">
        <v>137</v>
      </c>
      <c r="BB61" t="s">
        <v>137</v>
      </c>
      <c r="BC61" t="s">
        <v>137</v>
      </c>
      <c r="BD61" t="s">
        <v>137</v>
      </c>
      <c r="BE61" t="s">
        <v>137</v>
      </c>
      <c r="BF61" t="s">
        <v>137</v>
      </c>
      <c r="BG61" t="s">
        <v>137</v>
      </c>
      <c r="BH61" t="s">
        <v>137</v>
      </c>
      <c r="BI61" t="s">
        <v>137</v>
      </c>
      <c r="BJ61" t="s">
        <v>137</v>
      </c>
      <c r="BK61" t="s">
        <v>137</v>
      </c>
      <c r="BL61" t="s">
        <v>137</v>
      </c>
      <c r="BM61" t="s">
        <v>137</v>
      </c>
      <c r="BN61" t="s">
        <v>137</v>
      </c>
      <c r="BO61" t="s">
        <v>137</v>
      </c>
      <c r="BP61" t="s">
        <v>137</v>
      </c>
      <c r="BQ61" t="s">
        <v>137</v>
      </c>
      <c r="BR61" t="s">
        <v>137</v>
      </c>
      <c r="BS61" t="s">
        <v>137</v>
      </c>
      <c r="BT61" t="s">
        <v>137</v>
      </c>
      <c r="BU61" t="s">
        <v>137</v>
      </c>
      <c r="BV61" t="s">
        <v>137</v>
      </c>
      <c r="BW61" t="s">
        <v>137</v>
      </c>
      <c r="BX61" t="s">
        <v>137</v>
      </c>
      <c r="BY61" t="s">
        <v>137</v>
      </c>
      <c r="BZ61" t="s">
        <v>137</v>
      </c>
      <c r="CA61" t="s">
        <v>137</v>
      </c>
      <c r="CB61" t="s">
        <v>137</v>
      </c>
      <c r="CC61" t="s">
        <v>137</v>
      </c>
      <c r="CD61" t="s">
        <v>137</v>
      </c>
      <c r="CE61" t="s">
        <v>137</v>
      </c>
      <c r="CF61" t="s">
        <v>137</v>
      </c>
      <c r="CG61" t="s">
        <v>137</v>
      </c>
      <c r="CH61" t="s">
        <v>137</v>
      </c>
      <c r="CI61" t="s">
        <v>137</v>
      </c>
      <c r="CJ61" t="s">
        <v>137</v>
      </c>
      <c r="CK61" t="s">
        <v>137</v>
      </c>
      <c r="CL61" t="s">
        <v>137</v>
      </c>
      <c r="CM61" t="s">
        <v>137</v>
      </c>
      <c r="CN61" t="s">
        <v>137</v>
      </c>
      <c r="CO61" t="s">
        <v>137</v>
      </c>
      <c r="CP61" t="s">
        <v>137</v>
      </c>
      <c r="CQ61" t="s">
        <v>137</v>
      </c>
      <c r="CR61" t="s">
        <v>137</v>
      </c>
      <c r="CS61" t="s">
        <v>137</v>
      </c>
      <c r="CT61" t="s">
        <v>137</v>
      </c>
      <c r="CU61" t="s">
        <v>137</v>
      </c>
      <c r="CV61" t="s">
        <v>137</v>
      </c>
      <c r="CW61" t="s">
        <v>137</v>
      </c>
    </row>
    <row r="62" spans="1:101" x14ac:dyDescent="0.25">
      <c r="A62" t="s">
        <v>112</v>
      </c>
      <c r="B62" t="s">
        <v>137</v>
      </c>
      <c r="C62" t="s">
        <v>137</v>
      </c>
      <c r="D62" t="s">
        <v>137</v>
      </c>
      <c r="E62" t="s">
        <v>137</v>
      </c>
      <c r="F62" t="s">
        <v>137</v>
      </c>
      <c r="G62" t="s">
        <v>137</v>
      </c>
      <c r="H62" t="s">
        <v>137</v>
      </c>
      <c r="I62" t="s">
        <v>137</v>
      </c>
      <c r="J62" t="s">
        <v>137</v>
      </c>
      <c r="K62" t="s">
        <v>137</v>
      </c>
      <c r="L62" t="s">
        <v>137</v>
      </c>
      <c r="M62" t="s">
        <v>137</v>
      </c>
      <c r="N62" t="s">
        <v>137</v>
      </c>
      <c r="O62" t="s">
        <v>137</v>
      </c>
      <c r="P62" t="s">
        <v>137</v>
      </c>
      <c r="Q62" t="s">
        <v>137</v>
      </c>
      <c r="R62" t="s">
        <v>137</v>
      </c>
      <c r="S62" t="s">
        <v>137</v>
      </c>
      <c r="T62" t="s">
        <v>137</v>
      </c>
      <c r="U62" t="s">
        <v>137</v>
      </c>
      <c r="V62" t="s">
        <v>137</v>
      </c>
      <c r="W62" t="s">
        <v>137</v>
      </c>
      <c r="X62" t="s">
        <v>137</v>
      </c>
      <c r="Y62" t="s">
        <v>137</v>
      </c>
      <c r="Z62" t="s">
        <v>137</v>
      </c>
      <c r="AA62" t="s">
        <v>137</v>
      </c>
      <c r="AB62" t="s">
        <v>137</v>
      </c>
      <c r="AC62" t="s">
        <v>137</v>
      </c>
      <c r="AD62" t="s">
        <v>137</v>
      </c>
      <c r="AE62" t="s">
        <v>137</v>
      </c>
      <c r="AF62" t="s">
        <v>137</v>
      </c>
      <c r="AG62" t="s">
        <v>137</v>
      </c>
      <c r="AH62" t="s">
        <v>137</v>
      </c>
      <c r="AI62" t="s">
        <v>137</v>
      </c>
      <c r="AJ62" t="s">
        <v>137</v>
      </c>
      <c r="AK62" t="s">
        <v>137</v>
      </c>
      <c r="AL62" t="s">
        <v>137</v>
      </c>
      <c r="AM62" t="s">
        <v>137</v>
      </c>
      <c r="AN62" t="s">
        <v>137</v>
      </c>
      <c r="AO62" t="s">
        <v>137</v>
      </c>
      <c r="AP62" t="s">
        <v>137</v>
      </c>
      <c r="AQ62" t="s">
        <v>137</v>
      </c>
      <c r="AR62" t="s">
        <v>137</v>
      </c>
      <c r="AS62" t="s">
        <v>137</v>
      </c>
      <c r="AT62" t="s">
        <v>137</v>
      </c>
      <c r="AU62" t="s">
        <v>137</v>
      </c>
      <c r="AV62" t="s">
        <v>137</v>
      </c>
      <c r="AW62" t="s">
        <v>137</v>
      </c>
      <c r="AX62" t="s">
        <v>137</v>
      </c>
      <c r="AY62" t="s">
        <v>137</v>
      </c>
      <c r="AZ62" t="s">
        <v>137</v>
      </c>
      <c r="BA62" t="s">
        <v>137</v>
      </c>
      <c r="BB62" t="s">
        <v>137</v>
      </c>
      <c r="BC62" t="s">
        <v>137</v>
      </c>
      <c r="BD62" t="s">
        <v>137</v>
      </c>
      <c r="BE62" t="s">
        <v>137</v>
      </c>
      <c r="BF62" t="s">
        <v>137</v>
      </c>
      <c r="BG62" t="s">
        <v>137</v>
      </c>
      <c r="BH62" t="s">
        <v>137</v>
      </c>
      <c r="BI62" t="s">
        <v>137</v>
      </c>
      <c r="BJ62" t="s">
        <v>137</v>
      </c>
      <c r="BK62" t="s">
        <v>137</v>
      </c>
      <c r="BL62" t="s">
        <v>137</v>
      </c>
      <c r="BM62" t="s">
        <v>137</v>
      </c>
      <c r="BN62" t="s">
        <v>137</v>
      </c>
      <c r="BO62" t="s">
        <v>137</v>
      </c>
      <c r="BP62" t="s">
        <v>137</v>
      </c>
      <c r="BQ62" t="s">
        <v>137</v>
      </c>
      <c r="BR62" t="s">
        <v>137</v>
      </c>
      <c r="BS62" t="s">
        <v>137</v>
      </c>
      <c r="BT62" t="s">
        <v>137</v>
      </c>
      <c r="BU62" t="s">
        <v>137</v>
      </c>
      <c r="BV62" t="s">
        <v>137</v>
      </c>
      <c r="BW62" t="s">
        <v>137</v>
      </c>
      <c r="BX62" t="s">
        <v>137</v>
      </c>
      <c r="BY62" t="s">
        <v>137</v>
      </c>
      <c r="BZ62" t="s">
        <v>137</v>
      </c>
      <c r="CA62" t="s">
        <v>137</v>
      </c>
      <c r="CB62" t="s">
        <v>137</v>
      </c>
      <c r="CC62" t="s">
        <v>137</v>
      </c>
      <c r="CD62" t="s">
        <v>137</v>
      </c>
      <c r="CE62" t="s">
        <v>137</v>
      </c>
      <c r="CF62" t="s">
        <v>137</v>
      </c>
      <c r="CG62" t="s">
        <v>137</v>
      </c>
      <c r="CH62" t="s">
        <v>137</v>
      </c>
      <c r="CI62" t="s">
        <v>137</v>
      </c>
      <c r="CJ62" t="s">
        <v>137</v>
      </c>
      <c r="CK62" t="s">
        <v>137</v>
      </c>
      <c r="CL62" t="s">
        <v>137</v>
      </c>
      <c r="CM62" t="s">
        <v>137</v>
      </c>
      <c r="CN62" t="s">
        <v>137</v>
      </c>
      <c r="CO62" t="s">
        <v>137</v>
      </c>
      <c r="CP62" t="s">
        <v>137</v>
      </c>
      <c r="CQ62" t="s">
        <v>137</v>
      </c>
      <c r="CR62" t="s">
        <v>137</v>
      </c>
      <c r="CS62" t="s">
        <v>137</v>
      </c>
      <c r="CT62" t="s">
        <v>137</v>
      </c>
      <c r="CU62" t="s">
        <v>137</v>
      </c>
      <c r="CV62" t="s">
        <v>137</v>
      </c>
      <c r="CW62" t="s">
        <v>137</v>
      </c>
    </row>
    <row r="63" spans="1:101" x14ac:dyDescent="0.25">
      <c r="A63" t="s">
        <v>113</v>
      </c>
      <c r="B63" t="s">
        <v>137</v>
      </c>
      <c r="C63" t="s">
        <v>137</v>
      </c>
      <c r="D63" t="s">
        <v>137</v>
      </c>
      <c r="E63" t="s">
        <v>137</v>
      </c>
      <c r="F63" t="s">
        <v>137</v>
      </c>
      <c r="G63" t="s">
        <v>137</v>
      </c>
      <c r="H63" t="s">
        <v>137</v>
      </c>
      <c r="I63" t="s">
        <v>137</v>
      </c>
      <c r="J63" t="s">
        <v>137</v>
      </c>
      <c r="K63" t="s">
        <v>137</v>
      </c>
      <c r="L63" t="s">
        <v>137</v>
      </c>
      <c r="M63" t="s">
        <v>137</v>
      </c>
      <c r="N63" t="s">
        <v>137</v>
      </c>
      <c r="O63" t="s">
        <v>137</v>
      </c>
      <c r="P63" t="s">
        <v>137</v>
      </c>
      <c r="Q63" t="s">
        <v>137</v>
      </c>
      <c r="R63" t="s">
        <v>137</v>
      </c>
      <c r="S63" t="s">
        <v>137</v>
      </c>
      <c r="T63" t="s">
        <v>137</v>
      </c>
      <c r="U63" t="s">
        <v>137</v>
      </c>
      <c r="V63" t="s">
        <v>137</v>
      </c>
      <c r="W63" t="s">
        <v>137</v>
      </c>
      <c r="X63" t="s">
        <v>137</v>
      </c>
      <c r="Y63" t="s">
        <v>137</v>
      </c>
      <c r="Z63" t="s">
        <v>137</v>
      </c>
      <c r="AA63" t="s">
        <v>137</v>
      </c>
      <c r="AB63" t="s">
        <v>137</v>
      </c>
      <c r="AC63" t="s">
        <v>137</v>
      </c>
      <c r="AD63" t="s">
        <v>137</v>
      </c>
      <c r="AE63" t="s">
        <v>137</v>
      </c>
      <c r="AF63" t="s">
        <v>137</v>
      </c>
      <c r="AG63" t="s">
        <v>137</v>
      </c>
      <c r="AH63" t="s">
        <v>137</v>
      </c>
      <c r="AI63" t="s">
        <v>137</v>
      </c>
      <c r="AJ63" t="s">
        <v>137</v>
      </c>
      <c r="AK63" t="s">
        <v>137</v>
      </c>
      <c r="AL63" t="s">
        <v>137</v>
      </c>
      <c r="AM63" t="s">
        <v>137</v>
      </c>
      <c r="AN63" t="s">
        <v>137</v>
      </c>
      <c r="AO63" t="s">
        <v>137</v>
      </c>
      <c r="AP63" t="s">
        <v>137</v>
      </c>
      <c r="AQ63" t="s">
        <v>137</v>
      </c>
      <c r="AR63" t="s">
        <v>137</v>
      </c>
      <c r="AS63" t="s">
        <v>137</v>
      </c>
      <c r="AT63" t="s">
        <v>137</v>
      </c>
      <c r="AU63" t="s">
        <v>137</v>
      </c>
      <c r="AV63" t="s">
        <v>137</v>
      </c>
      <c r="AW63" t="s">
        <v>137</v>
      </c>
      <c r="AX63" t="s">
        <v>137</v>
      </c>
      <c r="AY63" t="s">
        <v>137</v>
      </c>
      <c r="AZ63" t="s">
        <v>137</v>
      </c>
      <c r="BA63" t="s">
        <v>137</v>
      </c>
      <c r="BB63" t="s">
        <v>137</v>
      </c>
      <c r="BC63" t="s">
        <v>137</v>
      </c>
      <c r="BD63" t="s">
        <v>137</v>
      </c>
      <c r="BE63" t="s">
        <v>137</v>
      </c>
      <c r="BF63" t="s">
        <v>137</v>
      </c>
      <c r="BG63" t="s">
        <v>137</v>
      </c>
      <c r="BH63" t="s">
        <v>137</v>
      </c>
      <c r="BI63" t="s">
        <v>137</v>
      </c>
      <c r="BJ63" t="s">
        <v>137</v>
      </c>
      <c r="BK63" t="s">
        <v>137</v>
      </c>
      <c r="BL63" t="s">
        <v>137</v>
      </c>
      <c r="BM63" t="s">
        <v>137</v>
      </c>
      <c r="BN63" t="s">
        <v>137</v>
      </c>
      <c r="BO63" t="s">
        <v>137</v>
      </c>
      <c r="BP63" t="s">
        <v>137</v>
      </c>
      <c r="BQ63" t="s">
        <v>137</v>
      </c>
      <c r="BR63" t="s">
        <v>137</v>
      </c>
      <c r="BS63" t="s">
        <v>137</v>
      </c>
      <c r="BT63" t="s">
        <v>137</v>
      </c>
      <c r="BU63" t="s">
        <v>137</v>
      </c>
      <c r="BV63" t="s">
        <v>137</v>
      </c>
      <c r="BW63" t="s">
        <v>137</v>
      </c>
      <c r="BX63" t="s">
        <v>137</v>
      </c>
      <c r="BY63" t="s">
        <v>137</v>
      </c>
      <c r="BZ63" t="s">
        <v>137</v>
      </c>
      <c r="CA63" t="s">
        <v>137</v>
      </c>
      <c r="CB63" t="s">
        <v>137</v>
      </c>
      <c r="CC63" t="s">
        <v>137</v>
      </c>
      <c r="CD63" t="s">
        <v>137</v>
      </c>
      <c r="CE63" t="s">
        <v>137</v>
      </c>
      <c r="CF63" t="s">
        <v>137</v>
      </c>
      <c r="CG63" t="s">
        <v>137</v>
      </c>
      <c r="CH63" t="s">
        <v>137</v>
      </c>
      <c r="CI63" t="s">
        <v>137</v>
      </c>
      <c r="CJ63" t="s">
        <v>137</v>
      </c>
      <c r="CK63" t="s">
        <v>137</v>
      </c>
      <c r="CL63" t="s">
        <v>137</v>
      </c>
      <c r="CM63" t="s">
        <v>137</v>
      </c>
      <c r="CN63" t="s">
        <v>137</v>
      </c>
      <c r="CO63" t="s">
        <v>137</v>
      </c>
      <c r="CP63" t="s">
        <v>137</v>
      </c>
      <c r="CQ63" t="s">
        <v>137</v>
      </c>
      <c r="CR63" t="s">
        <v>137</v>
      </c>
      <c r="CS63" t="s">
        <v>137</v>
      </c>
      <c r="CT63" t="s">
        <v>137</v>
      </c>
      <c r="CU63" t="s">
        <v>137</v>
      </c>
      <c r="CV63" t="s">
        <v>137</v>
      </c>
      <c r="CW63" t="s">
        <v>137</v>
      </c>
    </row>
    <row r="64" spans="1:101" x14ac:dyDescent="0.25">
      <c r="A64" t="s">
        <v>114</v>
      </c>
      <c r="B64" t="s">
        <v>137</v>
      </c>
      <c r="C64" t="s">
        <v>137</v>
      </c>
      <c r="D64" t="s">
        <v>137</v>
      </c>
      <c r="E64" t="s">
        <v>137</v>
      </c>
      <c r="F64" t="s">
        <v>137</v>
      </c>
      <c r="G64" t="s">
        <v>137</v>
      </c>
      <c r="H64" t="s">
        <v>137</v>
      </c>
      <c r="I64" t="s">
        <v>137</v>
      </c>
      <c r="J64" t="s">
        <v>137</v>
      </c>
      <c r="K64" t="s">
        <v>137</v>
      </c>
      <c r="L64" t="s">
        <v>137</v>
      </c>
      <c r="M64" t="s">
        <v>137</v>
      </c>
      <c r="N64" t="s">
        <v>137</v>
      </c>
      <c r="O64" t="s">
        <v>137</v>
      </c>
      <c r="P64" t="s">
        <v>137</v>
      </c>
      <c r="Q64" t="s">
        <v>137</v>
      </c>
      <c r="R64" t="s">
        <v>137</v>
      </c>
      <c r="S64" t="s">
        <v>137</v>
      </c>
      <c r="T64" t="s">
        <v>137</v>
      </c>
      <c r="U64" t="s">
        <v>137</v>
      </c>
      <c r="V64" t="s">
        <v>137</v>
      </c>
      <c r="W64" t="s">
        <v>137</v>
      </c>
      <c r="X64" t="s">
        <v>137</v>
      </c>
      <c r="Y64" t="s">
        <v>137</v>
      </c>
      <c r="Z64" t="s">
        <v>137</v>
      </c>
      <c r="AA64" t="s">
        <v>137</v>
      </c>
      <c r="AB64" t="s">
        <v>137</v>
      </c>
      <c r="AC64" t="s">
        <v>137</v>
      </c>
      <c r="AD64" t="s">
        <v>137</v>
      </c>
      <c r="AE64" t="s">
        <v>137</v>
      </c>
      <c r="AF64" t="s">
        <v>137</v>
      </c>
      <c r="AG64" t="s">
        <v>137</v>
      </c>
      <c r="AH64" t="s">
        <v>137</v>
      </c>
      <c r="AI64" t="s">
        <v>137</v>
      </c>
      <c r="AJ64" t="s">
        <v>137</v>
      </c>
      <c r="AK64" t="s">
        <v>137</v>
      </c>
      <c r="AL64" t="s">
        <v>137</v>
      </c>
      <c r="AM64" t="s">
        <v>137</v>
      </c>
      <c r="AN64" t="s">
        <v>137</v>
      </c>
      <c r="AO64" t="s">
        <v>137</v>
      </c>
      <c r="AP64" t="s">
        <v>137</v>
      </c>
      <c r="AQ64" t="s">
        <v>137</v>
      </c>
      <c r="AR64" t="s">
        <v>137</v>
      </c>
      <c r="AS64" t="s">
        <v>137</v>
      </c>
      <c r="AT64" t="s">
        <v>137</v>
      </c>
      <c r="AU64" t="s">
        <v>137</v>
      </c>
      <c r="AV64" t="s">
        <v>137</v>
      </c>
      <c r="AW64" t="s">
        <v>137</v>
      </c>
      <c r="AX64" t="s">
        <v>137</v>
      </c>
      <c r="AY64" t="s">
        <v>137</v>
      </c>
      <c r="AZ64" t="s">
        <v>137</v>
      </c>
      <c r="BA64" t="s">
        <v>137</v>
      </c>
      <c r="BB64" t="s">
        <v>137</v>
      </c>
      <c r="BC64" t="s">
        <v>137</v>
      </c>
      <c r="BD64" t="s">
        <v>137</v>
      </c>
      <c r="BE64" t="s">
        <v>137</v>
      </c>
      <c r="BF64" t="s">
        <v>137</v>
      </c>
      <c r="BG64" t="s">
        <v>137</v>
      </c>
      <c r="BH64" t="s">
        <v>137</v>
      </c>
      <c r="BI64" t="s">
        <v>137</v>
      </c>
      <c r="BJ64" t="s">
        <v>137</v>
      </c>
      <c r="BK64" t="s">
        <v>137</v>
      </c>
      <c r="BL64" t="s">
        <v>137</v>
      </c>
      <c r="BM64" t="s">
        <v>137</v>
      </c>
      <c r="BN64" t="s">
        <v>137</v>
      </c>
      <c r="BO64" t="s">
        <v>137</v>
      </c>
      <c r="BP64" t="s">
        <v>137</v>
      </c>
      <c r="BQ64" t="s">
        <v>137</v>
      </c>
      <c r="BR64" t="s">
        <v>137</v>
      </c>
      <c r="BS64" t="s">
        <v>137</v>
      </c>
      <c r="BT64" t="s">
        <v>137</v>
      </c>
      <c r="BU64" t="s">
        <v>137</v>
      </c>
      <c r="BV64" t="s">
        <v>137</v>
      </c>
      <c r="BW64" t="s">
        <v>137</v>
      </c>
      <c r="BX64" t="s">
        <v>137</v>
      </c>
      <c r="BY64" t="s">
        <v>137</v>
      </c>
      <c r="BZ64" t="s">
        <v>137</v>
      </c>
      <c r="CA64" t="s">
        <v>137</v>
      </c>
      <c r="CB64" t="s">
        <v>137</v>
      </c>
      <c r="CC64" t="s">
        <v>137</v>
      </c>
      <c r="CD64" t="s">
        <v>137</v>
      </c>
      <c r="CE64" t="s">
        <v>137</v>
      </c>
      <c r="CF64" t="s">
        <v>137</v>
      </c>
      <c r="CG64" t="s">
        <v>137</v>
      </c>
      <c r="CH64" t="s">
        <v>137</v>
      </c>
      <c r="CI64" t="s">
        <v>137</v>
      </c>
      <c r="CJ64" t="s">
        <v>137</v>
      </c>
      <c r="CK64" t="s">
        <v>137</v>
      </c>
      <c r="CL64" t="s">
        <v>137</v>
      </c>
      <c r="CM64" t="s">
        <v>137</v>
      </c>
      <c r="CN64" t="s">
        <v>137</v>
      </c>
      <c r="CO64" t="s">
        <v>137</v>
      </c>
      <c r="CP64" t="s">
        <v>137</v>
      </c>
      <c r="CQ64" t="s">
        <v>137</v>
      </c>
      <c r="CR64" t="s">
        <v>137</v>
      </c>
      <c r="CS64" t="s">
        <v>137</v>
      </c>
      <c r="CT64" t="s">
        <v>137</v>
      </c>
      <c r="CU64" t="s">
        <v>137</v>
      </c>
      <c r="CV64" t="s">
        <v>137</v>
      </c>
      <c r="CW64" t="s">
        <v>137</v>
      </c>
    </row>
    <row r="65" spans="1:101" x14ac:dyDescent="0.25">
      <c r="A65" t="s">
        <v>116</v>
      </c>
      <c r="B65" t="s">
        <v>137</v>
      </c>
      <c r="C65" t="s">
        <v>137</v>
      </c>
      <c r="D65" t="s">
        <v>137</v>
      </c>
      <c r="E65" t="s">
        <v>137</v>
      </c>
      <c r="F65" t="s">
        <v>137</v>
      </c>
      <c r="G65" t="s">
        <v>137</v>
      </c>
      <c r="H65" t="s">
        <v>137</v>
      </c>
      <c r="I65" t="s">
        <v>137</v>
      </c>
      <c r="J65" t="s">
        <v>137</v>
      </c>
      <c r="K65" t="s">
        <v>137</v>
      </c>
      <c r="L65" t="s">
        <v>137</v>
      </c>
      <c r="M65" t="s">
        <v>137</v>
      </c>
      <c r="N65" t="s">
        <v>137</v>
      </c>
      <c r="O65" t="s">
        <v>137</v>
      </c>
      <c r="P65" t="s">
        <v>137</v>
      </c>
      <c r="Q65" t="s">
        <v>137</v>
      </c>
      <c r="R65" t="s">
        <v>137</v>
      </c>
      <c r="S65" t="s">
        <v>137</v>
      </c>
      <c r="T65" t="s">
        <v>137</v>
      </c>
      <c r="U65" t="s">
        <v>137</v>
      </c>
      <c r="V65" t="s">
        <v>137</v>
      </c>
      <c r="W65" t="s">
        <v>137</v>
      </c>
      <c r="X65" t="s">
        <v>137</v>
      </c>
      <c r="Y65" t="s">
        <v>137</v>
      </c>
      <c r="Z65" t="s">
        <v>137</v>
      </c>
      <c r="AA65" t="s">
        <v>137</v>
      </c>
      <c r="AB65" t="s">
        <v>137</v>
      </c>
      <c r="AC65" t="s">
        <v>137</v>
      </c>
      <c r="AD65" t="s">
        <v>137</v>
      </c>
      <c r="AE65" t="s">
        <v>137</v>
      </c>
      <c r="AF65" t="s">
        <v>137</v>
      </c>
      <c r="AG65" t="s">
        <v>137</v>
      </c>
      <c r="AH65" t="s">
        <v>137</v>
      </c>
      <c r="AI65" t="s">
        <v>137</v>
      </c>
      <c r="AJ65" t="s">
        <v>137</v>
      </c>
      <c r="AK65" t="s">
        <v>137</v>
      </c>
      <c r="AL65" t="s">
        <v>137</v>
      </c>
      <c r="AM65" t="s">
        <v>137</v>
      </c>
      <c r="AN65" t="s">
        <v>137</v>
      </c>
      <c r="AO65" t="s">
        <v>137</v>
      </c>
      <c r="AP65" t="s">
        <v>137</v>
      </c>
      <c r="AQ65" t="s">
        <v>137</v>
      </c>
      <c r="AR65" t="s">
        <v>137</v>
      </c>
      <c r="AS65" t="s">
        <v>137</v>
      </c>
      <c r="AT65" t="s">
        <v>137</v>
      </c>
      <c r="AU65" t="s">
        <v>137</v>
      </c>
      <c r="AV65" t="s">
        <v>137</v>
      </c>
      <c r="AW65" t="s">
        <v>137</v>
      </c>
      <c r="AX65" t="s">
        <v>137</v>
      </c>
      <c r="AY65" t="s">
        <v>137</v>
      </c>
      <c r="AZ65" t="s">
        <v>137</v>
      </c>
      <c r="BA65" t="s">
        <v>137</v>
      </c>
      <c r="BB65" t="s">
        <v>137</v>
      </c>
      <c r="BC65" t="s">
        <v>137</v>
      </c>
      <c r="BD65" t="s">
        <v>137</v>
      </c>
      <c r="BE65" t="s">
        <v>137</v>
      </c>
      <c r="BF65" t="s">
        <v>137</v>
      </c>
      <c r="BG65" t="s">
        <v>137</v>
      </c>
      <c r="BH65" t="s">
        <v>137</v>
      </c>
      <c r="BI65" t="s">
        <v>137</v>
      </c>
      <c r="BJ65" t="s">
        <v>137</v>
      </c>
      <c r="BK65" t="s">
        <v>137</v>
      </c>
      <c r="BL65" t="s">
        <v>137</v>
      </c>
      <c r="BM65" t="s">
        <v>137</v>
      </c>
      <c r="BN65" t="s">
        <v>137</v>
      </c>
      <c r="BO65" t="s">
        <v>137</v>
      </c>
      <c r="BP65" t="s">
        <v>137</v>
      </c>
      <c r="BQ65" t="s">
        <v>137</v>
      </c>
      <c r="BR65" t="s">
        <v>137</v>
      </c>
      <c r="BS65" t="s">
        <v>137</v>
      </c>
      <c r="BT65" t="s">
        <v>137</v>
      </c>
      <c r="BU65" t="s">
        <v>137</v>
      </c>
      <c r="BV65" t="s">
        <v>137</v>
      </c>
      <c r="BW65" t="s">
        <v>137</v>
      </c>
      <c r="BX65" t="s">
        <v>137</v>
      </c>
      <c r="BY65" t="s">
        <v>137</v>
      </c>
      <c r="BZ65" t="s">
        <v>137</v>
      </c>
      <c r="CA65" t="s">
        <v>137</v>
      </c>
      <c r="CB65" t="s">
        <v>137</v>
      </c>
      <c r="CC65" t="s">
        <v>137</v>
      </c>
      <c r="CD65" t="s">
        <v>137</v>
      </c>
      <c r="CE65" t="s">
        <v>137</v>
      </c>
      <c r="CF65" t="s">
        <v>137</v>
      </c>
      <c r="CG65" t="s">
        <v>137</v>
      </c>
      <c r="CH65" t="s">
        <v>137</v>
      </c>
      <c r="CI65" t="s">
        <v>137</v>
      </c>
      <c r="CJ65" t="s">
        <v>137</v>
      </c>
      <c r="CK65" t="s">
        <v>137</v>
      </c>
      <c r="CL65" t="s">
        <v>137</v>
      </c>
      <c r="CM65" t="s">
        <v>137</v>
      </c>
      <c r="CN65" t="s">
        <v>137</v>
      </c>
      <c r="CO65" t="s">
        <v>137</v>
      </c>
      <c r="CP65" t="s">
        <v>137</v>
      </c>
      <c r="CQ65" t="s">
        <v>137</v>
      </c>
      <c r="CR65" t="s">
        <v>137</v>
      </c>
      <c r="CS65" t="s">
        <v>137</v>
      </c>
      <c r="CT65" t="s">
        <v>137</v>
      </c>
      <c r="CU65" t="s">
        <v>137</v>
      </c>
      <c r="CV65" t="s">
        <v>137</v>
      </c>
      <c r="CW65" t="s">
        <v>137</v>
      </c>
    </row>
    <row r="66" spans="1:101" x14ac:dyDescent="0.25">
      <c r="A66" t="s">
        <v>117</v>
      </c>
      <c r="B66" t="s">
        <v>137</v>
      </c>
      <c r="C66" t="s">
        <v>137</v>
      </c>
      <c r="D66" t="s">
        <v>137</v>
      </c>
      <c r="E66" t="s">
        <v>137</v>
      </c>
      <c r="F66" t="s">
        <v>137</v>
      </c>
      <c r="G66" t="s">
        <v>137</v>
      </c>
      <c r="H66" t="s">
        <v>137</v>
      </c>
      <c r="I66" t="s">
        <v>137</v>
      </c>
      <c r="J66" t="s">
        <v>137</v>
      </c>
      <c r="K66" t="s">
        <v>137</v>
      </c>
      <c r="L66" t="s">
        <v>137</v>
      </c>
      <c r="M66" t="s">
        <v>137</v>
      </c>
      <c r="N66" t="s">
        <v>137</v>
      </c>
      <c r="O66" t="s">
        <v>137</v>
      </c>
      <c r="P66" t="s">
        <v>137</v>
      </c>
      <c r="Q66" t="s">
        <v>137</v>
      </c>
      <c r="R66" t="s">
        <v>137</v>
      </c>
      <c r="S66" t="s">
        <v>137</v>
      </c>
      <c r="T66" t="s">
        <v>137</v>
      </c>
      <c r="U66" t="s">
        <v>137</v>
      </c>
      <c r="V66" t="s">
        <v>137</v>
      </c>
      <c r="W66" t="s">
        <v>137</v>
      </c>
      <c r="X66" t="s">
        <v>137</v>
      </c>
      <c r="Y66" t="s">
        <v>137</v>
      </c>
      <c r="Z66" t="s">
        <v>137</v>
      </c>
      <c r="AA66" t="s">
        <v>137</v>
      </c>
      <c r="AB66" t="s">
        <v>137</v>
      </c>
      <c r="AC66" t="s">
        <v>137</v>
      </c>
      <c r="AD66" t="s">
        <v>137</v>
      </c>
      <c r="AE66" t="s">
        <v>137</v>
      </c>
      <c r="AF66" t="s">
        <v>137</v>
      </c>
      <c r="AG66" t="s">
        <v>137</v>
      </c>
      <c r="AH66" t="s">
        <v>137</v>
      </c>
      <c r="AI66" t="s">
        <v>137</v>
      </c>
      <c r="AJ66" t="s">
        <v>137</v>
      </c>
      <c r="AK66" t="s">
        <v>137</v>
      </c>
      <c r="AL66" t="s">
        <v>137</v>
      </c>
      <c r="AM66" t="s">
        <v>137</v>
      </c>
      <c r="AN66" t="s">
        <v>137</v>
      </c>
      <c r="AO66" t="s">
        <v>137</v>
      </c>
      <c r="AP66" t="s">
        <v>137</v>
      </c>
      <c r="AQ66" t="s">
        <v>137</v>
      </c>
      <c r="AR66" t="s">
        <v>137</v>
      </c>
      <c r="AS66" t="s">
        <v>137</v>
      </c>
      <c r="AT66" t="s">
        <v>137</v>
      </c>
      <c r="AU66" t="s">
        <v>137</v>
      </c>
      <c r="AV66" t="s">
        <v>137</v>
      </c>
      <c r="AW66" t="s">
        <v>137</v>
      </c>
      <c r="AX66" t="s">
        <v>137</v>
      </c>
      <c r="AY66" t="s">
        <v>137</v>
      </c>
      <c r="AZ66" t="s">
        <v>137</v>
      </c>
      <c r="BA66" t="s">
        <v>137</v>
      </c>
      <c r="BB66" t="s">
        <v>137</v>
      </c>
      <c r="BC66" t="s">
        <v>137</v>
      </c>
      <c r="BD66" t="s">
        <v>137</v>
      </c>
      <c r="BE66" t="s">
        <v>137</v>
      </c>
      <c r="BF66" t="s">
        <v>137</v>
      </c>
      <c r="BG66" t="s">
        <v>137</v>
      </c>
      <c r="BH66" t="s">
        <v>137</v>
      </c>
      <c r="BI66" t="s">
        <v>137</v>
      </c>
      <c r="BJ66" t="s">
        <v>137</v>
      </c>
      <c r="BK66" t="s">
        <v>137</v>
      </c>
      <c r="BL66" t="s">
        <v>137</v>
      </c>
      <c r="BM66" t="s">
        <v>137</v>
      </c>
      <c r="BN66" t="s">
        <v>137</v>
      </c>
      <c r="BO66" t="s">
        <v>137</v>
      </c>
      <c r="BP66" t="s">
        <v>137</v>
      </c>
      <c r="BQ66" t="s">
        <v>137</v>
      </c>
      <c r="BR66" t="s">
        <v>137</v>
      </c>
      <c r="BS66" t="s">
        <v>137</v>
      </c>
      <c r="BT66" t="s">
        <v>137</v>
      </c>
      <c r="BU66" t="s">
        <v>137</v>
      </c>
      <c r="BV66" t="s">
        <v>137</v>
      </c>
      <c r="BW66" t="s">
        <v>137</v>
      </c>
      <c r="BX66" t="s">
        <v>137</v>
      </c>
      <c r="BY66" t="s">
        <v>137</v>
      </c>
      <c r="BZ66" t="s">
        <v>137</v>
      </c>
      <c r="CA66" t="s">
        <v>137</v>
      </c>
      <c r="CB66" t="s">
        <v>137</v>
      </c>
      <c r="CC66" t="s">
        <v>137</v>
      </c>
      <c r="CD66" t="s">
        <v>137</v>
      </c>
      <c r="CE66" t="s">
        <v>137</v>
      </c>
      <c r="CF66" t="s">
        <v>137</v>
      </c>
      <c r="CG66" t="s">
        <v>137</v>
      </c>
      <c r="CH66" t="s">
        <v>137</v>
      </c>
      <c r="CI66" t="s">
        <v>137</v>
      </c>
      <c r="CJ66" t="s">
        <v>137</v>
      </c>
      <c r="CK66" t="s">
        <v>137</v>
      </c>
      <c r="CL66" t="s">
        <v>137</v>
      </c>
      <c r="CM66" t="s">
        <v>137</v>
      </c>
      <c r="CN66" t="s">
        <v>137</v>
      </c>
      <c r="CO66" t="s">
        <v>137</v>
      </c>
      <c r="CP66" t="s">
        <v>137</v>
      </c>
      <c r="CQ66" t="s">
        <v>137</v>
      </c>
      <c r="CR66" t="s">
        <v>137</v>
      </c>
      <c r="CS66" t="s">
        <v>137</v>
      </c>
      <c r="CT66" t="s">
        <v>137</v>
      </c>
      <c r="CU66" t="s">
        <v>137</v>
      </c>
      <c r="CV66" t="s">
        <v>137</v>
      </c>
      <c r="CW66" t="s">
        <v>137</v>
      </c>
    </row>
    <row r="67" spans="1:101" x14ac:dyDescent="0.25">
      <c r="A67" t="s">
        <v>118</v>
      </c>
      <c r="B67" t="s">
        <v>137</v>
      </c>
      <c r="C67" t="s">
        <v>137</v>
      </c>
      <c r="D67" t="s">
        <v>137</v>
      </c>
      <c r="E67" t="s">
        <v>137</v>
      </c>
      <c r="F67" t="s">
        <v>137</v>
      </c>
      <c r="G67" t="s">
        <v>137</v>
      </c>
      <c r="H67" t="s">
        <v>137</v>
      </c>
      <c r="I67" t="s">
        <v>137</v>
      </c>
      <c r="J67" t="s">
        <v>137</v>
      </c>
      <c r="K67" t="s">
        <v>137</v>
      </c>
      <c r="L67" t="s">
        <v>137</v>
      </c>
      <c r="M67" t="s">
        <v>137</v>
      </c>
      <c r="N67" t="s">
        <v>137</v>
      </c>
      <c r="O67" t="s">
        <v>137</v>
      </c>
      <c r="P67" t="s">
        <v>137</v>
      </c>
      <c r="Q67" t="s">
        <v>137</v>
      </c>
      <c r="R67" t="s">
        <v>137</v>
      </c>
      <c r="S67" t="s">
        <v>137</v>
      </c>
      <c r="T67" t="s">
        <v>137</v>
      </c>
      <c r="U67" t="s">
        <v>137</v>
      </c>
      <c r="V67" t="s">
        <v>137</v>
      </c>
      <c r="W67" t="s">
        <v>137</v>
      </c>
      <c r="X67" t="s">
        <v>137</v>
      </c>
      <c r="Y67" t="s">
        <v>137</v>
      </c>
      <c r="Z67" t="s">
        <v>137</v>
      </c>
      <c r="AA67" t="s">
        <v>137</v>
      </c>
      <c r="AB67" t="s">
        <v>137</v>
      </c>
      <c r="AC67" t="s">
        <v>137</v>
      </c>
      <c r="AD67" t="s">
        <v>137</v>
      </c>
      <c r="AE67" t="s">
        <v>137</v>
      </c>
      <c r="AF67" t="s">
        <v>137</v>
      </c>
      <c r="AG67" t="s">
        <v>137</v>
      </c>
      <c r="AH67" t="s">
        <v>137</v>
      </c>
      <c r="AI67" t="s">
        <v>137</v>
      </c>
      <c r="AJ67" t="s">
        <v>137</v>
      </c>
      <c r="AK67" t="s">
        <v>137</v>
      </c>
      <c r="AL67" t="s">
        <v>137</v>
      </c>
      <c r="AM67" t="s">
        <v>137</v>
      </c>
      <c r="AN67" t="s">
        <v>137</v>
      </c>
      <c r="AO67" t="s">
        <v>137</v>
      </c>
      <c r="AP67" t="s">
        <v>137</v>
      </c>
      <c r="AQ67" t="s">
        <v>137</v>
      </c>
      <c r="AR67" t="s">
        <v>137</v>
      </c>
      <c r="AS67" t="s">
        <v>137</v>
      </c>
      <c r="AT67" t="s">
        <v>137</v>
      </c>
      <c r="AU67" t="s">
        <v>137</v>
      </c>
      <c r="AV67" t="s">
        <v>137</v>
      </c>
      <c r="AW67" t="s">
        <v>137</v>
      </c>
      <c r="AX67" t="s">
        <v>137</v>
      </c>
      <c r="AY67" t="s">
        <v>137</v>
      </c>
      <c r="AZ67" t="s">
        <v>137</v>
      </c>
      <c r="BA67" t="s">
        <v>137</v>
      </c>
      <c r="BB67" t="s">
        <v>137</v>
      </c>
      <c r="BC67" t="s">
        <v>137</v>
      </c>
      <c r="BD67" t="s">
        <v>137</v>
      </c>
      <c r="BE67" t="s">
        <v>137</v>
      </c>
      <c r="BF67" t="s">
        <v>137</v>
      </c>
      <c r="BG67" t="s">
        <v>137</v>
      </c>
      <c r="BH67" t="s">
        <v>137</v>
      </c>
      <c r="BI67" t="s">
        <v>137</v>
      </c>
      <c r="BJ67" t="s">
        <v>137</v>
      </c>
      <c r="BK67" t="s">
        <v>137</v>
      </c>
      <c r="BL67" t="s">
        <v>137</v>
      </c>
      <c r="BM67" t="s">
        <v>137</v>
      </c>
      <c r="BN67" t="s">
        <v>137</v>
      </c>
      <c r="BO67" t="s">
        <v>137</v>
      </c>
      <c r="BP67" t="s">
        <v>137</v>
      </c>
      <c r="BQ67" t="s">
        <v>137</v>
      </c>
      <c r="BR67" t="s">
        <v>137</v>
      </c>
      <c r="BS67" t="s">
        <v>137</v>
      </c>
      <c r="BT67" t="s">
        <v>137</v>
      </c>
      <c r="BU67" t="s">
        <v>137</v>
      </c>
      <c r="BV67" t="s">
        <v>137</v>
      </c>
      <c r="BW67" t="s">
        <v>137</v>
      </c>
      <c r="BX67" t="s">
        <v>137</v>
      </c>
      <c r="BY67" t="s">
        <v>137</v>
      </c>
      <c r="BZ67" t="s">
        <v>137</v>
      </c>
      <c r="CA67" t="s">
        <v>137</v>
      </c>
      <c r="CB67" t="s">
        <v>137</v>
      </c>
      <c r="CC67" t="s">
        <v>137</v>
      </c>
      <c r="CD67" t="s">
        <v>137</v>
      </c>
      <c r="CE67" t="s">
        <v>137</v>
      </c>
      <c r="CF67" t="s">
        <v>137</v>
      </c>
      <c r="CG67" t="s">
        <v>137</v>
      </c>
      <c r="CH67" t="s">
        <v>137</v>
      </c>
      <c r="CI67" t="s">
        <v>137</v>
      </c>
      <c r="CJ67" t="s">
        <v>137</v>
      </c>
      <c r="CK67" t="s">
        <v>137</v>
      </c>
      <c r="CL67" t="s">
        <v>137</v>
      </c>
      <c r="CM67" t="s">
        <v>137</v>
      </c>
      <c r="CN67" t="s">
        <v>137</v>
      </c>
      <c r="CO67" t="s">
        <v>137</v>
      </c>
      <c r="CP67" t="s">
        <v>137</v>
      </c>
      <c r="CQ67" t="s">
        <v>137</v>
      </c>
      <c r="CR67" t="s">
        <v>137</v>
      </c>
      <c r="CS67" t="s">
        <v>137</v>
      </c>
      <c r="CT67" t="s">
        <v>137</v>
      </c>
      <c r="CU67" t="s">
        <v>137</v>
      </c>
      <c r="CV67" t="s">
        <v>137</v>
      </c>
      <c r="CW67" t="s">
        <v>137</v>
      </c>
    </row>
    <row r="68" spans="1:101" x14ac:dyDescent="0.25">
      <c r="A68" t="s">
        <v>119</v>
      </c>
      <c r="B68" t="s">
        <v>137</v>
      </c>
      <c r="C68" t="s">
        <v>137</v>
      </c>
      <c r="D68" t="s">
        <v>136</v>
      </c>
      <c r="E68" t="s">
        <v>136</v>
      </c>
      <c r="F68" t="s">
        <v>136</v>
      </c>
      <c r="G68" t="s">
        <v>136</v>
      </c>
      <c r="H68" t="s">
        <v>136</v>
      </c>
      <c r="I68" t="s">
        <v>136</v>
      </c>
      <c r="J68" t="s">
        <v>136</v>
      </c>
      <c r="K68" t="s">
        <v>136</v>
      </c>
      <c r="L68" t="s">
        <v>136</v>
      </c>
      <c r="M68" t="s">
        <v>136</v>
      </c>
      <c r="N68" t="s">
        <v>136</v>
      </c>
      <c r="O68" t="s">
        <v>136</v>
      </c>
      <c r="P68" t="s">
        <v>136</v>
      </c>
      <c r="Q68" t="s">
        <v>136</v>
      </c>
      <c r="R68" t="s">
        <v>136</v>
      </c>
      <c r="S68" t="s">
        <v>136</v>
      </c>
      <c r="T68" t="s">
        <v>136</v>
      </c>
      <c r="U68" t="s">
        <v>136</v>
      </c>
      <c r="V68" t="s">
        <v>136</v>
      </c>
      <c r="W68" t="s">
        <v>136</v>
      </c>
      <c r="X68" t="s">
        <v>136</v>
      </c>
      <c r="Y68" t="s">
        <v>136</v>
      </c>
      <c r="Z68" t="s">
        <v>136</v>
      </c>
      <c r="AA68" t="s">
        <v>136</v>
      </c>
      <c r="AB68" t="s">
        <v>136</v>
      </c>
      <c r="AC68" t="s">
        <v>136</v>
      </c>
      <c r="AD68" t="s">
        <v>136</v>
      </c>
      <c r="AE68" t="s">
        <v>136</v>
      </c>
      <c r="AF68" t="s">
        <v>136</v>
      </c>
      <c r="AG68" t="s">
        <v>136</v>
      </c>
      <c r="AH68" t="s">
        <v>136</v>
      </c>
      <c r="AI68" t="s">
        <v>136</v>
      </c>
      <c r="AJ68" t="s">
        <v>136</v>
      </c>
      <c r="AK68" t="s">
        <v>136</v>
      </c>
      <c r="AL68" t="s">
        <v>136</v>
      </c>
      <c r="AM68" t="s">
        <v>136</v>
      </c>
      <c r="AN68" t="s">
        <v>136</v>
      </c>
      <c r="AO68" t="s">
        <v>136</v>
      </c>
      <c r="AP68" t="s">
        <v>136</v>
      </c>
      <c r="AQ68" t="s">
        <v>136</v>
      </c>
      <c r="AR68" t="s">
        <v>136</v>
      </c>
      <c r="AS68" t="s">
        <v>136</v>
      </c>
      <c r="AT68" t="s">
        <v>136</v>
      </c>
      <c r="AU68" t="s">
        <v>136</v>
      </c>
      <c r="AV68" t="s">
        <v>136</v>
      </c>
      <c r="AW68" t="s">
        <v>136</v>
      </c>
      <c r="AX68" t="s">
        <v>136</v>
      </c>
      <c r="AY68" t="s">
        <v>136</v>
      </c>
      <c r="AZ68" t="s">
        <v>136</v>
      </c>
      <c r="BA68" t="s">
        <v>136</v>
      </c>
      <c r="BB68" t="s">
        <v>136</v>
      </c>
      <c r="BC68" t="s">
        <v>136</v>
      </c>
      <c r="BD68" t="s">
        <v>136</v>
      </c>
      <c r="BE68" t="s">
        <v>136</v>
      </c>
      <c r="BF68" t="s">
        <v>136</v>
      </c>
      <c r="BG68" t="s">
        <v>136</v>
      </c>
      <c r="BH68" t="s">
        <v>136</v>
      </c>
      <c r="BI68" t="s">
        <v>136</v>
      </c>
      <c r="BJ68" t="s">
        <v>136</v>
      </c>
      <c r="BK68" t="s">
        <v>136</v>
      </c>
      <c r="BL68" t="s">
        <v>136</v>
      </c>
      <c r="BM68" t="s">
        <v>136</v>
      </c>
      <c r="BN68" t="s">
        <v>136</v>
      </c>
      <c r="BO68" t="s">
        <v>136</v>
      </c>
      <c r="BP68" t="s">
        <v>136</v>
      </c>
      <c r="BQ68" t="s">
        <v>136</v>
      </c>
      <c r="BR68" t="s">
        <v>136</v>
      </c>
      <c r="BS68" t="s">
        <v>136</v>
      </c>
      <c r="BT68" t="s">
        <v>136</v>
      </c>
      <c r="BU68" t="s">
        <v>136</v>
      </c>
      <c r="BV68" t="s">
        <v>136</v>
      </c>
      <c r="BW68" t="s">
        <v>136</v>
      </c>
      <c r="BX68" t="s">
        <v>136</v>
      </c>
      <c r="BY68" t="s">
        <v>136</v>
      </c>
      <c r="BZ68" t="s">
        <v>136</v>
      </c>
      <c r="CA68" t="s">
        <v>136</v>
      </c>
      <c r="CB68" t="s">
        <v>136</v>
      </c>
      <c r="CC68" t="s">
        <v>136</v>
      </c>
      <c r="CD68" t="s">
        <v>136</v>
      </c>
      <c r="CE68" t="s">
        <v>136</v>
      </c>
      <c r="CF68" t="s">
        <v>136</v>
      </c>
      <c r="CG68" t="s">
        <v>136</v>
      </c>
      <c r="CH68" t="s">
        <v>136</v>
      </c>
      <c r="CI68" t="s">
        <v>136</v>
      </c>
      <c r="CJ68" t="s">
        <v>136</v>
      </c>
      <c r="CK68" t="s">
        <v>136</v>
      </c>
      <c r="CL68" t="s">
        <v>136</v>
      </c>
      <c r="CM68" t="s">
        <v>136</v>
      </c>
      <c r="CN68" t="s">
        <v>136</v>
      </c>
      <c r="CO68" t="s">
        <v>136</v>
      </c>
      <c r="CP68" t="s">
        <v>136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</row>
    <row r="69" spans="1:101" x14ac:dyDescent="0.25">
      <c r="A69" t="s">
        <v>120</v>
      </c>
      <c r="B69" t="s">
        <v>137</v>
      </c>
      <c r="C69" t="s">
        <v>137</v>
      </c>
      <c r="D69" t="s">
        <v>137</v>
      </c>
      <c r="E69" t="s">
        <v>137</v>
      </c>
      <c r="F69" t="s">
        <v>137</v>
      </c>
      <c r="G69" t="s">
        <v>137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137</v>
      </c>
      <c r="O69" t="s">
        <v>137</v>
      </c>
      <c r="P69" t="s">
        <v>137</v>
      </c>
      <c r="Q69" t="s">
        <v>137</v>
      </c>
      <c r="R69" t="s">
        <v>137</v>
      </c>
      <c r="S69" t="s">
        <v>137</v>
      </c>
      <c r="T69" t="s">
        <v>137</v>
      </c>
      <c r="U69" t="s">
        <v>137</v>
      </c>
      <c r="V69" t="s">
        <v>137</v>
      </c>
      <c r="W69" t="s">
        <v>137</v>
      </c>
      <c r="X69" t="s">
        <v>137</v>
      </c>
      <c r="Y69" t="s">
        <v>137</v>
      </c>
      <c r="Z69" t="s">
        <v>137</v>
      </c>
      <c r="AA69" t="s">
        <v>137</v>
      </c>
      <c r="AB69" t="s">
        <v>137</v>
      </c>
      <c r="AC69" t="s">
        <v>137</v>
      </c>
      <c r="AD69" t="s">
        <v>137</v>
      </c>
      <c r="AE69" t="s">
        <v>137</v>
      </c>
      <c r="AF69" t="s">
        <v>137</v>
      </c>
      <c r="AG69" t="s">
        <v>137</v>
      </c>
      <c r="AH69" t="s">
        <v>137</v>
      </c>
      <c r="AI69" t="s">
        <v>137</v>
      </c>
      <c r="AJ69" t="s">
        <v>137</v>
      </c>
      <c r="AK69" t="s">
        <v>137</v>
      </c>
      <c r="AL69" t="s">
        <v>137</v>
      </c>
      <c r="AM69" t="s">
        <v>137</v>
      </c>
      <c r="AN69" t="s">
        <v>137</v>
      </c>
      <c r="AO69" t="s">
        <v>137</v>
      </c>
      <c r="AP69" t="s">
        <v>137</v>
      </c>
      <c r="AQ69" t="s">
        <v>137</v>
      </c>
      <c r="AR69" t="s">
        <v>137</v>
      </c>
      <c r="AS69" t="s">
        <v>137</v>
      </c>
      <c r="AT69" t="s">
        <v>137</v>
      </c>
      <c r="AU69" t="s">
        <v>137</v>
      </c>
      <c r="AV69" t="s">
        <v>137</v>
      </c>
      <c r="AW69" t="s">
        <v>137</v>
      </c>
      <c r="AX69" t="s">
        <v>137</v>
      </c>
      <c r="AY69" t="s">
        <v>137</v>
      </c>
      <c r="AZ69" t="s">
        <v>137</v>
      </c>
      <c r="BA69" t="s">
        <v>137</v>
      </c>
      <c r="BB69" t="s">
        <v>137</v>
      </c>
      <c r="BC69" t="s">
        <v>137</v>
      </c>
      <c r="BD69" t="s">
        <v>137</v>
      </c>
      <c r="BE69" t="s">
        <v>137</v>
      </c>
      <c r="BF69" t="s">
        <v>137</v>
      </c>
      <c r="BG69" t="s">
        <v>137</v>
      </c>
      <c r="BH69" t="s">
        <v>137</v>
      </c>
      <c r="BI69" t="s">
        <v>137</v>
      </c>
      <c r="BJ69" t="s">
        <v>137</v>
      </c>
      <c r="BK69" t="s">
        <v>137</v>
      </c>
      <c r="BL69" t="s">
        <v>137</v>
      </c>
      <c r="BM69" t="s">
        <v>137</v>
      </c>
      <c r="BN69" t="s">
        <v>137</v>
      </c>
      <c r="BO69" t="s">
        <v>137</v>
      </c>
      <c r="BP69" t="s">
        <v>137</v>
      </c>
      <c r="BQ69" t="s">
        <v>137</v>
      </c>
      <c r="BR69" t="s">
        <v>137</v>
      </c>
      <c r="BS69" t="s">
        <v>137</v>
      </c>
      <c r="BT69" t="s">
        <v>137</v>
      </c>
      <c r="BU69" t="s">
        <v>137</v>
      </c>
      <c r="BV69" t="s">
        <v>137</v>
      </c>
      <c r="BW69" t="s">
        <v>137</v>
      </c>
      <c r="BX69" t="s">
        <v>137</v>
      </c>
      <c r="BY69" t="s">
        <v>137</v>
      </c>
      <c r="BZ69" t="s">
        <v>137</v>
      </c>
      <c r="CA69" t="s">
        <v>137</v>
      </c>
      <c r="CB69" t="s">
        <v>137</v>
      </c>
      <c r="CC69" t="s">
        <v>137</v>
      </c>
      <c r="CD69" t="s">
        <v>137</v>
      </c>
      <c r="CE69" t="s">
        <v>137</v>
      </c>
      <c r="CF69" t="s">
        <v>137</v>
      </c>
      <c r="CG69" t="s">
        <v>137</v>
      </c>
      <c r="CH69" t="s">
        <v>137</v>
      </c>
      <c r="CI69" t="s">
        <v>137</v>
      </c>
      <c r="CJ69" t="s">
        <v>137</v>
      </c>
      <c r="CK69" t="s">
        <v>137</v>
      </c>
      <c r="CL69" t="s">
        <v>137</v>
      </c>
      <c r="CM69" t="s">
        <v>137</v>
      </c>
      <c r="CN69" t="s">
        <v>137</v>
      </c>
      <c r="CO69" t="s">
        <v>137</v>
      </c>
      <c r="CP69" t="s">
        <v>137</v>
      </c>
      <c r="CQ69" t="s">
        <v>137</v>
      </c>
      <c r="CR69" t="s">
        <v>137</v>
      </c>
      <c r="CS69" t="s">
        <v>137</v>
      </c>
      <c r="CT69" t="s">
        <v>137</v>
      </c>
      <c r="CU69" t="s">
        <v>137</v>
      </c>
      <c r="CV69" t="s">
        <v>137</v>
      </c>
      <c r="CW69" t="s">
        <v>137</v>
      </c>
    </row>
    <row r="70" spans="1:101" x14ac:dyDescent="0.25">
      <c r="A70" t="s">
        <v>121</v>
      </c>
      <c r="B70" t="s">
        <v>137</v>
      </c>
      <c r="C70" t="s">
        <v>138</v>
      </c>
      <c r="D70" t="s">
        <v>138</v>
      </c>
      <c r="E70" t="s">
        <v>138</v>
      </c>
      <c r="F70" t="s">
        <v>138</v>
      </c>
      <c r="G70" t="s">
        <v>138</v>
      </c>
      <c r="H70" t="s">
        <v>138</v>
      </c>
      <c r="I70" t="s">
        <v>138</v>
      </c>
      <c r="J70" t="s">
        <v>138</v>
      </c>
      <c r="K70" t="s">
        <v>138</v>
      </c>
      <c r="L70" t="s">
        <v>138</v>
      </c>
      <c r="M70" t="s">
        <v>138</v>
      </c>
      <c r="N70" t="s">
        <v>138</v>
      </c>
      <c r="O70" t="s">
        <v>138</v>
      </c>
      <c r="P70" t="s">
        <v>138</v>
      </c>
      <c r="Q70" t="s">
        <v>138</v>
      </c>
      <c r="R70" t="s">
        <v>138</v>
      </c>
      <c r="S70" t="s">
        <v>138</v>
      </c>
      <c r="T70" t="s">
        <v>138</v>
      </c>
      <c r="U70" t="s">
        <v>138</v>
      </c>
      <c r="V70" t="s">
        <v>138</v>
      </c>
      <c r="W70" t="s">
        <v>138</v>
      </c>
      <c r="X70" t="s">
        <v>138</v>
      </c>
      <c r="Y70" t="s">
        <v>138</v>
      </c>
      <c r="Z70" t="s">
        <v>138</v>
      </c>
      <c r="AA70" t="s">
        <v>138</v>
      </c>
      <c r="AB70" t="s">
        <v>138</v>
      </c>
      <c r="AC70" t="s">
        <v>138</v>
      </c>
      <c r="AD70" t="s">
        <v>138</v>
      </c>
      <c r="AE70" t="s">
        <v>138</v>
      </c>
      <c r="AF70" t="s">
        <v>138</v>
      </c>
      <c r="AG70" t="s">
        <v>138</v>
      </c>
      <c r="AH70" t="s">
        <v>138</v>
      </c>
      <c r="AI70" t="s">
        <v>138</v>
      </c>
      <c r="AJ70" t="s">
        <v>138</v>
      </c>
      <c r="AK70" t="s">
        <v>138</v>
      </c>
      <c r="AL70" t="s">
        <v>138</v>
      </c>
      <c r="AM70" t="s">
        <v>138</v>
      </c>
      <c r="AN70" t="s">
        <v>138</v>
      </c>
      <c r="AO70" t="s">
        <v>138</v>
      </c>
      <c r="AP70" t="s">
        <v>138</v>
      </c>
      <c r="AQ70" t="s">
        <v>138</v>
      </c>
      <c r="AR70" t="s">
        <v>138</v>
      </c>
      <c r="AS70" t="s">
        <v>138</v>
      </c>
      <c r="AT70" t="s">
        <v>138</v>
      </c>
      <c r="AU70" t="s">
        <v>138</v>
      </c>
      <c r="AV70" t="s">
        <v>138</v>
      </c>
      <c r="AW70" t="s">
        <v>138</v>
      </c>
      <c r="AX70" t="s">
        <v>138</v>
      </c>
      <c r="AY70" t="s">
        <v>138</v>
      </c>
      <c r="AZ70" t="s">
        <v>138</v>
      </c>
      <c r="BA70" t="s">
        <v>138</v>
      </c>
      <c r="BB70" t="s">
        <v>138</v>
      </c>
      <c r="BC70" t="s">
        <v>138</v>
      </c>
      <c r="BD70" t="s">
        <v>138</v>
      </c>
      <c r="BE70" t="s">
        <v>138</v>
      </c>
      <c r="BF70" t="s">
        <v>138</v>
      </c>
      <c r="BG70" t="s">
        <v>138</v>
      </c>
      <c r="BH70" t="s">
        <v>138</v>
      </c>
      <c r="BI70" t="s">
        <v>138</v>
      </c>
      <c r="BJ70" t="s">
        <v>138</v>
      </c>
      <c r="BK70" t="s">
        <v>138</v>
      </c>
      <c r="BL70" t="s">
        <v>138</v>
      </c>
      <c r="BM70" t="s">
        <v>138</v>
      </c>
      <c r="BN70" t="s">
        <v>138</v>
      </c>
      <c r="BO70" t="s">
        <v>138</v>
      </c>
      <c r="BP70" t="s">
        <v>138</v>
      </c>
      <c r="BQ70" t="s">
        <v>138</v>
      </c>
      <c r="BR70" t="s">
        <v>138</v>
      </c>
      <c r="BS70" t="s">
        <v>138</v>
      </c>
      <c r="BT70" t="s">
        <v>138</v>
      </c>
      <c r="BU70" t="s">
        <v>138</v>
      </c>
      <c r="BV70" t="s">
        <v>138</v>
      </c>
      <c r="BW70" t="s">
        <v>138</v>
      </c>
      <c r="BX70" t="s">
        <v>138</v>
      </c>
      <c r="BY70" t="s">
        <v>138</v>
      </c>
      <c r="BZ70" t="s">
        <v>138</v>
      </c>
      <c r="CA70" t="s">
        <v>138</v>
      </c>
      <c r="CB70" t="s">
        <v>138</v>
      </c>
      <c r="CC70" t="s">
        <v>138</v>
      </c>
      <c r="CD70" t="s">
        <v>138</v>
      </c>
      <c r="CE70" t="s">
        <v>138</v>
      </c>
      <c r="CF70" t="s">
        <v>138</v>
      </c>
      <c r="CG70" t="s">
        <v>138</v>
      </c>
      <c r="CH70" t="s">
        <v>138</v>
      </c>
      <c r="CI70" t="s">
        <v>138</v>
      </c>
      <c r="CJ70" t="s">
        <v>138</v>
      </c>
      <c r="CK70" t="s">
        <v>138</v>
      </c>
      <c r="CL70" t="s">
        <v>138</v>
      </c>
      <c r="CM70" t="s">
        <v>138</v>
      </c>
      <c r="CN70" t="s">
        <v>138</v>
      </c>
      <c r="CO70" t="s">
        <v>138</v>
      </c>
      <c r="CP70" t="s">
        <v>138</v>
      </c>
      <c r="CQ70" t="s">
        <v>138</v>
      </c>
      <c r="CR70" t="s">
        <v>138</v>
      </c>
      <c r="CS70" t="s">
        <v>138</v>
      </c>
      <c r="CT70" t="s">
        <v>138</v>
      </c>
      <c r="CU70" t="s">
        <v>138</v>
      </c>
      <c r="CV70" t="s">
        <v>138</v>
      </c>
      <c r="CW70" t="s">
        <v>138</v>
      </c>
    </row>
    <row r="71" spans="1:101" x14ac:dyDescent="0.25">
      <c r="A71" t="s">
        <v>123</v>
      </c>
      <c r="B71" t="s">
        <v>137</v>
      </c>
      <c r="C71" t="s">
        <v>137</v>
      </c>
      <c r="D71" t="s">
        <v>137</v>
      </c>
      <c r="E71" t="s">
        <v>137</v>
      </c>
      <c r="F71" t="s">
        <v>137</v>
      </c>
      <c r="G71" t="s">
        <v>137</v>
      </c>
      <c r="H71" t="s">
        <v>137</v>
      </c>
      <c r="I71" t="s">
        <v>137</v>
      </c>
      <c r="J71" t="s">
        <v>137</v>
      </c>
      <c r="K71" t="s">
        <v>137</v>
      </c>
      <c r="L71" t="s">
        <v>137</v>
      </c>
      <c r="M71" t="s">
        <v>137</v>
      </c>
      <c r="N71" t="s">
        <v>137</v>
      </c>
      <c r="O71" t="s">
        <v>137</v>
      </c>
      <c r="P71" t="s">
        <v>137</v>
      </c>
      <c r="Q71" t="s">
        <v>137</v>
      </c>
      <c r="R71" t="s">
        <v>137</v>
      </c>
      <c r="S71" t="s">
        <v>137</v>
      </c>
      <c r="T71" t="s">
        <v>137</v>
      </c>
      <c r="U71" t="s">
        <v>137</v>
      </c>
      <c r="V71" t="s">
        <v>137</v>
      </c>
      <c r="W71" t="s">
        <v>137</v>
      </c>
      <c r="X71" t="s">
        <v>137</v>
      </c>
      <c r="Y71" t="s">
        <v>137</v>
      </c>
      <c r="Z71" t="s">
        <v>137</v>
      </c>
      <c r="AA71" t="s">
        <v>137</v>
      </c>
      <c r="AB71" t="s">
        <v>137</v>
      </c>
      <c r="AC71" t="s">
        <v>137</v>
      </c>
      <c r="AD71" t="s">
        <v>137</v>
      </c>
      <c r="AE71" t="s">
        <v>137</v>
      </c>
      <c r="AF71" t="s">
        <v>137</v>
      </c>
      <c r="AG71" t="s">
        <v>137</v>
      </c>
      <c r="AH71" t="s">
        <v>137</v>
      </c>
      <c r="AI71" t="s">
        <v>137</v>
      </c>
      <c r="AJ71" t="s">
        <v>137</v>
      </c>
      <c r="AK71" t="s">
        <v>137</v>
      </c>
      <c r="AL71" t="s">
        <v>137</v>
      </c>
      <c r="AM71" t="s">
        <v>137</v>
      </c>
      <c r="AN71" t="s">
        <v>137</v>
      </c>
      <c r="AO71" t="s">
        <v>137</v>
      </c>
      <c r="AP71" t="s">
        <v>137</v>
      </c>
      <c r="AQ71" t="s">
        <v>137</v>
      </c>
      <c r="AR71" t="s">
        <v>137</v>
      </c>
      <c r="AS71" t="s">
        <v>137</v>
      </c>
      <c r="AT71" t="s">
        <v>137</v>
      </c>
      <c r="AU71" t="s">
        <v>137</v>
      </c>
      <c r="AV71" t="s">
        <v>137</v>
      </c>
      <c r="AW71" t="s">
        <v>137</v>
      </c>
      <c r="AX71" t="s">
        <v>137</v>
      </c>
      <c r="AY71" t="s">
        <v>137</v>
      </c>
      <c r="AZ71" t="s">
        <v>137</v>
      </c>
      <c r="BA71" t="s">
        <v>137</v>
      </c>
      <c r="BB71" t="s">
        <v>137</v>
      </c>
      <c r="BC71" t="s">
        <v>138</v>
      </c>
      <c r="BD71" t="s">
        <v>138</v>
      </c>
      <c r="BE71" t="s">
        <v>138</v>
      </c>
      <c r="BF71" t="s">
        <v>138</v>
      </c>
      <c r="BG71" t="s">
        <v>138</v>
      </c>
      <c r="BH71" t="s">
        <v>138</v>
      </c>
      <c r="BI71" t="s">
        <v>138</v>
      </c>
      <c r="BJ71" t="s">
        <v>138</v>
      </c>
      <c r="BK71" t="s">
        <v>138</v>
      </c>
      <c r="BL71" t="s">
        <v>138</v>
      </c>
      <c r="BM71" t="s">
        <v>138</v>
      </c>
      <c r="BN71" t="s">
        <v>138</v>
      </c>
      <c r="BO71" t="s">
        <v>138</v>
      </c>
      <c r="BP71" t="s">
        <v>138</v>
      </c>
      <c r="BQ71" t="s">
        <v>138</v>
      </c>
      <c r="BR71" t="s">
        <v>138</v>
      </c>
      <c r="BS71" t="s">
        <v>138</v>
      </c>
      <c r="BT71" t="s">
        <v>138</v>
      </c>
      <c r="BU71" t="s">
        <v>138</v>
      </c>
      <c r="BV71" t="s">
        <v>138</v>
      </c>
      <c r="BW71" t="s">
        <v>138</v>
      </c>
      <c r="BX71" t="s">
        <v>138</v>
      </c>
      <c r="BY71" t="s">
        <v>138</v>
      </c>
      <c r="BZ71" t="s">
        <v>138</v>
      </c>
      <c r="CA71" t="s">
        <v>138</v>
      </c>
      <c r="CB71" t="s">
        <v>138</v>
      </c>
      <c r="CC71" t="s">
        <v>138</v>
      </c>
      <c r="CD71" t="s">
        <v>138</v>
      </c>
      <c r="CE71" t="s">
        <v>138</v>
      </c>
      <c r="CF71" t="s">
        <v>138</v>
      </c>
      <c r="CG71" t="s">
        <v>138</v>
      </c>
      <c r="CH71" t="s">
        <v>138</v>
      </c>
      <c r="CI71" t="s">
        <v>138</v>
      </c>
      <c r="CJ71" t="s">
        <v>138</v>
      </c>
      <c r="CK71" t="s">
        <v>138</v>
      </c>
      <c r="CL71" t="s">
        <v>138</v>
      </c>
      <c r="CM71" t="s">
        <v>138</v>
      </c>
      <c r="CN71" t="s">
        <v>138</v>
      </c>
      <c r="CO71" t="s">
        <v>138</v>
      </c>
      <c r="CP71" t="s">
        <v>138</v>
      </c>
      <c r="CQ71" t="s">
        <v>138</v>
      </c>
      <c r="CR71" t="s">
        <v>138</v>
      </c>
      <c r="CS71" t="s">
        <v>138</v>
      </c>
      <c r="CT71" t="s">
        <v>138</v>
      </c>
      <c r="CU71" t="s">
        <v>138</v>
      </c>
      <c r="CV71" t="s">
        <v>138</v>
      </c>
      <c r="CW71" t="s">
        <v>138</v>
      </c>
    </row>
    <row r="72" spans="1:101" x14ac:dyDescent="0.25">
      <c r="A72" t="s">
        <v>124</v>
      </c>
      <c r="B72" t="s">
        <v>137</v>
      </c>
      <c r="C72" t="s">
        <v>137</v>
      </c>
      <c r="D72" t="s">
        <v>137</v>
      </c>
      <c r="E72" t="s">
        <v>137</v>
      </c>
      <c r="F72" t="s">
        <v>137</v>
      </c>
      <c r="G72" t="s">
        <v>137</v>
      </c>
      <c r="H72" t="s">
        <v>137</v>
      </c>
      <c r="I72" t="s">
        <v>137</v>
      </c>
      <c r="J72" t="s">
        <v>137</v>
      </c>
      <c r="K72" t="s">
        <v>137</v>
      </c>
      <c r="L72" t="s">
        <v>137</v>
      </c>
      <c r="M72" t="s">
        <v>137</v>
      </c>
      <c r="N72" t="s">
        <v>137</v>
      </c>
      <c r="O72" t="s">
        <v>137</v>
      </c>
      <c r="P72" t="s">
        <v>137</v>
      </c>
      <c r="Q72" t="s">
        <v>137</v>
      </c>
      <c r="R72" t="s">
        <v>137</v>
      </c>
      <c r="S72" t="s">
        <v>137</v>
      </c>
      <c r="T72" t="s">
        <v>137</v>
      </c>
      <c r="U72" t="s">
        <v>137</v>
      </c>
      <c r="V72" t="s">
        <v>137</v>
      </c>
      <c r="W72" t="s">
        <v>137</v>
      </c>
      <c r="X72" t="s">
        <v>137</v>
      </c>
      <c r="Y72" t="s">
        <v>137</v>
      </c>
      <c r="Z72" t="s">
        <v>137</v>
      </c>
      <c r="AA72" t="s">
        <v>137</v>
      </c>
      <c r="AB72" t="s">
        <v>137</v>
      </c>
      <c r="AC72" t="s">
        <v>137</v>
      </c>
      <c r="AD72" t="s">
        <v>137</v>
      </c>
      <c r="AE72" t="s">
        <v>137</v>
      </c>
      <c r="AF72" t="s">
        <v>137</v>
      </c>
      <c r="AG72" t="s">
        <v>137</v>
      </c>
      <c r="AH72" t="s">
        <v>137</v>
      </c>
      <c r="AI72" t="s">
        <v>137</v>
      </c>
      <c r="AJ72" t="s">
        <v>137</v>
      </c>
      <c r="AK72" t="s">
        <v>137</v>
      </c>
      <c r="AL72" t="s">
        <v>137</v>
      </c>
      <c r="AM72" t="s">
        <v>137</v>
      </c>
      <c r="AN72" t="s">
        <v>137</v>
      </c>
      <c r="AO72" t="s">
        <v>137</v>
      </c>
      <c r="AP72" t="s">
        <v>137</v>
      </c>
      <c r="AQ72" t="s">
        <v>138</v>
      </c>
      <c r="AR72" t="s">
        <v>138</v>
      </c>
      <c r="AS72" t="s">
        <v>138</v>
      </c>
      <c r="AT72" t="s">
        <v>138</v>
      </c>
      <c r="AU72" t="s">
        <v>138</v>
      </c>
      <c r="AV72" t="s">
        <v>138</v>
      </c>
      <c r="AW72" t="s">
        <v>138</v>
      </c>
      <c r="AX72" t="s">
        <v>138</v>
      </c>
      <c r="AY72" t="s">
        <v>138</v>
      </c>
      <c r="AZ72" t="s">
        <v>138</v>
      </c>
      <c r="BA72" t="s">
        <v>138</v>
      </c>
      <c r="BB72" t="s">
        <v>138</v>
      </c>
      <c r="BC72" t="s">
        <v>138</v>
      </c>
      <c r="BD72" t="s">
        <v>138</v>
      </c>
      <c r="BE72" t="s">
        <v>138</v>
      </c>
      <c r="BF72" t="s">
        <v>138</v>
      </c>
      <c r="BG72" t="s">
        <v>138</v>
      </c>
      <c r="BH72" t="s">
        <v>138</v>
      </c>
      <c r="BI72" t="s">
        <v>138</v>
      </c>
      <c r="BJ72" t="s">
        <v>138</v>
      </c>
      <c r="BK72" t="s">
        <v>138</v>
      </c>
      <c r="BL72" t="s">
        <v>138</v>
      </c>
      <c r="BM72" t="s">
        <v>138</v>
      </c>
      <c r="BN72" t="s">
        <v>138</v>
      </c>
      <c r="BO72" t="s">
        <v>138</v>
      </c>
      <c r="BP72" t="s">
        <v>138</v>
      </c>
      <c r="BQ72" t="s">
        <v>138</v>
      </c>
      <c r="BR72" t="s">
        <v>138</v>
      </c>
      <c r="BS72" t="s">
        <v>138</v>
      </c>
      <c r="BT72" t="s">
        <v>138</v>
      </c>
      <c r="BU72" t="s">
        <v>138</v>
      </c>
      <c r="BV72" t="s">
        <v>138</v>
      </c>
      <c r="BW72" t="s">
        <v>138</v>
      </c>
      <c r="BX72" t="s">
        <v>138</v>
      </c>
      <c r="BY72" t="s">
        <v>138</v>
      </c>
      <c r="BZ72" t="s">
        <v>138</v>
      </c>
      <c r="CA72" t="s">
        <v>138</v>
      </c>
      <c r="CB72" t="s">
        <v>138</v>
      </c>
      <c r="CC72" t="s">
        <v>138</v>
      </c>
      <c r="CD72" t="s">
        <v>138</v>
      </c>
      <c r="CE72" t="s">
        <v>138</v>
      </c>
      <c r="CF72" t="s">
        <v>138</v>
      </c>
      <c r="CG72" t="s">
        <v>138</v>
      </c>
      <c r="CH72" t="s">
        <v>138</v>
      </c>
      <c r="CI72" t="s">
        <v>138</v>
      </c>
      <c r="CJ72" t="s">
        <v>138</v>
      </c>
      <c r="CK72" t="s">
        <v>138</v>
      </c>
      <c r="CL72" t="s">
        <v>138</v>
      </c>
      <c r="CM72" t="s">
        <v>138</v>
      </c>
      <c r="CN72" t="s">
        <v>138</v>
      </c>
      <c r="CO72" t="s">
        <v>138</v>
      </c>
      <c r="CP72" t="s">
        <v>138</v>
      </c>
      <c r="CQ72" t="s">
        <v>138</v>
      </c>
      <c r="CR72" t="s">
        <v>138</v>
      </c>
      <c r="CS72" t="s">
        <v>138</v>
      </c>
      <c r="CT72" t="s">
        <v>138</v>
      </c>
      <c r="CU72" t="s">
        <v>138</v>
      </c>
      <c r="CV72" t="s">
        <v>138</v>
      </c>
      <c r="CW72" t="s">
        <v>138</v>
      </c>
    </row>
    <row r="73" spans="1:101" x14ac:dyDescent="0.25">
      <c r="A73" t="s">
        <v>125</v>
      </c>
      <c r="B73" t="s">
        <v>137</v>
      </c>
      <c r="C73" t="s">
        <v>137</v>
      </c>
      <c r="D73" t="s">
        <v>137</v>
      </c>
      <c r="E73" t="s">
        <v>137</v>
      </c>
      <c r="F73" t="s">
        <v>137</v>
      </c>
      <c r="G73" t="s">
        <v>137</v>
      </c>
      <c r="H73" t="s">
        <v>137</v>
      </c>
      <c r="I73" t="s">
        <v>137</v>
      </c>
      <c r="J73" t="s">
        <v>137</v>
      </c>
      <c r="K73" t="s">
        <v>137</v>
      </c>
      <c r="L73" t="s">
        <v>137</v>
      </c>
      <c r="M73" t="s">
        <v>137</v>
      </c>
      <c r="N73" t="s">
        <v>137</v>
      </c>
      <c r="O73" t="s">
        <v>137</v>
      </c>
      <c r="P73" t="s">
        <v>137</v>
      </c>
      <c r="Q73" t="s">
        <v>137</v>
      </c>
      <c r="R73" t="s">
        <v>137</v>
      </c>
      <c r="S73" t="s">
        <v>137</v>
      </c>
      <c r="T73" t="s">
        <v>137</v>
      </c>
      <c r="U73" t="s">
        <v>137</v>
      </c>
      <c r="V73" t="s">
        <v>137</v>
      </c>
      <c r="W73" t="s">
        <v>137</v>
      </c>
      <c r="X73" t="s">
        <v>137</v>
      </c>
      <c r="Y73" t="s">
        <v>137</v>
      </c>
      <c r="Z73" t="s">
        <v>137</v>
      </c>
      <c r="AA73" t="s">
        <v>137</v>
      </c>
      <c r="AB73" t="s">
        <v>137</v>
      </c>
      <c r="AC73" t="s">
        <v>137</v>
      </c>
      <c r="AD73" t="s">
        <v>137</v>
      </c>
      <c r="AE73" t="s">
        <v>137</v>
      </c>
      <c r="AF73" t="s">
        <v>137</v>
      </c>
      <c r="AG73" t="s">
        <v>137</v>
      </c>
      <c r="AH73" t="s">
        <v>137</v>
      </c>
      <c r="AI73" t="s">
        <v>137</v>
      </c>
      <c r="AJ73" t="s">
        <v>137</v>
      </c>
      <c r="AK73" t="s">
        <v>137</v>
      </c>
      <c r="AL73" t="s">
        <v>137</v>
      </c>
      <c r="AM73" t="s">
        <v>137</v>
      </c>
      <c r="AN73" t="s">
        <v>137</v>
      </c>
      <c r="AO73" t="s">
        <v>137</v>
      </c>
      <c r="AP73" t="s">
        <v>137</v>
      </c>
      <c r="AQ73" t="s">
        <v>137</v>
      </c>
      <c r="AR73" t="s">
        <v>137</v>
      </c>
      <c r="AS73" t="s">
        <v>137</v>
      </c>
      <c r="AT73" t="s">
        <v>137</v>
      </c>
      <c r="AU73" t="s">
        <v>137</v>
      </c>
      <c r="AV73" t="s">
        <v>137</v>
      </c>
      <c r="AW73" t="s">
        <v>137</v>
      </c>
      <c r="AX73" t="s">
        <v>137</v>
      </c>
      <c r="AY73" t="s">
        <v>137</v>
      </c>
      <c r="AZ73" t="s">
        <v>137</v>
      </c>
      <c r="BA73" t="s">
        <v>137</v>
      </c>
      <c r="BB73" t="s">
        <v>137</v>
      </c>
      <c r="BC73" t="s">
        <v>137</v>
      </c>
      <c r="BD73" t="s">
        <v>137</v>
      </c>
      <c r="BE73" t="s">
        <v>137</v>
      </c>
      <c r="BF73" t="s">
        <v>137</v>
      </c>
      <c r="BG73" t="s">
        <v>137</v>
      </c>
      <c r="BH73" t="s">
        <v>137</v>
      </c>
      <c r="BI73" t="s">
        <v>137</v>
      </c>
      <c r="BJ73" t="s">
        <v>137</v>
      </c>
      <c r="BK73" t="s">
        <v>137</v>
      </c>
      <c r="BL73" t="s">
        <v>137</v>
      </c>
      <c r="BM73" t="s">
        <v>137</v>
      </c>
      <c r="BN73" t="s">
        <v>137</v>
      </c>
      <c r="BO73" t="s">
        <v>137</v>
      </c>
      <c r="BP73" t="s">
        <v>137</v>
      </c>
      <c r="BQ73" t="s">
        <v>137</v>
      </c>
      <c r="BR73" t="s">
        <v>137</v>
      </c>
      <c r="BS73" t="s">
        <v>137</v>
      </c>
      <c r="BT73" t="s">
        <v>137</v>
      </c>
      <c r="BU73" t="s">
        <v>137</v>
      </c>
      <c r="BV73" t="s">
        <v>137</v>
      </c>
      <c r="BW73" t="s">
        <v>137</v>
      </c>
      <c r="BX73" t="s">
        <v>137</v>
      </c>
      <c r="BY73" t="s">
        <v>137</v>
      </c>
      <c r="BZ73" t="s">
        <v>137</v>
      </c>
      <c r="CA73" t="s">
        <v>137</v>
      </c>
      <c r="CB73" t="s">
        <v>137</v>
      </c>
      <c r="CC73" t="s">
        <v>137</v>
      </c>
      <c r="CD73" t="s">
        <v>137</v>
      </c>
      <c r="CE73" t="s">
        <v>137</v>
      </c>
      <c r="CF73" t="s">
        <v>137</v>
      </c>
      <c r="CG73" t="s">
        <v>137</v>
      </c>
      <c r="CH73" t="s">
        <v>137</v>
      </c>
      <c r="CI73" t="s">
        <v>137</v>
      </c>
      <c r="CJ73" t="s">
        <v>137</v>
      </c>
      <c r="CK73" t="s">
        <v>137</v>
      </c>
      <c r="CL73" t="s">
        <v>137</v>
      </c>
      <c r="CM73" t="s">
        <v>137</v>
      </c>
      <c r="CN73" t="s">
        <v>137</v>
      </c>
      <c r="CO73" t="s">
        <v>137</v>
      </c>
      <c r="CP73" t="s">
        <v>137</v>
      </c>
      <c r="CQ73" t="s">
        <v>137</v>
      </c>
      <c r="CR73" t="s">
        <v>137</v>
      </c>
      <c r="CS73" t="s">
        <v>137</v>
      </c>
      <c r="CT73" t="s">
        <v>137</v>
      </c>
      <c r="CU73" t="s">
        <v>137</v>
      </c>
      <c r="CV73" t="s">
        <v>137</v>
      </c>
      <c r="CW73" t="s">
        <v>137</v>
      </c>
    </row>
    <row r="74" spans="1:101" x14ac:dyDescent="0.25">
      <c r="A74" t="s">
        <v>126</v>
      </c>
      <c r="B74" t="s">
        <v>137</v>
      </c>
      <c r="C74" t="s">
        <v>138</v>
      </c>
      <c r="D74" t="s">
        <v>138</v>
      </c>
      <c r="E74" t="s">
        <v>138</v>
      </c>
      <c r="F74" t="s">
        <v>138</v>
      </c>
      <c r="G74" t="s">
        <v>138</v>
      </c>
      <c r="H74" t="s">
        <v>138</v>
      </c>
      <c r="I74" t="s">
        <v>138</v>
      </c>
      <c r="J74" t="s">
        <v>138</v>
      </c>
      <c r="K74" t="s">
        <v>138</v>
      </c>
      <c r="L74" t="s">
        <v>138</v>
      </c>
      <c r="M74" t="s">
        <v>138</v>
      </c>
      <c r="N74" t="s">
        <v>138</v>
      </c>
      <c r="O74" t="s">
        <v>138</v>
      </c>
      <c r="P74" t="s">
        <v>138</v>
      </c>
      <c r="Q74" t="s">
        <v>138</v>
      </c>
      <c r="R74" t="s">
        <v>138</v>
      </c>
      <c r="S74" t="s">
        <v>138</v>
      </c>
      <c r="T74" t="s">
        <v>138</v>
      </c>
      <c r="U74" t="s">
        <v>138</v>
      </c>
      <c r="V74" t="s">
        <v>138</v>
      </c>
      <c r="W74" t="s">
        <v>138</v>
      </c>
      <c r="X74" t="s">
        <v>138</v>
      </c>
      <c r="Y74" t="s">
        <v>138</v>
      </c>
      <c r="Z74" t="s">
        <v>138</v>
      </c>
      <c r="AA74" t="s">
        <v>138</v>
      </c>
      <c r="AB74" t="s">
        <v>138</v>
      </c>
      <c r="AC74" t="s">
        <v>138</v>
      </c>
      <c r="AD74" t="s">
        <v>138</v>
      </c>
      <c r="AE74" t="s">
        <v>138</v>
      </c>
      <c r="AF74" t="s">
        <v>138</v>
      </c>
      <c r="AG74" t="s">
        <v>138</v>
      </c>
      <c r="AH74" t="s">
        <v>138</v>
      </c>
      <c r="AI74" t="s">
        <v>138</v>
      </c>
      <c r="AJ74" t="s">
        <v>138</v>
      </c>
      <c r="AK74" t="s">
        <v>138</v>
      </c>
      <c r="AL74" t="s">
        <v>138</v>
      </c>
      <c r="AM74" t="s">
        <v>138</v>
      </c>
      <c r="AN74" t="s">
        <v>138</v>
      </c>
      <c r="AO74" t="s">
        <v>138</v>
      </c>
      <c r="AP74" t="s">
        <v>138</v>
      </c>
      <c r="AQ74" t="s">
        <v>138</v>
      </c>
      <c r="AR74" t="s">
        <v>138</v>
      </c>
      <c r="AS74" t="s">
        <v>138</v>
      </c>
      <c r="AT74" t="s">
        <v>138</v>
      </c>
      <c r="AU74" t="s">
        <v>138</v>
      </c>
      <c r="AV74" t="s">
        <v>138</v>
      </c>
      <c r="AW74" t="s">
        <v>138</v>
      </c>
      <c r="AX74" t="s">
        <v>138</v>
      </c>
      <c r="AY74" t="s">
        <v>138</v>
      </c>
      <c r="AZ74" t="s">
        <v>138</v>
      </c>
      <c r="BA74" t="s">
        <v>138</v>
      </c>
      <c r="BB74" t="s">
        <v>138</v>
      </c>
      <c r="BC74" t="s">
        <v>138</v>
      </c>
      <c r="BD74" t="s">
        <v>138</v>
      </c>
      <c r="BE74" t="s">
        <v>138</v>
      </c>
      <c r="BF74" t="s">
        <v>138</v>
      </c>
      <c r="BG74" t="s">
        <v>138</v>
      </c>
      <c r="BH74" t="s">
        <v>138</v>
      </c>
      <c r="BI74" t="s">
        <v>138</v>
      </c>
      <c r="BJ74" t="s">
        <v>138</v>
      </c>
      <c r="BK74" t="s">
        <v>138</v>
      </c>
      <c r="BL74" t="s">
        <v>138</v>
      </c>
      <c r="BM74" t="s">
        <v>138</v>
      </c>
      <c r="BN74" t="s">
        <v>138</v>
      </c>
      <c r="BO74" t="s">
        <v>138</v>
      </c>
      <c r="BP74" t="s">
        <v>138</v>
      </c>
      <c r="BQ74" t="s">
        <v>138</v>
      </c>
      <c r="BR74" t="s">
        <v>138</v>
      </c>
      <c r="BS74" t="s">
        <v>138</v>
      </c>
      <c r="BT74" t="s">
        <v>138</v>
      </c>
      <c r="BU74" t="s">
        <v>138</v>
      </c>
      <c r="BV74" t="s">
        <v>138</v>
      </c>
      <c r="BW74" t="s">
        <v>138</v>
      </c>
      <c r="BX74" t="s">
        <v>138</v>
      </c>
      <c r="BY74" t="s">
        <v>138</v>
      </c>
      <c r="BZ74" t="s">
        <v>138</v>
      </c>
      <c r="CA74" t="s">
        <v>138</v>
      </c>
      <c r="CB74" t="s">
        <v>138</v>
      </c>
      <c r="CC74" t="s">
        <v>138</v>
      </c>
      <c r="CD74" t="s">
        <v>138</v>
      </c>
      <c r="CE74" t="s">
        <v>138</v>
      </c>
      <c r="CF74" t="s">
        <v>138</v>
      </c>
      <c r="CG74" t="s">
        <v>138</v>
      </c>
      <c r="CH74" t="s">
        <v>138</v>
      </c>
      <c r="CI74" t="s">
        <v>138</v>
      </c>
      <c r="CJ74" t="s">
        <v>138</v>
      </c>
      <c r="CK74" t="s">
        <v>138</v>
      </c>
      <c r="CL74" t="s">
        <v>138</v>
      </c>
      <c r="CM74" t="s">
        <v>138</v>
      </c>
      <c r="CN74" t="s">
        <v>138</v>
      </c>
      <c r="CO74" t="s">
        <v>138</v>
      </c>
      <c r="CP74" t="s">
        <v>138</v>
      </c>
      <c r="CQ74" t="s">
        <v>138</v>
      </c>
      <c r="CR74" t="s">
        <v>138</v>
      </c>
      <c r="CS74" t="s">
        <v>138</v>
      </c>
      <c r="CT74" t="s">
        <v>138</v>
      </c>
      <c r="CU74" t="s">
        <v>138</v>
      </c>
      <c r="CV74" t="s">
        <v>138</v>
      </c>
      <c r="CW74" t="s">
        <v>138</v>
      </c>
    </row>
    <row r="75" spans="1:101" x14ac:dyDescent="0.25">
      <c r="A75" t="s">
        <v>127</v>
      </c>
      <c r="B75" t="s">
        <v>137</v>
      </c>
      <c r="C75" t="s">
        <v>137</v>
      </c>
      <c r="D75" t="s">
        <v>137</v>
      </c>
      <c r="E75" t="s">
        <v>137</v>
      </c>
      <c r="F75" t="s">
        <v>137</v>
      </c>
      <c r="G75" t="s">
        <v>137</v>
      </c>
      <c r="H75" t="s">
        <v>137</v>
      </c>
      <c r="I75" t="s">
        <v>137</v>
      </c>
      <c r="J75" t="s">
        <v>137</v>
      </c>
      <c r="K75" t="s">
        <v>137</v>
      </c>
      <c r="L75" t="s">
        <v>137</v>
      </c>
      <c r="M75" t="s">
        <v>137</v>
      </c>
      <c r="N75" t="s">
        <v>137</v>
      </c>
      <c r="O75" t="s">
        <v>137</v>
      </c>
      <c r="P75" t="s">
        <v>137</v>
      </c>
      <c r="Q75" t="s">
        <v>137</v>
      </c>
      <c r="R75" t="s">
        <v>137</v>
      </c>
      <c r="S75" t="s">
        <v>137</v>
      </c>
      <c r="T75" t="s">
        <v>137</v>
      </c>
      <c r="U75" t="s">
        <v>137</v>
      </c>
      <c r="V75" t="s">
        <v>137</v>
      </c>
      <c r="W75" t="s">
        <v>137</v>
      </c>
      <c r="X75" t="s">
        <v>137</v>
      </c>
      <c r="Y75" t="s">
        <v>137</v>
      </c>
      <c r="Z75" t="s">
        <v>137</v>
      </c>
      <c r="AA75" t="s">
        <v>137</v>
      </c>
      <c r="AB75" t="s">
        <v>137</v>
      </c>
      <c r="AC75" t="s">
        <v>137</v>
      </c>
      <c r="AD75" t="s">
        <v>137</v>
      </c>
      <c r="AE75" t="s">
        <v>137</v>
      </c>
      <c r="AF75" t="s">
        <v>137</v>
      </c>
      <c r="AG75" t="s">
        <v>137</v>
      </c>
      <c r="AH75" t="s">
        <v>137</v>
      </c>
      <c r="AI75" t="s">
        <v>137</v>
      </c>
      <c r="AJ75" t="s">
        <v>137</v>
      </c>
      <c r="AK75" t="s">
        <v>137</v>
      </c>
      <c r="AL75" t="s">
        <v>137</v>
      </c>
      <c r="AM75" t="s">
        <v>137</v>
      </c>
      <c r="AN75" t="s">
        <v>137</v>
      </c>
      <c r="AO75" t="s">
        <v>137</v>
      </c>
      <c r="AP75" t="s">
        <v>137</v>
      </c>
      <c r="AQ75" t="s">
        <v>137</v>
      </c>
      <c r="AR75" t="s">
        <v>137</v>
      </c>
      <c r="AS75" t="s">
        <v>137</v>
      </c>
      <c r="AT75" t="s">
        <v>137</v>
      </c>
      <c r="AU75" t="s">
        <v>137</v>
      </c>
      <c r="AV75" t="s">
        <v>137</v>
      </c>
      <c r="AW75" t="s">
        <v>137</v>
      </c>
      <c r="AX75" t="s">
        <v>137</v>
      </c>
      <c r="AY75" t="s">
        <v>137</v>
      </c>
      <c r="AZ75" t="s">
        <v>137</v>
      </c>
      <c r="BA75" t="s">
        <v>137</v>
      </c>
      <c r="BB75" t="s">
        <v>137</v>
      </c>
      <c r="BC75" t="s">
        <v>137</v>
      </c>
      <c r="BD75" t="s">
        <v>137</v>
      </c>
      <c r="BE75" t="s">
        <v>137</v>
      </c>
      <c r="BF75" t="s">
        <v>137</v>
      </c>
      <c r="BG75" t="s">
        <v>137</v>
      </c>
      <c r="BH75" t="s">
        <v>137</v>
      </c>
      <c r="BI75" t="s">
        <v>137</v>
      </c>
      <c r="BJ75" t="s">
        <v>137</v>
      </c>
      <c r="BK75" t="s">
        <v>137</v>
      </c>
      <c r="BL75" t="s">
        <v>137</v>
      </c>
      <c r="BM75" t="s">
        <v>137</v>
      </c>
      <c r="BN75" t="s">
        <v>137</v>
      </c>
      <c r="BO75" t="s">
        <v>137</v>
      </c>
      <c r="BP75" t="s">
        <v>137</v>
      </c>
      <c r="BQ75" t="s">
        <v>137</v>
      </c>
      <c r="BR75" t="s">
        <v>137</v>
      </c>
      <c r="BS75" t="s">
        <v>137</v>
      </c>
      <c r="BT75" t="s">
        <v>137</v>
      </c>
      <c r="BU75" t="s">
        <v>137</v>
      </c>
      <c r="BV75" t="s">
        <v>137</v>
      </c>
      <c r="BW75" t="s">
        <v>137</v>
      </c>
      <c r="BX75" t="s">
        <v>137</v>
      </c>
      <c r="BY75" t="s">
        <v>137</v>
      </c>
      <c r="BZ75" t="s">
        <v>137</v>
      </c>
      <c r="CA75" t="s">
        <v>137</v>
      </c>
      <c r="CB75" t="s">
        <v>137</v>
      </c>
      <c r="CC75" t="s">
        <v>137</v>
      </c>
      <c r="CD75" t="s">
        <v>137</v>
      </c>
      <c r="CE75" t="s">
        <v>137</v>
      </c>
      <c r="CF75" t="s">
        <v>137</v>
      </c>
      <c r="CG75" t="s">
        <v>137</v>
      </c>
      <c r="CH75" t="s">
        <v>137</v>
      </c>
      <c r="CI75" t="s">
        <v>137</v>
      </c>
      <c r="CJ75" t="s">
        <v>137</v>
      </c>
      <c r="CK75" t="s">
        <v>137</v>
      </c>
      <c r="CL75" t="s">
        <v>137</v>
      </c>
      <c r="CM75" t="s">
        <v>137</v>
      </c>
      <c r="CN75" t="s">
        <v>137</v>
      </c>
      <c r="CO75" t="s">
        <v>137</v>
      </c>
      <c r="CP75" t="s">
        <v>137</v>
      </c>
      <c r="CQ75" t="s">
        <v>137</v>
      </c>
      <c r="CR75" t="s">
        <v>137</v>
      </c>
      <c r="CS75" t="s">
        <v>137</v>
      </c>
      <c r="CT75" t="s">
        <v>137</v>
      </c>
      <c r="CU75" t="s">
        <v>137</v>
      </c>
      <c r="CV75" t="s">
        <v>137</v>
      </c>
      <c r="CW75" t="s">
        <v>137</v>
      </c>
    </row>
    <row r="76" spans="1:101" x14ac:dyDescent="0.25">
      <c r="A76" t="s">
        <v>128</v>
      </c>
      <c r="B76" t="s">
        <v>137</v>
      </c>
      <c r="C76" t="s">
        <v>137</v>
      </c>
      <c r="D76" t="s">
        <v>137</v>
      </c>
      <c r="E76" t="s">
        <v>137</v>
      </c>
      <c r="F76" t="s">
        <v>137</v>
      </c>
      <c r="G76" t="s">
        <v>137</v>
      </c>
      <c r="H76" t="s">
        <v>137</v>
      </c>
      <c r="I76" t="s">
        <v>137</v>
      </c>
      <c r="J76" t="s">
        <v>137</v>
      </c>
      <c r="K76" t="s">
        <v>137</v>
      </c>
      <c r="L76" t="s">
        <v>137</v>
      </c>
      <c r="M76" t="s">
        <v>137</v>
      </c>
      <c r="N76" t="s">
        <v>137</v>
      </c>
      <c r="O76" t="s">
        <v>137</v>
      </c>
      <c r="P76" t="s">
        <v>137</v>
      </c>
      <c r="Q76" t="s">
        <v>137</v>
      </c>
      <c r="R76" t="s">
        <v>137</v>
      </c>
      <c r="S76" t="s">
        <v>137</v>
      </c>
      <c r="T76" t="s">
        <v>137</v>
      </c>
      <c r="U76" t="s">
        <v>137</v>
      </c>
      <c r="V76" t="s">
        <v>137</v>
      </c>
      <c r="W76" t="s">
        <v>137</v>
      </c>
      <c r="X76" t="s">
        <v>137</v>
      </c>
      <c r="Y76" t="s">
        <v>137</v>
      </c>
      <c r="Z76" t="s">
        <v>137</v>
      </c>
      <c r="AA76" t="s">
        <v>137</v>
      </c>
      <c r="AB76" t="s">
        <v>137</v>
      </c>
      <c r="AC76" t="s">
        <v>137</v>
      </c>
      <c r="AD76" t="s">
        <v>137</v>
      </c>
      <c r="AE76" t="s">
        <v>137</v>
      </c>
      <c r="AF76" t="s">
        <v>137</v>
      </c>
      <c r="AG76" t="s">
        <v>137</v>
      </c>
      <c r="AH76" t="s">
        <v>137</v>
      </c>
      <c r="AI76" t="s">
        <v>137</v>
      </c>
      <c r="AJ76" t="s">
        <v>137</v>
      </c>
      <c r="AK76" t="s">
        <v>137</v>
      </c>
      <c r="AL76" t="s">
        <v>137</v>
      </c>
      <c r="AM76" t="s">
        <v>137</v>
      </c>
      <c r="AN76" t="s">
        <v>137</v>
      </c>
      <c r="AO76" t="s">
        <v>137</v>
      </c>
      <c r="AP76" t="s">
        <v>137</v>
      </c>
      <c r="AQ76" t="s">
        <v>137</v>
      </c>
      <c r="AR76" t="s">
        <v>137</v>
      </c>
      <c r="AS76" t="s">
        <v>137</v>
      </c>
      <c r="AT76" t="s">
        <v>137</v>
      </c>
      <c r="AU76" t="s">
        <v>137</v>
      </c>
      <c r="AV76" t="s">
        <v>137</v>
      </c>
      <c r="AW76" t="s">
        <v>137</v>
      </c>
      <c r="AX76" t="s">
        <v>137</v>
      </c>
      <c r="AY76" t="s">
        <v>137</v>
      </c>
      <c r="AZ76" t="s">
        <v>137</v>
      </c>
      <c r="BA76" t="s">
        <v>137</v>
      </c>
      <c r="BB76" t="s">
        <v>137</v>
      </c>
      <c r="BC76" t="s">
        <v>137</v>
      </c>
      <c r="BD76" t="s">
        <v>137</v>
      </c>
      <c r="BE76" t="s">
        <v>137</v>
      </c>
      <c r="BF76" t="s">
        <v>137</v>
      </c>
      <c r="BG76" t="s">
        <v>137</v>
      </c>
      <c r="BH76" t="s">
        <v>137</v>
      </c>
      <c r="BI76" t="s">
        <v>137</v>
      </c>
      <c r="BJ76" t="s">
        <v>137</v>
      </c>
      <c r="BK76" t="s">
        <v>137</v>
      </c>
      <c r="BL76" t="s">
        <v>137</v>
      </c>
      <c r="BM76" t="s">
        <v>137</v>
      </c>
      <c r="BN76" t="s">
        <v>137</v>
      </c>
      <c r="BO76" t="s">
        <v>137</v>
      </c>
      <c r="BP76" t="s">
        <v>137</v>
      </c>
      <c r="BQ76" t="s">
        <v>137</v>
      </c>
      <c r="BR76" t="s">
        <v>137</v>
      </c>
      <c r="BS76" t="s">
        <v>137</v>
      </c>
      <c r="BT76" t="s">
        <v>137</v>
      </c>
      <c r="BU76" t="s">
        <v>137</v>
      </c>
      <c r="BV76" t="s">
        <v>137</v>
      </c>
      <c r="BW76" t="s">
        <v>137</v>
      </c>
      <c r="BX76" t="s">
        <v>137</v>
      </c>
      <c r="BY76" t="s">
        <v>137</v>
      </c>
      <c r="BZ76" t="s">
        <v>137</v>
      </c>
      <c r="CA76" t="s">
        <v>137</v>
      </c>
      <c r="CB76" t="s">
        <v>137</v>
      </c>
      <c r="CC76" t="s">
        <v>137</v>
      </c>
      <c r="CD76" t="s">
        <v>137</v>
      </c>
      <c r="CE76" t="s">
        <v>137</v>
      </c>
      <c r="CF76" t="s">
        <v>137</v>
      </c>
      <c r="CG76" t="s">
        <v>137</v>
      </c>
      <c r="CH76" t="s">
        <v>137</v>
      </c>
      <c r="CI76" t="s">
        <v>137</v>
      </c>
      <c r="CJ76" t="s">
        <v>137</v>
      </c>
      <c r="CK76" t="s">
        <v>137</v>
      </c>
      <c r="CL76" t="s">
        <v>137</v>
      </c>
      <c r="CM76" t="s">
        <v>137</v>
      </c>
      <c r="CN76" t="s">
        <v>137</v>
      </c>
      <c r="CO76" t="s">
        <v>137</v>
      </c>
      <c r="CP76" t="s">
        <v>137</v>
      </c>
      <c r="CQ76" t="s">
        <v>137</v>
      </c>
      <c r="CR76" t="s">
        <v>137</v>
      </c>
      <c r="CS76" t="s">
        <v>137</v>
      </c>
      <c r="CT76" t="s">
        <v>137</v>
      </c>
      <c r="CU76" t="s">
        <v>137</v>
      </c>
      <c r="CV76" t="s">
        <v>137</v>
      </c>
      <c r="CW76" t="s">
        <v>137</v>
      </c>
    </row>
    <row r="77" spans="1:101" x14ac:dyDescent="0.25">
      <c r="A77" t="s">
        <v>130</v>
      </c>
      <c r="B77" t="s">
        <v>137</v>
      </c>
      <c r="C77" t="s">
        <v>137</v>
      </c>
      <c r="D77" t="s">
        <v>137</v>
      </c>
      <c r="E77" t="s">
        <v>137</v>
      </c>
      <c r="F77" t="s">
        <v>137</v>
      </c>
      <c r="G77" t="s">
        <v>137</v>
      </c>
      <c r="H77" t="s">
        <v>137</v>
      </c>
      <c r="I77" t="s">
        <v>137</v>
      </c>
      <c r="J77" t="s">
        <v>137</v>
      </c>
      <c r="K77" t="s">
        <v>137</v>
      </c>
      <c r="L77" t="s">
        <v>137</v>
      </c>
      <c r="M77" t="s">
        <v>137</v>
      </c>
      <c r="N77" t="s">
        <v>137</v>
      </c>
      <c r="O77" t="s">
        <v>137</v>
      </c>
      <c r="P77" t="s">
        <v>137</v>
      </c>
      <c r="Q77" t="s">
        <v>137</v>
      </c>
      <c r="R77" t="s">
        <v>137</v>
      </c>
      <c r="S77" t="s">
        <v>137</v>
      </c>
      <c r="T77" t="s">
        <v>137</v>
      </c>
      <c r="U77" t="s">
        <v>137</v>
      </c>
      <c r="V77" t="s">
        <v>137</v>
      </c>
      <c r="W77" t="s">
        <v>137</v>
      </c>
      <c r="X77" t="s">
        <v>137</v>
      </c>
      <c r="Y77" t="s">
        <v>137</v>
      </c>
      <c r="Z77" t="s">
        <v>137</v>
      </c>
      <c r="AA77" t="s">
        <v>137</v>
      </c>
      <c r="AB77" t="s">
        <v>137</v>
      </c>
      <c r="AC77" t="s">
        <v>137</v>
      </c>
      <c r="AD77" t="s">
        <v>137</v>
      </c>
      <c r="AE77" t="s">
        <v>137</v>
      </c>
      <c r="AF77" t="s">
        <v>137</v>
      </c>
      <c r="AG77" t="s">
        <v>137</v>
      </c>
      <c r="AH77" t="s">
        <v>137</v>
      </c>
      <c r="AI77" t="s">
        <v>137</v>
      </c>
      <c r="AJ77" t="s">
        <v>137</v>
      </c>
      <c r="AK77" t="s">
        <v>137</v>
      </c>
      <c r="AL77" t="s">
        <v>137</v>
      </c>
      <c r="AM77" t="s">
        <v>137</v>
      </c>
      <c r="AN77" t="s">
        <v>137</v>
      </c>
      <c r="AO77" t="s">
        <v>137</v>
      </c>
      <c r="AP77" t="s">
        <v>137</v>
      </c>
      <c r="AQ77" t="s">
        <v>137</v>
      </c>
      <c r="AR77" t="s">
        <v>137</v>
      </c>
      <c r="AS77" t="s">
        <v>137</v>
      </c>
      <c r="AT77" t="s">
        <v>137</v>
      </c>
      <c r="AU77" t="s">
        <v>137</v>
      </c>
      <c r="AV77" t="s">
        <v>137</v>
      </c>
      <c r="AW77" t="s">
        <v>137</v>
      </c>
      <c r="AX77" t="s">
        <v>137</v>
      </c>
      <c r="AY77" t="s">
        <v>137</v>
      </c>
      <c r="AZ77" t="s">
        <v>137</v>
      </c>
      <c r="BA77" t="s">
        <v>137</v>
      </c>
      <c r="BB77" t="s">
        <v>137</v>
      </c>
      <c r="BC77" t="s">
        <v>137</v>
      </c>
      <c r="BD77" t="s">
        <v>137</v>
      </c>
      <c r="BE77" t="s">
        <v>137</v>
      </c>
      <c r="BF77" t="s">
        <v>137</v>
      </c>
      <c r="BG77" t="s">
        <v>137</v>
      </c>
      <c r="BH77" t="s">
        <v>137</v>
      </c>
      <c r="BI77" t="s">
        <v>137</v>
      </c>
      <c r="BJ77" t="s">
        <v>137</v>
      </c>
      <c r="BK77" t="s">
        <v>137</v>
      </c>
      <c r="BL77" t="s">
        <v>137</v>
      </c>
      <c r="BM77" t="s">
        <v>137</v>
      </c>
      <c r="BN77" t="s">
        <v>137</v>
      </c>
      <c r="BO77" t="s">
        <v>137</v>
      </c>
      <c r="BP77" t="s">
        <v>137</v>
      </c>
      <c r="BQ77" t="s">
        <v>137</v>
      </c>
      <c r="BR77" t="s">
        <v>137</v>
      </c>
      <c r="BS77" t="s">
        <v>137</v>
      </c>
      <c r="BT77" t="s">
        <v>137</v>
      </c>
      <c r="BU77" t="s">
        <v>137</v>
      </c>
      <c r="BV77" t="s">
        <v>137</v>
      </c>
      <c r="BW77" t="s">
        <v>137</v>
      </c>
      <c r="BX77" t="s">
        <v>137</v>
      </c>
      <c r="BY77" t="s">
        <v>137</v>
      </c>
      <c r="BZ77" t="s">
        <v>137</v>
      </c>
      <c r="CA77" t="s">
        <v>137</v>
      </c>
      <c r="CB77" t="s">
        <v>137</v>
      </c>
      <c r="CC77" t="s">
        <v>137</v>
      </c>
      <c r="CD77" t="s">
        <v>137</v>
      </c>
      <c r="CE77" t="s">
        <v>137</v>
      </c>
      <c r="CF77" t="s">
        <v>137</v>
      </c>
      <c r="CG77" t="s">
        <v>137</v>
      </c>
      <c r="CH77" t="s">
        <v>137</v>
      </c>
      <c r="CI77" t="s">
        <v>137</v>
      </c>
      <c r="CJ77" t="s">
        <v>137</v>
      </c>
      <c r="CK77" t="s">
        <v>137</v>
      </c>
      <c r="CL77" t="s">
        <v>137</v>
      </c>
      <c r="CM77" t="s">
        <v>137</v>
      </c>
      <c r="CN77" t="s">
        <v>137</v>
      </c>
      <c r="CO77" t="s">
        <v>137</v>
      </c>
      <c r="CP77" t="s">
        <v>137</v>
      </c>
      <c r="CQ77" t="s">
        <v>137</v>
      </c>
      <c r="CR77" t="s">
        <v>137</v>
      </c>
      <c r="CS77" t="s">
        <v>137</v>
      </c>
      <c r="CT77" t="s">
        <v>137</v>
      </c>
      <c r="CU77" t="s">
        <v>137</v>
      </c>
      <c r="CV77" t="s">
        <v>137</v>
      </c>
      <c r="CW77" t="s">
        <v>137</v>
      </c>
    </row>
    <row r="78" spans="1:101" x14ac:dyDescent="0.25">
      <c r="A78" t="s">
        <v>131</v>
      </c>
      <c r="B78" t="s">
        <v>137</v>
      </c>
      <c r="C78" t="s">
        <v>137</v>
      </c>
      <c r="D78" t="s">
        <v>137</v>
      </c>
      <c r="E78" t="s">
        <v>137</v>
      </c>
      <c r="F78" t="s">
        <v>137</v>
      </c>
      <c r="G78" t="s">
        <v>137</v>
      </c>
      <c r="H78" t="s">
        <v>137</v>
      </c>
      <c r="I78" t="s">
        <v>137</v>
      </c>
      <c r="J78" t="s">
        <v>137</v>
      </c>
      <c r="K78" t="s">
        <v>137</v>
      </c>
      <c r="L78" t="s">
        <v>137</v>
      </c>
      <c r="M78" t="s">
        <v>137</v>
      </c>
      <c r="N78" t="s">
        <v>137</v>
      </c>
      <c r="O78" t="s">
        <v>137</v>
      </c>
      <c r="P78" t="s">
        <v>137</v>
      </c>
      <c r="Q78" t="s">
        <v>137</v>
      </c>
      <c r="R78" t="s">
        <v>137</v>
      </c>
      <c r="S78" t="s">
        <v>137</v>
      </c>
      <c r="T78" t="s">
        <v>137</v>
      </c>
      <c r="U78" t="s">
        <v>137</v>
      </c>
      <c r="V78" t="s">
        <v>137</v>
      </c>
      <c r="W78" t="s">
        <v>137</v>
      </c>
      <c r="X78" t="s">
        <v>137</v>
      </c>
      <c r="Y78" t="s">
        <v>137</v>
      </c>
      <c r="Z78" t="s">
        <v>137</v>
      </c>
      <c r="AA78" t="s">
        <v>137</v>
      </c>
      <c r="AB78" t="s">
        <v>137</v>
      </c>
      <c r="AC78" t="s">
        <v>137</v>
      </c>
      <c r="AD78" t="s">
        <v>137</v>
      </c>
      <c r="AE78" t="s">
        <v>137</v>
      </c>
      <c r="AF78" t="s">
        <v>137</v>
      </c>
      <c r="AG78" t="s">
        <v>137</v>
      </c>
      <c r="AH78" t="s">
        <v>137</v>
      </c>
      <c r="AI78" t="s">
        <v>137</v>
      </c>
      <c r="AJ78" t="s">
        <v>137</v>
      </c>
      <c r="AK78" t="s">
        <v>137</v>
      </c>
      <c r="AL78" t="s">
        <v>137</v>
      </c>
      <c r="AM78" t="s">
        <v>137</v>
      </c>
      <c r="AN78" t="s">
        <v>137</v>
      </c>
      <c r="AO78" t="s">
        <v>137</v>
      </c>
      <c r="AP78" t="s">
        <v>137</v>
      </c>
      <c r="AQ78" t="s">
        <v>137</v>
      </c>
      <c r="AR78" t="s">
        <v>137</v>
      </c>
      <c r="AS78" t="s">
        <v>137</v>
      </c>
      <c r="AT78" t="s">
        <v>137</v>
      </c>
      <c r="AU78" t="s">
        <v>137</v>
      </c>
      <c r="AV78" t="s">
        <v>137</v>
      </c>
      <c r="AW78" t="s">
        <v>137</v>
      </c>
      <c r="AX78" t="s">
        <v>137</v>
      </c>
      <c r="AY78" t="s">
        <v>137</v>
      </c>
      <c r="AZ78" t="s">
        <v>137</v>
      </c>
      <c r="BA78" t="s">
        <v>137</v>
      </c>
      <c r="BB78" t="s">
        <v>137</v>
      </c>
      <c r="BC78" t="s">
        <v>137</v>
      </c>
      <c r="BD78" t="s">
        <v>137</v>
      </c>
      <c r="BE78" t="s">
        <v>137</v>
      </c>
      <c r="BF78" t="s">
        <v>137</v>
      </c>
      <c r="BG78" t="s">
        <v>137</v>
      </c>
      <c r="BH78" t="s">
        <v>137</v>
      </c>
      <c r="BI78" t="s">
        <v>137</v>
      </c>
      <c r="BJ78" t="s">
        <v>137</v>
      </c>
      <c r="BK78" t="s">
        <v>137</v>
      </c>
      <c r="BL78" t="s">
        <v>137</v>
      </c>
      <c r="BM78" t="s">
        <v>137</v>
      </c>
      <c r="BN78" t="s">
        <v>137</v>
      </c>
      <c r="BO78" t="s">
        <v>137</v>
      </c>
      <c r="BP78" t="s">
        <v>137</v>
      </c>
      <c r="BQ78" t="s">
        <v>137</v>
      </c>
      <c r="BR78" t="s">
        <v>137</v>
      </c>
      <c r="BS78" t="s">
        <v>137</v>
      </c>
      <c r="BT78" t="s">
        <v>137</v>
      </c>
      <c r="BU78" t="s">
        <v>137</v>
      </c>
      <c r="BV78" t="s">
        <v>137</v>
      </c>
      <c r="BW78" t="s">
        <v>137</v>
      </c>
      <c r="BX78" t="s">
        <v>137</v>
      </c>
      <c r="BY78" t="s">
        <v>137</v>
      </c>
      <c r="BZ78" t="s">
        <v>137</v>
      </c>
      <c r="CA78" t="s">
        <v>137</v>
      </c>
      <c r="CB78" t="s">
        <v>137</v>
      </c>
      <c r="CC78" t="s">
        <v>137</v>
      </c>
      <c r="CD78" t="s">
        <v>137</v>
      </c>
      <c r="CE78" t="s">
        <v>137</v>
      </c>
      <c r="CF78" t="s">
        <v>137</v>
      </c>
      <c r="CG78" t="s">
        <v>137</v>
      </c>
      <c r="CH78" t="s">
        <v>137</v>
      </c>
      <c r="CI78" t="s">
        <v>137</v>
      </c>
      <c r="CJ78" t="s">
        <v>137</v>
      </c>
      <c r="CK78" t="s">
        <v>137</v>
      </c>
      <c r="CL78" t="s">
        <v>137</v>
      </c>
      <c r="CM78" t="s">
        <v>137</v>
      </c>
      <c r="CN78" t="s">
        <v>137</v>
      </c>
      <c r="CO78" t="s">
        <v>137</v>
      </c>
      <c r="CP78" t="s">
        <v>137</v>
      </c>
      <c r="CQ78" t="s">
        <v>137</v>
      </c>
      <c r="CR78" t="s">
        <v>137</v>
      </c>
      <c r="CS78" t="s">
        <v>137</v>
      </c>
      <c r="CT78" t="s">
        <v>137</v>
      </c>
      <c r="CU78" t="s">
        <v>137</v>
      </c>
      <c r="CV78" t="s">
        <v>137</v>
      </c>
      <c r="CW78" t="s">
        <v>137</v>
      </c>
    </row>
    <row r="79" spans="1:101" x14ac:dyDescent="0.25">
      <c r="A79" t="s">
        <v>132</v>
      </c>
      <c r="B79" t="s">
        <v>137</v>
      </c>
      <c r="C79" t="s">
        <v>137</v>
      </c>
      <c r="D79" t="s">
        <v>137</v>
      </c>
      <c r="E79" t="s">
        <v>137</v>
      </c>
      <c r="F79" t="s">
        <v>137</v>
      </c>
      <c r="G79" t="s">
        <v>137</v>
      </c>
      <c r="H79" t="s">
        <v>137</v>
      </c>
      <c r="I79" t="s">
        <v>137</v>
      </c>
      <c r="J79" t="s">
        <v>137</v>
      </c>
      <c r="K79" t="s">
        <v>137</v>
      </c>
      <c r="L79" t="s">
        <v>137</v>
      </c>
      <c r="M79" t="s">
        <v>137</v>
      </c>
      <c r="N79" t="s">
        <v>137</v>
      </c>
      <c r="O79" t="s">
        <v>137</v>
      </c>
      <c r="P79" t="s">
        <v>137</v>
      </c>
      <c r="Q79" t="s">
        <v>137</v>
      </c>
      <c r="R79" t="s">
        <v>137</v>
      </c>
      <c r="S79" t="s">
        <v>137</v>
      </c>
      <c r="T79" t="s">
        <v>137</v>
      </c>
      <c r="U79" t="s">
        <v>137</v>
      </c>
      <c r="V79" t="s">
        <v>137</v>
      </c>
      <c r="W79" t="s">
        <v>137</v>
      </c>
      <c r="X79" t="s">
        <v>137</v>
      </c>
      <c r="Y79" t="s">
        <v>137</v>
      </c>
      <c r="Z79" t="s">
        <v>137</v>
      </c>
      <c r="AA79" t="s">
        <v>137</v>
      </c>
      <c r="AB79" t="s">
        <v>137</v>
      </c>
      <c r="AC79" t="s">
        <v>137</v>
      </c>
      <c r="AD79" t="s">
        <v>137</v>
      </c>
      <c r="AE79" t="s">
        <v>137</v>
      </c>
      <c r="AF79" t="s">
        <v>137</v>
      </c>
      <c r="AG79" t="s">
        <v>137</v>
      </c>
      <c r="AH79" t="s">
        <v>137</v>
      </c>
      <c r="AI79" t="s">
        <v>137</v>
      </c>
      <c r="AJ79" t="s">
        <v>137</v>
      </c>
      <c r="AK79" t="s">
        <v>137</v>
      </c>
      <c r="AL79" t="s">
        <v>137</v>
      </c>
      <c r="AM79" t="s">
        <v>137</v>
      </c>
      <c r="AN79" t="s">
        <v>137</v>
      </c>
      <c r="AO79" t="s">
        <v>137</v>
      </c>
      <c r="AP79" t="s">
        <v>137</v>
      </c>
      <c r="AQ79" t="s">
        <v>137</v>
      </c>
      <c r="AR79" t="s">
        <v>137</v>
      </c>
      <c r="AS79" t="s">
        <v>137</v>
      </c>
      <c r="AT79" t="s">
        <v>137</v>
      </c>
      <c r="AU79" t="s">
        <v>137</v>
      </c>
      <c r="AV79" t="s">
        <v>137</v>
      </c>
      <c r="AW79" t="s">
        <v>137</v>
      </c>
      <c r="AX79" t="s">
        <v>137</v>
      </c>
      <c r="AY79" t="s">
        <v>137</v>
      </c>
      <c r="AZ79" t="s">
        <v>137</v>
      </c>
      <c r="BA79" t="s">
        <v>137</v>
      </c>
      <c r="BB79" t="s">
        <v>137</v>
      </c>
      <c r="BC79" t="s">
        <v>137</v>
      </c>
      <c r="BD79" t="s">
        <v>137</v>
      </c>
      <c r="BE79" t="s">
        <v>137</v>
      </c>
      <c r="BF79" t="s">
        <v>137</v>
      </c>
      <c r="BG79" t="s">
        <v>137</v>
      </c>
      <c r="BH79" t="s">
        <v>137</v>
      </c>
      <c r="BI79" t="s">
        <v>137</v>
      </c>
      <c r="BJ79" t="s">
        <v>137</v>
      </c>
      <c r="BK79" t="s">
        <v>137</v>
      </c>
      <c r="BL79" t="s">
        <v>137</v>
      </c>
      <c r="BM79" t="s">
        <v>137</v>
      </c>
      <c r="BN79" t="s">
        <v>137</v>
      </c>
      <c r="BO79" t="s">
        <v>137</v>
      </c>
      <c r="BP79" t="s">
        <v>137</v>
      </c>
      <c r="BQ79" t="s">
        <v>137</v>
      </c>
      <c r="BR79" t="s">
        <v>137</v>
      </c>
      <c r="BS79" t="s">
        <v>137</v>
      </c>
      <c r="BT79" t="s">
        <v>137</v>
      </c>
      <c r="BU79" t="s">
        <v>137</v>
      </c>
      <c r="BV79" t="s">
        <v>137</v>
      </c>
      <c r="BW79" t="s">
        <v>137</v>
      </c>
      <c r="BX79" t="s">
        <v>137</v>
      </c>
      <c r="BY79" t="s">
        <v>137</v>
      </c>
      <c r="BZ79" t="s">
        <v>137</v>
      </c>
      <c r="CA79" t="s">
        <v>137</v>
      </c>
      <c r="CB79" t="s">
        <v>137</v>
      </c>
      <c r="CC79" t="s">
        <v>137</v>
      </c>
      <c r="CD79" t="s">
        <v>137</v>
      </c>
      <c r="CE79" t="s">
        <v>137</v>
      </c>
      <c r="CF79" t="s">
        <v>137</v>
      </c>
      <c r="CG79" t="s">
        <v>137</v>
      </c>
      <c r="CH79" t="s">
        <v>137</v>
      </c>
      <c r="CI79" t="s">
        <v>137</v>
      </c>
      <c r="CJ79" t="s">
        <v>137</v>
      </c>
      <c r="CK79" t="s">
        <v>137</v>
      </c>
      <c r="CL79" t="s">
        <v>137</v>
      </c>
      <c r="CM79" t="s">
        <v>137</v>
      </c>
      <c r="CN79" t="s">
        <v>137</v>
      </c>
      <c r="CO79" t="s">
        <v>137</v>
      </c>
      <c r="CP79" t="s">
        <v>137</v>
      </c>
      <c r="CQ79" t="s">
        <v>137</v>
      </c>
      <c r="CR79" t="s">
        <v>137</v>
      </c>
      <c r="CS79" t="s">
        <v>137</v>
      </c>
      <c r="CT79" t="s">
        <v>137</v>
      </c>
      <c r="CU79" t="s">
        <v>137</v>
      </c>
      <c r="CV79" t="s">
        <v>137</v>
      </c>
      <c r="CW79" t="s">
        <v>137</v>
      </c>
    </row>
    <row r="80" spans="1:101" x14ac:dyDescent="0.25">
      <c r="A80" t="s">
        <v>133</v>
      </c>
      <c r="B80" t="s">
        <v>137</v>
      </c>
      <c r="C80" t="s">
        <v>137</v>
      </c>
      <c r="D80" t="s">
        <v>137</v>
      </c>
      <c r="E80" t="s">
        <v>137</v>
      </c>
      <c r="F80" t="s">
        <v>137</v>
      </c>
      <c r="G80" t="s">
        <v>137</v>
      </c>
      <c r="H80" t="s">
        <v>137</v>
      </c>
      <c r="I80" t="s">
        <v>137</v>
      </c>
      <c r="J80" t="s">
        <v>137</v>
      </c>
      <c r="K80" t="s">
        <v>137</v>
      </c>
      <c r="L80" t="s">
        <v>137</v>
      </c>
      <c r="M80" t="s">
        <v>137</v>
      </c>
      <c r="N80" t="s">
        <v>137</v>
      </c>
      <c r="O80" t="s">
        <v>137</v>
      </c>
      <c r="P80" t="s">
        <v>137</v>
      </c>
      <c r="Q80" t="s">
        <v>137</v>
      </c>
      <c r="R80" t="s">
        <v>137</v>
      </c>
      <c r="S80" t="s">
        <v>137</v>
      </c>
      <c r="T80" t="s">
        <v>137</v>
      </c>
      <c r="U80" t="s">
        <v>137</v>
      </c>
      <c r="V80" t="s">
        <v>137</v>
      </c>
      <c r="W80" t="s">
        <v>137</v>
      </c>
      <c r="X80" t="s">
        <v>137</v>
      </c>
      <c r="Y80" t="s">
        <v>137</v>
      </c>
      <c r="Z80" t="s">
        <v>137</v>
      </c>
      <c r="AA80" t="s">
        <v>137</v>
      </c>
      <c r="AB80" t="s">
        <v>137</v>
      </c>
      <c r="AC80" t="s">
        <v>137</v>
      </c>
      <c r="AD80" t="s">
        <v>137</v>
      </c>
      <c r="AE80" t="s">
        <v>137</v>
      </c>
      <c r="AF80" t="s">
        <v>137</v>
      </c>
      <c r="AG80" t="s">
        <v>137</v>
      </c>
      <c r="AH80" t="s">
        <v>137</v>
      </c>
      <c r="AI80" t="s">
        <v>137</v>
      </c>
      <c r="AJ80" t="s">
        <v>137</v>
      </c>
      <c r="AK80" t="s">
        <v>137</v>
      </c>
      <c r="AL80" t="s">
        <v>137</v>
      </c>
      <c r="AM80" t="s">
        <v>137</v>
      </c>
      <c r="AN80" t="s">
        <v>137</v>
      </c>
      <c r="AO80" t="s">
        <v>137</v>
      </c>
      <c r="AP80" t="s">
        <v>137</v>
      </c>
      <c r="AQ80" t="s">
        <v>137</v>
      </c>
      <c r="AR80" t="s">
        <v>137</v>
      </c>
      <c r="AS80" t="s">
        <v>137</v>
      </c>
      <c r="AT80" t="s">
        <v>137</v>
      </c>
      <c r="AU80" t="s">
        <v>137</v>
      </c>
      <c r="AV80" t="s">
        <v>137</v>
      </c>
      <c r="AW80" t="s">
        <v>137</v>
      </c>
      <c r="AX80" t="s">
        <v>137</v>
      </c>
      <c r="AY80" t="s">
        <v>137</v>
      </c>
      <c r="AZ80" t="s">
        <v>137</v>
      </c>
      <c r="BA80" t="s">
        <v>137</v>
      </c>
      <c r="BB80" t="s">
        <v>137</v>
      </c>
      <c r="BC80" t="s">
        <v>137</v>
      </c>
      <c r="BD80" t="s">
        <v>137</v>
      </c>
      <c r="BE80" t="s">
        <v>137</v>
      </c>
      <c r="BF80" t="s">
        <v>137</v>
      </c>
      <c r="BG80" t="s">
        <v>137</v>
      </c>
      <c r="BH80" t="s">
        <v>137</v>
      </c>
      <c r="BI80" t="s">
        <v>137</v>
      </c>
      <c r="BJ80" t="s">
        <v>137</v>
      </c>
      <c r="BK80" t="s">
        <v>137</v>
      </c>
      <c r="BL80" t="s">
        <v>137</v>
      </c>
      <c r="BM80" t="s">
        <v>137</v>
      </c>
      <c r="BN80" t="s">
        <v>137</v>
      </c>
      <c r="BO80" t="s">
        <v>137</v>
      </c>
      <c r="BP80" t="s">
        <v>137</v>
      </c>
      <c r="BQ80" t="s">
        <v>137</v>
      </c>
      <c r="BR80" t="s">
        <v>137</v>
      </c>
      <c r="BS80" t="s">
        <v>137</v>
      </c>
      <c r="BT80" t="s">
        <v>137</v>
      </c>
      <c r="BU80" t="s">
        <v>137</v>
      </c>
      <c r="BV80" t="s">
        <v>137</v>
      </c>
      <c r="BW80" t="s">
        <v>137</v>
      </c>
      <c r="BX80" t="s">
        <v>137</v>
      </c>
      <c r="BY80" t="s">
        <v>137</v>
      </c>
      <c r="BZ80" t="s">
        <v>137</v>
      </c>
      <c r="CA80" t="s">
        <v>137</v>
      </c>
      <c r="CB80" t="s">
        <v>137</v>
      </c>
      <c r="CC80" t="s">
        <v>137</v>
      </c>
      <c r="CD80" t="s">
        <v>137</v>
      </c>
      <c r="CE80" t="s">
        <v>137</v>
      </c>
      <c r="CF80" t="s">
        <v>137</v>
      </c>
      <c r="CG80" t="s">
        <v>137</v>
      </c>
      <c r="CH80" t="s">
        <v>137</v>
      </c>
      <c r="CI80" t="s">
        <v>137</v>
      </c>
      <c r="CJ80" t="s">
        <v>137</v>
      </c>
      <c r="CK80" t="s">
        <v>137</v>
      </c>
      <c r="CL80" t="s">
        <v>137</v>
      </c>
      <c r="CM80" t="s">
        <v>137</v>
      </c>
      <c r="CN80" t="s">
        <v>137</v>
      </c>
      <c r="CO80" t="s">
        <v>137</v>
      </c>
      <c r="CP80" t="s">
        <v>137</v>
      </c>
      <c r="CQ80" t="s">
        <v>137</v>
      </c>
      <c r="CR80" t="s">
        <v>137</v>
      </c>
      <c r="CS80" t="s">
        <v>137</v>
      </c>
      <c r="CT80" t="s">
        <v>137</v>
      </c>
      <c r="CU80" t="s">
        <v>137</v>
      </c>
      <c r="CV80" t="s">
        <v>137</v>
      </c>
      <c r="CW80" t="s">
        <v>137</v>
      </c>
    </row>
    <row r="81" spans="1:101" x14ac:dyDescent="0.25">
      <c r="A81" t="s">
        <v>134</v>
      </c>
      <c r="B81" t="s">
        <v>137</v>
      </c>
      <c r="C81" t="s">
        <v>137</v>
      </c>
      <c r="D81" t="s">
        <v>137</v>
      </c>
      <c r="E81" t="s">
        <v>137</v>
      </c>
      <c r="F81" t="s">
        <v>137</v>
      </c>
      <c r="G81" t="s">
        <v>137</v>
      </c>
      <c r="H81" t="s">
        <v>137</v>
      </c>
      <c r="I81" t="s">
        <v>137</v>
      </c>
      <c r="J81" t="s">
        <v>137</v>
      </c>
      <c r="K81" t="s">
        <v>137</v>
      </c>
      <c r="L81" t="s">
        <v>137</v>
      </c>
      <c r="M81" t="s">
        <v>137</v>
      </c>
      <c r="N81" t="s">
        <v>137</v>
      </c>
      <c r="O81" t="s">
        <v>137</v>
      </c>
      <c r="P81" t="s">
        <v>137</v>
      </c>
      <c r="Q81" t="s">
        <v>137</v>
      </c>
      <c r="R81" t="s">
        <v>137</v>
      </c>
      <c r="S81" t="s">
        <v>137</v>
      </c>
      <c r="T81" t="s">
        <v>137</v>
      </c>
      <c r="U81" t="s">
        <v>137</v>
      </c>
      <c r="V81" t="s">
        <v>137</v>
      </c>
      <c r="W81" t="s">
        <v>137</v>
      </c>
      <c r="X81" t="s">
        <v>137</v>
      </c>
      <c r="Y81" t="s">
        <v>137</v>
      </c>
      <c r="Z81" t="s">
        <v>137</v>
      </c>
      <c r="AA81" t="s">
        <v>137</v>
      </c>
      <c r="AB81" t="s">
        <v>137</v>
      </c>
      <c r="AC81" t="s">
        <v>137</v>
      </c>
      <c r="AD81" t="s">
        <v>137</v>
      </c>
      <c r="AE81" t="s">
        <v>137</v>
      </c>
      <c r="AF81" t="s">
        <v>137</v>
      </c>
      <c r="AG81" t="s">
        <v>137</v>
      </c>
      <c r="AH81" t="s">
        <v>137</v>
      </c>
      <c r="AI81" t="s">
        <v>137</v>
      </c>
      <c r="AJ81" t="s">
        <v>137</v>
      </c>
      <c r="AK81" t="s">
        <v>137</v>
      </c>
      <c r="AL81" t="s">
        <v>137</v>
      </c>
      <c r="AM81" t="s">
        <v>137</v>
      </c>
      <c r="AN81" t="s">
        <v>137</v>
      </c>
      <c r="AO81" t="s">
        <v>137</v>
      </c>
      <c r="AP81" t="s">
        <v>137</v>
      </c>
      <c r="AQ81" t="s">
        <v>137</v>
      </c>
      <c r="AR81" t="s">
        <v>137</v>
      </c>
      <c r="AS81" t="s">
        <v>137</v>
      </c>
      <c r="AT81" t="s">
        <v>137</v>
      </c>
      <c r="AU81" t="s">
        <v>137</v>
      </c>
      <c r="AV81" t="s">
        <v>137</v>
      </c>
      <c r="AW81" t="s">
        <v>137</v>
      </c>
      <c r="AX81" t="s">
        <v>137</v>
      </c>
      <c r="AY81" t="s">
        <v>137</v>
      </c>
      <c r="AZ81" t="s">
        <v>137</v>
      </c>
      <c r="BA81" t="s">
        <v>137</v>
      </c>
      <c r="BB81" t="s">
        <v>137</v>
      </c>
      <c r="BC81" t="s">
        <v>137</v>
      </c>
      <c r="BD81" t="s">
        <v>137</v>
      </c>
      <c r="BE81" t="s">
        <v>137</v>
      </c>
      <c r="BF81" t="s">
        <v>137</v>
      </c>
      <c r="BG81" t="s">
        <v>137</v>
      </c>
      <c r="BH81" t="s">
        <v>137</v>
      </c>
      <c r="BI81" t="s">
        <v>137</v>
      </c>
      <c r="BJ81" t="s">
        <v>137</v>
      </c>
      <c r="BK81" t="s">
        <v>137</v>
      </c>
      <c r="BL81" t="s">
        <v>137</v>
      </c>
      <c r="BM81" t="s">
        <v>137</v>
      </c>
      <c r="BN81" t="s">
        <v>137</v>
      </c>
      <c r="BO81" t="s">
        <v>137</v>
      </c>
      <c r="BP81" t="s">
        <v>137</v>
      </c>
      <c r="BQ81" t="s">
        <v>137</v>
      </c>
      <c r="BR81" t="s">
        <v>137</v>
      </c>
      <c r="BS81" t="s">
        <v>137</v>
      </c>
      <c r="BT81" t="s">
        <v>137</v>
      </c>
      <c r="BU81" t="s">
        <v>137</v>
      </c>
      <c r="BV81" t="s">
        <v>137</v>
      </c>
      <c r="BW81" t="s">
        <v>137</v>
      </c>
      <c r="BX81" t="s">
        <v>137</v>
      </c>
      <c r="BY81" t="s">
        <v>137</v>
      </c>
      <c r="BZ81" t="s">
        <v>137</v>
      </c>
      <c r="CA81" t="s">
        <v>137</v>
      </c>
      <c r="CB81" t="s">
        <v>137</v>
      </c>
      <c r="CC81" t="s">
        <v>137</v>
      </c>
      <c r="CD81" t="s">
        <v>137</v>
      </c>
      <c r="CE81" t="s">
        <v>137</v>
      </c>
      <c r="CF81" t="s">
        <v>137</v>
      </c>
      <c r="CG81" t="s">
        <v>137</v>
      </c>
      <c r="CH81" t="s">
        <v>137</v>
      </c>
      <c r="CI81" t="s">
        <v>137</v>
      </c>
      <c r="CJ81" t="s">
        <v>137</v>
      </c>
      <c r="CK81" t="s">
        <v>137</v>
      </c>
      <c r="CL81" t="s">
        <v>137</v>
      </c>
      <c r="CM81" t="s">
        <v>137</v>
      </c>
      <c r="CN81" t="s">
        <v>137</v>
      </c>
      <c r="CO81" t="s">
        <v>137</v>
      </c>
      <c r="CP81" t="s">
        <v>137</v>
      </c>
      <c r="CQ81" t="s">
        <v>137</v>
      </c>
      <c r="CR81" t="s">
        <v>137</v>
      </c>
      <c r="CS81" t="s">
        <v>137</v>
      </c>
      <c r="CT81" t="s">
        <v>137</v>
      </c>
      <c r="CU81" t="s">
        <v>137</v>
      </c>
      <c r="CV81" t="s">
        <v>137</v>
      </c>
      <c r="CW81" t="s">
        <v>137</v>
      </c>
    </row>
    <row r="82" spans="1:101" x14ac:dyDescent="0.25">
      <c r="A82" t="s">
        <v>135</v>
      </c>
      <c r="B82" t="s">
        <v>137</v>
      </c>
      <c r="C82" t="s">
        <v>137</v>
      </c>
      <c r="D82" t="s">
        <v>137</v>
      </c>
      <c r="E82" t="s">
        <v>137</v>
      </c>
      <c r="F82" t="s">
        <v>137</v>
      </c>
      <c r="G82" t="s">
        <v>137</v>
      </c>
      <c r="H82" t="s">
        <v>137</v>
      </c>
      <c r="I82" t="s">
        <v>137</v>
      </c>
      <c r="J82" t="s">
        <v>137</v>
      </c>
      <c r="K82" t="s">
        <v>137</v>
      </c>
      <c r="L82" t="s">
        <v>137</v>
      </c>
      <c r="M82" t="s">
        <v>137</v>
      </c>
      <c r="N82" t="s">
        <v>137</v>
      </c>
      <c r="O82" t="s">
        <v>137</v>
      </c>
      <c r="P82" t="s">
        <v>137</v>
      </c>
      <c r="Q82" t="s">
        <v>137</v>
      </c>
      <c r="R82" t="s">
        <v>137</v>
      </c>
      <c r="S82" t="s">
        <v>137</v>
      </c>
      <c r="T82" t="s">
        <v>137</v>
      </c>
      <c r="U82" t="s">
        <v>137</v>
      </c>
      <c r="V82" t="s">
        <v>137</v>
      </c>
      <c r="W82" t="s">
        <v>137</v>
      </c>
      <c r="X82" t="s">
        <v>137</v>
      </c>
      <c r="Y82" t="s">
        <v>137</v>
      </c>
      <c r="Z82" t="s">
        <v>137</v>
      </c>
      <c r="AA82" t="s">
        <v>137</v>
      </c>
      <c r="AB82" t="s">
        <v>137</v>
      </c>
      <c r="AC82" t="s">
        <v>137</v>
      </c>
      <c r="AD82" t="s">
        <v>137</v>
      </c>
      <c r="AE82" t="s">
        <v>137</v>
      </c>
      <c r="AF82" t="s">
        <v>137</v>
      </c>
      <c r="AG82" t="s">
        <v>137</v>
      </c>
      <c r="AH82" t="s">
        <v>137</v>
      </c>
      <c r="AI82" t="s">
        <v>137</v>
      </c>
      <c r="AJ82" t="s">
        <v>137</v>
      </c>
      <c r="AK82" t="s">
        <v>137</v>
      </c>
      <c r="AL82" t="s">
        <v>137</v>
      </c>
      <c r="AM82" t="s">
        <v>137</v>
      </c>
      <c r="AN82" t="s">
        <v>137</v>
      </c>
      <c r="AO82" t="s">
        <v>137</v>
      </c>
      <c r="AP82" t="s">
        <v>137</v>
      </c>
      <c r="AQ82" t="s">
        <v>137</v>
      </c>
      <c r="AR82" t="s">
        <v>137</v>
      </c>
      <c r="AS82" t="s">
        <v>137</v>
      </c>
      <c r="AT82" t="s">
        <v>137</v>
      </c>
      <c r="AU82" t="s">
        <v>137</v>
      </c>
      <c r="AV82" t="s">
        <v>137</v>
      </c>
      <c r="AW82" t="s">
        <v>137</v>
      </c>
      <c r="AX82" t="s">
        <v>137</v>
      </c>
      <c r="AY82" t="s">
        <v>137</v>
      </c>
      <c r="AZ82" t="s">
        <v>137</v>
      </c>
      <c r="BA82" t="s">
        <v>137</v>
      </c>
      <c r="BB82" t="s">
        <v>137</v>
      </c>
      <c r="BC82" t="s">
        <v>137</v>
      </c>
      <c r="BD82" t="s">
        <v>137</v>
      </c>
      <c r="BE82" t="s">
        <v>137</v>
      </c>
      <c r="BF82" t="s">
        <v>137</v>
      </c>
      <c r="BG82" t="s">
        <v>137</v>
      </c>
      <c r="BH82" t="s">
        <v>137</v>
      </c>
      <c r="BI82" t="s">
        <v>137</v>
      </c>
      <c r="BJ82" t="s">
        <v>137</v>
      </c>
      <c r="BK82" t="s">
        <v>137</v>
      </c>
      <c r="BL82" t="s">
        <v>137</v>
      </c>
      <c r="BM82" t="s">
        <v>137</v>
      </c>
      <c r="BN82" t="s">
        <v>137</v>
      </c>
      <c r="BO82" t="s">
        <v>137</v>
      </c>
      <c r="BP82" t="s">
        <v>137</v>
      </c>
      <c r="BQ82" t="s">
        <v>137</v>
      </c>
      <c r="BR82" t="s">
        <v>137</v>
      </c>
      <c r="BS82" t="s">
        <v>137</v>
      </c>
      <c r="BT82" t="s">
        <v>137</v>
      </c>
      <c r="BU82" t="s">
        <v>137</v>
      </c>
      <c r="BV82" t="s">
        <v>137</v>
      </c>
      <c r="BW82" t="s">
        <v>137</v>
      </c>
      <c r="BX82" t="s">
        <v>137</v>
      </c>
      <c r="BY82" t="s">
        <v>137</v>
      </c>
      <c r="BZ82" t="s">
        <v>137</v>
      </c>
      <c r="CA82" t="s">
        <v>137</v>
      </c>
      <c r="CB82" t="s">
        <v>137</v>
      </c>
      <c r="CC82" t="s">
        <v>137</v>
      </c>
      <c r="CD82" t="s">
        <v>137</v>
      </c>
      <c r="CE82" t="s">
        <v>137</v>
      </c>
      <c r="CF82" t="s">
        <v>137</v>
      </c>
      <c r="CG82" t="s">
        <v>137</v>
      </c>
      <c r="CH82" t="s">
        <v>137</v>
      </c>
      <c r="CI82" t="s">
        <v>137</v>
      </c>
      <c r="CJ82" t="s">
        <v>137</v>
      </c>
      <c r="CK82" t="s">
        <v>137</v>
      </c>
      <c r="CL82" t="s">
        <v>137</v>
      </c>
      <c r="CM82" t="s">
        <v>137</v>
      </c>
      <c r="CN82" t="s">
        <v>137</v>
      </c>
      <c r="CO82" t="s">
        <v>137</v>
      </c>
      <c r="CP82" t="s">
        <v>137</v>
      </c>
      <c r="CQ82" t="s">
        <v>137</v>
      </c>
      <c r="CR82" t="s">
        <v>137</v>
      </c>
      <c r="CS82" t="s">
        <v>137</v>
      </c>
      <c r="CT82" t="s">
        <v>137</v>
      </c>
      <c r="CU82" t="s">
        <v>137</v>
      </c>
      <c r="CV82" t="s">
        <v>137</v>
      </c>
      <c r="CW82" t="s">
        <v>137</v>
      </c>
    </row>
    <row r="97" spans="1:101" x14ac:dyDescent="0.25">
      <c r="A97" t="s">
        <v>144</v>
      </c>
    </row>
    <row r="98" spans="1:101" x14ac:dyDescent="0.25">
      <c r="A98" t="s">
        <v>61</v>
      </c>
      <c r="B98" t="s">
        <v>137</v>
      </c>
      <c r="C98" t="s">
        <v>137</v>
      </c>
      <c r="D98" t="s">
        <v>137</v>
      </c>
      <c r="E98" t="s">
        <v>137</v>
      </c>
      <c r="F98" t="s">
        <v>137</v>
      </c>
      <c r="G98" t="s">
        <v>137</v>
      </c>
      <c r="H98" t="s">
        <v>137</v>
      </c>
      <c r="I98" t="s">
        <v>137</v>
      </c>
      <c r="J98" t="s">
        <v>137</v>
      </c>
      <c r="K98" t="s">
        <v>137</v>
      </c>
      <c r="L98" t="s">
        <v>137</v>
      </c>
      <c r="M98" t="s">
        <v>137</v>
      </c>
      <c r="N98" t="s">
        <v>137</v>
      </c>
      <c r="O98" t="s">
        <v>137</v>
      </c>
      <c r="P98" t="s">
        <v>137</v>
      </c>
      <c r="Q98" t="s">
        <v>137</v>
      </c>
      <c r="R98" t="s">
        <v>137</v>
      </c>
      <c r="S98" t="s">
        <v>137</v>
      </c>
      <c r="T98" t="s">
        <v>137</v>
      </c>
      <c r="U98" t="s">
        <v>137</v>
      </c>
      <c r="V98" t="s">
        <v>137</v>
      </c>
      <c r="W98" t="s">
        <v>137</v>
      </c>
      <c r="X98" t="s">
        <v>137</v>
      </c>
      <c r="Y98" t="s">
        <v>137</v>
      </c>
      <c r="Z98" t="s">
        <v>137</v>
      </c>
      <c r="AA98" t="s">
        <v>137</v>
      </c>
      <c r="AB98" t="s">
        <v>137</v>
      </c>
      <c r="AC98" t="s">
        <v>137</v>
      </c>
      <c r="AD98" t="s">
        <v>137</v>
      </c>
      <c r="AE98" t="s">
        <v>137</v>
      </c>
      <c r="AF98" t="s">
        <v>137</v>
      </c>
      <c r="AG98" t="s">
        <v>137</v>
      </c>
      <c r="AH98" t="s">
        <v>137</v>
      </c>
      <c r="AI98" t="s">
        <v>137</v>
      </c>
      <c r="AJ98" t="s">
        <v>137</v>
      </c>
      <c r="AK98" t="s">
        <v>137</v>
      </c>
      <c r="AL98" t="s">
        <v>137</v>
      </c>
      <c r="AM98" t="s">
        <v>137</v>
      </c>
      <c r="AN98" t="s">
        <v>137</v>
      </c>
      <c r="AO98" t="s">
        <v>137</v>
      </c>
      <c r="AP98" t="s">
        <v>137</v>
      </c>
      <c r="AQ98" t="s">
        <v>137</v>
      </c>
      <c r="AR98" t="s">
        <v>137</v>
      </c>
      <c r="AS98" t="s">
        <v>137</v>
      </c>
      <c r="AT98" t="s">
        <v>137</v>
      </c>
      <c r="AU98" t="s">
        <v>137</v>
      </c>
      <c r="AV98" t="s">
        <v>137</v>
      </c>
      <c r="AW98" t="s">
        <v>137</v>
      </c>
      <c r="AX98" t="s">
        <v>137</v>
      </c>
      <c r="AY98" t="s">
        <v>137</v>
      </c>
      <c r="AZ98" t="s">
        <v>137</v>
      </c>
      <c r="BA98" t="s">
        <v>137</v>
      </c>
      <c r="BB98" t="s">
        <v>137</v>
      </c>
      <c r="BC98" t="s">
        <v>137</v>
      </c>
      <c r="BD98" t="s">
        <v>137</v>
      </c>
      <c r="BE98" t="s">
        <v>137</v>
      </c>
      <c r="BF98" t="s">
        <v>137</v>
      </c>
      <c r="BG98" t="s">
        <v>137</v>
      </c>
      <c r="BH98" t="s">
        <v>137</v>
      </c>
      <c r="BI98" t="s">
        <v>137</v>
      </c>
      <c r="BJ98" t="s">
        <v>137</v>
      </c>
      <c r="BK98" t="s">
        <v>137</v>
      </c>
      <c r="BL98" t="s">
        <v>137</v>
      </c>
      <c r="BM98" t="s">
        <v>137</v>
      </c>
      <c r="BN98" t="s">
        <v>137</v>
      </c>
      <c r="BO98" t="s">
        <v>137</v>
      </c>
      <c r="BP98" t="s">
        <v>137</v>
      </c>
      <c r="BQ98" t="s">
        <v>137</v>
      </c>
      <c r="BR98" t="s">
        <v>137</v>
      </c>
      <c r="BS98" t="s">
        <v>137</v>
      </c>
      <c r="BT98" t="s">
        <v>137</v>
      </c>
      <c r="BU98" t="s">
        <v>137</v>
      </c>
      <c r="BV98" t="s">
        <v>137</v>
      </c>
      <c r="BW98" t="s">
        <v>137</v>
      </c>
      <c r="BX98" t="s">
        <v>137</v>
      </c>
      <c r="BY98" t="s">
        <v>137</v>
      </c>
      <c r="BZ98" t="s">
        <v>137</v>
      </c>
      <c r="CA98" t="s">
        <v>137</v>
      </c>
      <c r="CB98" t="s">
        <v>137</v>
      </c>
      <c r="CC98" t="s">
        <v>137</v>
      </c>
      <c r="CD98" t="s">
        <v>137</v>
      </c>
      <c r="CE98" t="s">
        <v>137</v>
      </c>
      <c r="CF98" t="s">
        <v>137</v>
      </c>
      <c r="CG98" t="s">
        <v>137</v>
      </c>
      <c r="CH98" t="s">
        <v>137</v>
      </c>
      <c r="CI98" t="s">
        <v>137</v>
      </c>
      <c r="CJ98" t="s">
        <v>137</v>
      </c>
      <c r="CK98" t="s">
        <v>137</v>
      </c>
      <c r="CL98" t="s">
        <v>137</v>
      </c>
      <c r="CM98" t="s">
        <v>137</v>
      </c>
      <c r="CN98" t="s">
        <v>137</v>
      </c>
      <c r="CO98" t="s">
        <v>137</v>
      </c>
      <c r="CP98" t="s">
        <v>137</v>
      </c>
      <c r="CQ98" t="s">
        <v>137</v>
      </c>
      <c r="CR98" t="s">
        <v>137</v>
      </c>
      <c r="CS98" t="s">
        <v>137</v>
      </c>
      <c r="CT98" t="s">
        <v>137</v>
      </c>
      <c r="CU98" t="s">
        <v>137</v>
      </c>
      <c r="CV98" t="s">
        <v>137</v>
      </c>
      <c r="CW98" t="s">
        <v>137</v>
      </c>
    </row>
    <row r="99" spans="1:101" x14ac:dyDescent="0.25">
      <c r="A99" t="s">
        <v>88</v>
      </c>
      <c r="B99" t="s">
        <v>137</v>
      </c>
      <c r="C99" t="s">
        <v>137</v>
      </c>
      <c r="D99" t="s">
        <v>137</v>
      </c>
      <c r="E99" t="s">
        <v>137</v>
      </c>
      <c r="F99" t="s">
        <v>137</v>
      </c>
      <c r="G99" t="s">
        <v>137</v>
      </c>
      <c r="H99" t="s">
        <v>137</v>
      </c>
      <c r="I99" t="s">
        <v>137</v>
      </c>
      <c r="J99" t="s">
        <v>137</v>
      </c>
      <c r="K99" t="s">
        <v>137</v>
      </c>
      <c r="L99" t="s">
        <v>137</v>
      </c>
      <c r="M99" t="s">
        <v>137</v>
      </c>
      <c r="N99" t="s">
        <v>137</v>
      </c>
      <c r="O99" t="s">
        <v>137</v>
      </c>
      <c r="P99" t="s">
        <v>137</v>
      </c>
      <c r="Q99" t="s">
        <v>137</v>
      </c>
      <c r="R99" t="s">
        <v>137</v>
      </c>
      <c r="S99" t="s">
        <v>137</v>
      </c>
      <c r="T99" t="s">
        <v>137</v>
      </c>
      <c r="U99" t="s">
        <v>137</v>
      </c>
      <c r="V99" t="s">
        <v>137</v>
      </c>
      <c r="W99" t="s">
        <v>137</v>
      </c>
      <c r="X99" t="s">
        <v>137</v>
      </c>
      <c r="Y99" t="s">
        <v>137</v>
      </c>
      <c r="Z99" t="s">
        <v>137</v>
      </c>
      <c r="AA99" t="s">
        <v>137</v>
      </c>
      <c r="AB99" t="s">
        <v>137</v>
      </c>
      <c r="AC99" t="s">
        <v>137</v>
      </c>
      <c r="AD99" t="s">
        <v>137</v>
      </c>
      <c r="AE99" t="s">
        <v>137</v>
      </c>
      <c r="AF99" t="s">
        <v>137</v>
      </c>
      <c r="AG99" t="s">
        <v>137</v>
      </c>
      <c r="AH99" t="s">
        <v>137</v>
      </c>
      <c r="AI99" t="s">
        <v>137</v>
      </c>
      <c r="AJ99" t="s">
        <v>137</v>
      </c>
      <c r="AK99" t="s">
        <v>137</v>
      </c>
      <c r="AL99" t="s">
        <v>137</v>
      </c>
      <c r="AM99" t="s">
        <v>137</v>
      </c>
      <c r="AN99" t="s">
        <v>137</v>
      </c>
      <c r="AO99" t="s">
        <v>137</v>
      </c>
      <c r="AP99" t="s">
        <v>137</v>
      </c>
      <c r="AQ99" t="s">
        <v>137</v>
      </c>
      <c r="AR99" t="s">
        <v>137</v>
      </c>
      <c r="AS99" t="s">
        <v>137</v>
      </c>
      <c r="AT99" t="s">
        <v>137</v>
      </c>
      <c r="AU99" t="s">
        <v>137</v>
      </c>
      <c r="AV99" t="s">
        <v>137</v>
      </c>
      <c r="AW99" t="s">
        <v>137</v>
      </c>
      <c r="AX99" t="s">
        <v>137</v>
      </c>
      <c r="AY99" t="s">
        <v>137</v>
      </c>
      <c r="AZ99" t="s">
        <v>137</v>
      </c>
      <c r="BA99" t="s">
        <v>137</v>
      </c>
      <c r="BB99" t="s">
        <v>137</v>
      </c>
      <c r="BC99" t="s">
        <v>137</v>
      </c>
      <c r="BD99" t="s">
        <v>137</v>
      </c>
      <c r="BE99" t="s">
        <v>137</v>
      </c>
      <c r="BF99" t="s">
        <v>137</v>
      </c>
      <c r="BG99" t="s">
        <v>137</v>
      </c>
      <c r="BH99" t="s">
        <v>137</v>
      </c>
      <c r="BI99" t="s">
        <v>137</v>
      </c>
      <c r="BJ99" t="s">
        <v>137</v>
      </c>
      <c r="BK99" t="s">
        <v>137</v>
      </c>
      <c r="BL99" t="s">
        <v>137</v>
      </c>
      <c r="BM99" t="s">
        <v>137</v>
      </c>
      <c r="BN99" t="s">
        <v>137</v>
      </c>
      <c r="BO99" t="s">
        <v>137</v>
      </c>
      <c r="BP99" t="s">
        <v>137</v>
      </c>
      <c r="BQ99" t="s">
        <v>137</v>
      </c>
      <c r="BR99" t="s">
        <v>137</v>
      </c>
      <c r="BS99" t="s">
        <v>137</v>
      </c>
      <c r="BT99" t="s">
        <v>137</v>
      </c>
      <c r="BU99" t="s">
        <v>137</v>
      </c>
      <c r="BV99" t="s">
        <v>137</v>
      </c>
      <c r="BW99" t="s">
        <v>137</v>
      </c>
      <c r="BX99" t="s">
        <v>137</v>
      </c>
      <c r="BY99" t="s">
        <v>137</v>
      </c>
      <c r="BZ99" t="s">
        <v>137</v>
      </c>
      <c r="CA99" t="s">
        <v>137</v>
      </c>
      <c r="CB99" t="s">
        <v>137</v>
      </c>
      <c r="CC99" t="s">
        <v>137</v>
      </c>
      <c r="CD99" t="s">
        <v>137</v>
      </c>
      <c r="CE99" t="s">
        <v>137</v>
      </c>
      <c r="CF99" t="s">
        <v>137</v>
      </c>
      <c r="CG99" t="s">
        <v>137</v>
      </c>
      <c r="CH99" t="s">
        <v>137</v>
      </c>
      <c r="CI99" t="s">
        <v>137</v>
      </c>
      <c r="CJ99" t="s">
        <v>137</v>
      </c>
      <c r="CK99" t="s">
        <v>137</v>
      </c>
      <c r="CL99" t="s">
        <v>137</v>
      </c>
      <c r="CM99" t="s">
        <v>137</v>
      </c>
      <c r="CN99" t="s">
        <v>137</v>
      </c>
      <c r="CO99" t="s">
        <v>137</v>
      </c>
      <c r="CP99" t="s">
        <v>137</v>
      </c>
      <c r="CQ99" t="s">
        <v>137</v>
      </c>
      <c r="CR99" t="s">
        <v>137</v>
      </c>
      <c r="CS99" t="s">
        <v>137</v>
      </c>
      <c r="CT99" t="s">
        <v>137</v>
      </c>
      <c r="CU99" t="s">
        <v>137</v>
      </c>
      <c r="CV99" t="s">
        <v>137</v>
      </c>
      <c r="CW99" t="s">
        <v>137</v>
      </c>
    </row>
    <row r="100" spans="1:101" x14ac:dyDescent="0.25">
      <c r="A100" t="s">
        <v>115</v>
      </c>
      <c r="B100" t="s">
        <v>137</v>
      </c>
      <c r="C100" t="s">
        <v>137</v>
      </c>
      <c r="D100" t="s">
        <v>137</v>
      </c>
      <c r="E100" t="s">
        <v>137</v>
      </c>
      <c r="F100" t="s">
        <v>137</v>
      </c>
      <c r="G100" t="s">
        <v>137</v>
      </c>
      <c r="H100" t="s">
        <v>137</v>
      </c>
      <c r="I100" t="s">
        <v>137</v>
      </c>
      <c r="J100" t="s">
        <v>137</v>
      </c>
      <c r="K100" t="s">
        <v>137</v>
      </c>
      <c r="L100" t="s">
        <v>137</v>
      </c>
      <c r="M100" t="s">
        <v>137</v>
      </c>
      <c r="N100" t="s">
        <v>137</v>
      </c>
      <c r="O100" t="s">
        <v>137</v>
      </c>
      <c r="P100" t="s">
        <v>137</v>
      </c>
      <c r="Q100" t="s">
        <v>137</v>
      </c>
      <c r="R100" t="s">
        <v>137</v>
      </c>
      <c r="S100" t="s">
        <v>137</v>
      </c>
      <c r="T100" t="s">
        <v>137</v>
      </c>
      <c r="U100" t="s">
        <v>137</v>
      </c>
      <c r="V100" t="s">
        <v>137</v>
      </c>
      <c r="W100" t="s">
        <v>137</v>
      </c>
      <c r="X100" t="s">
        <v>137</v>
      </c>
      <c r="Y100" t="s">
        <v>137</v>
      </c>
      <c r="Z100" t="s">
        <v>137</v>
      </c>
      <c r="AA100" t="s">
        <v>137</v>
      </c>
      <c r="AB100" t="s">
        <v>137</v>
      </c>
      <c r="AC100" t="s">
        <v>137</v>
      </c>
      <c r="AD100" t="s">
        <v>137</v>
      </c>
      <c r="AE100" t="s">
        <v>137</v>
      </c>
      <c r="AF100" t="s">
        <v>137</v>
      </c>
      <c r="AG100" t="s">
        <v>137</v>
      </c>
      <c r="AH100" t="s">
        <v>137</v>
      </c>
      <c r="AI100" t="s">
        <v>137</v>
      </c>
      <c r="AJ100" t="s">
        <v>137</v>
      </c>
      <c r="AK100" t="s">
        <v>137</v>
      </c>
      <c r="AL100" t="s">
        <v>137</v>
      </c>
      <c r="AM100" t="s">
        <v>137</v>
      </c>
      <c r="AN100" t="s">
        <v>137</v>
      </c>
      <c r="AO100" t="s">
        <v>137</v>
      </c>
      <c r="AP100" t="s">
        <v>137</v>
      </c>
      <c r="AQ100" t="s">
        <v>137</v>
      </c>
      <c r="AR100" t="s">
        <v>137</v>
      </c>
      <c r="AS100" t="s">
        <v>137</v>
      </c>
      <c r="AT100" t="s">
        <v>137</v>
      </c>
      <c r="AU100" t="s">
        <v>137</v>
      </c>
      <c r="AV100" t="s">
        <v>137</v>
      </c>
      <c r="AW100" t="s">
        <v>137</v>
      </c>
      <c r="AX100" t="s">
        <v>137</v>
      </c>
      <c r="AY100" t="s">
        <v>137</v>
      </c>
      <c r="AZ100" t="s">
        <v>137</v>
      </c>
      <c r="BA100" t="s">
        <v>137</v>
      </c>
      <c r="BB100" t="s">
        <v>137</v>
      </c>
      <c r="BC100" t="s">
        <v>137</v>
      </c>
      <c r="BD100" t="s">
        <v>137</v>
      </c>
      <c r="BE100" t="s">
        <v>137</v>
      </c>
      <c r="BF100" t="s">
        <v>137</v>
      </c>
      <c r="BG100" t="s">
        <v>137</v>
      </c>
      <c r="BH100" t="s">
        <v>137</v>
      </c>
      <c r="BI100" t="s">
        <v>137</v>
      </c>
      <c r="BJ100" t="s">
        <v>137</v>
      </c>
      <c r="BK100" t="s">
        <v>137</v>
      </c>
      <c r="BL100" t="s">
        <v>137</v>
      </c>
      <c r="BM100" t="s">
        <v>137</v>
      </c>
      <c r="BN100" t="s">
        <v>137</v>
      </c>
      <c r="BO100" t="s">
        <v>137</v>
      </c>
      <c r="BP100" t="s">
        <v>137</v>
      </c>
      <c r="BQ100" t="s">
        <v>137</v>
      </c>
      <c r="BR100" t="s">
        <v>137</v>
      </c>
      <c r="BS100" t="s">
        <v>137</v>
      </c>
      <c r="BT100" t="s">
        <v>137</v>
      </c>
      <c r="BU100" t="s">
        <v>137</v>
      </c>
      <c r="BV100" t="s">
        <v>137</v>
      </c>
      <c r="BW100" t="s">
        <v>137</v>
      </c>
      <c r="BX100" t="s">
        <v>137</v>
      </c>
      <c r="BY100" t="s">
        <v>137</v>
      </c>
      <c r="BZ100" t="s">
        <v>137</v>
      </c>
      <c r="CA100" t="s">
        <v>137</v>
      </c>
      <c r="CB100" t="s">
        <v>137</v>
      </c>
      <c r="CC100" t="s">
        <v>137</v>
      </c>
      <c r="CD100" t="s">
        <v>137</v>
      </c>
      <c r="CE100" t="s">
        <v>137</v>
      </c>
      <c r="CF100" t="s">
        <v>137</v>
      </c>
      <c r="CG100" t="s">
        <v>137</v>
      </c>
      <c r="CH100" t="s">
        <v>137</v>
      </c>
      <c r="CI100" t="s">
        <v>137</v>
      </c>
      <c r="CJ100" t="s">
        <v>137</v>
      </c>
      <c r="CK100" t="s">
        <v>137</v>
      </c>
      <c r="CL100" t="s">
        <v>137</v>
      </c>
      <c r="CM100" t="s">
        <v>137</v>
      </c>
      <c r="CN100" t="s">
        <v>137</v>
      </c>
      <c r="CO100" t="s">
        <v>137</v>
      </c>
      <c r="CP100" t="s">
        <v>137</v>
      </c>
      <c r="CQ100" t="s">
        <v>137</v>
      </c>
      <c r="CR100" t="s">
        <v>137</v>
      </c>
      <c r="CS100" t="s">
        <v>137</v>
      </c>
      <c r="CT100" t="s">
        <v>137</v>
      </c>
      <c r="CU100" t="s">
        <v>137</v>
      </c>
      <c r="CV100" t="s">
        <v>137</v>
      </c>
      <c r="CW100" t="s">
        <v>137</v>
      </c>
    </row>
    <row r="101" spans="1:101" x14ac:dyDescent="0.25">
      <c r="A101" t="s">
        <v>81</v>
      </c>
      <c r="B101" t="s">
        <v>136</v>
      </c>
      <c r="C101" t="s">
        <v>136</v>
      </c>
      <c r="D101" t="s">
        <v>136</v>
      </c>
      <c r="E101" t="s">
        <v>136</v>
      </c>
      <c r="F101" t="s">
        <v>136</v>
      </c>
      <c r="G101" t="s">
        <v>136</v>
      </c>
      <c r="H101" t="s">
        <v>136</v>
      </c>
      <c r="I101" t="s">
        <v>136</v>
      </c>
      <c r="J101" t="s">
        <v>136</v>
      </c>
      <c r="K101" t="s">
        <v>136</v>
      </c>
      <c r="L101" t="s">
        <v>136</v>
      </c>
      <c r="M101" t="s">
        <v>136</v>
      </c>
      <c r="N101" t="s">
        <v>136</v>
      </c>
      <c r="O101" t="s">
        <v>136</v>
      </c>
      <c r="P101" t="s">
        <v>136</v>
      </c>
      <c r="Q101" t="s">
        <v>136</v>
      </c>
      <c r="R101" t="s">
        <v>136</v>
      </c>
      <c r="S101" t="s">
        <v>136</v>
      </c>
      <c r="T101" t="s">
        <v>136</v>
      </c>
      <c r="U101" t="s">
        <v>136</v>
      </c>
      <c r="V101" t="s">
        <v>136</v>
      </c>
      <c r="W101" t="s">
        <v>136</v>
      </c>
      <c r="X101" t="s">
        <v>136</v>
      </c>
      <c r="Y101" t="s">
        <v>136</v>
      </c>
      <c r="Z101" t="s">
        <v>136</v>
      </c>
      <c r="AA101" t="s">
        <v>136</v>
      </c>
      <c r="AB101" t="s">
        <v>136</v>
      </c>
      <c r="AC101" t="s">
        <v>136</v>
      </c>
      <c r="AD101" t="s">
        <v>136</v>
      </c>
      <c r="AE101" t="s">
        <v>136</v>
      </c>
      <c r="AF101" t="s">
        <v>136</v>
      </c>
      <c r="AG101" t="s">
        <v>136</v>
      </c>
      <c r="AH101" t="s">
        <v>136</v>
      </c>
      <c r="AI101" t="s">
        <v>136</v>
      </c>
      <c r="AJ101" t="s">
        <v>136</v>
      </c>
      <c r="AK101" t="s">
        <v>136</v>
      </c>
      <c r="AL101" t="s">
        <v>136</v>
      </c>
      <c r="AM101" t="s">
        <v>136</v>
      </c>
      <c r="AN101" t="s">
        <v>136</v>
      </c>
      <c r="AO101" t="s">
        <v>136</v>
      </c>
      <c r="AP101" t="s">
        <v>136</v>
      </c>
      <c r="AQ101" t="s">
        <v>136</v>
      </c>
      <c r="AR101" t="s">
        <v>136</v>
      </c>
      <c r="AS101" t="s">
        <v>136</v>
      </c>
      <c r="AT101" t="s">
        <v>136</v>
      </c>
      <c r="AU101" t="s">
        <v>136</v>
      </c>
      <c r="AV101" t="s">
        <v>136</v>
      </c>
      <c r="AW101" t="s">
        <v>136</v>
      </c>
      <c r="AX101" t="s">
        <v>136</v>
      </c>
      <c r="AY101" t="s">
        <v>136</v>
      </c>
      <c r="AZ101" t="s">
        <v>136</v>
      </c>
      <c r="BA101" t="s">
        <v>136</v>
      </c>
      <c r="BB101" t="s">
        <v>136</v>
      </c>
      <c r="BC101" t="s">
        <v>136</v>
      </c>
      <c r="BD101" t="s">
        <v>136</v>
      </c>
      <c r="BE101" t="s">
        <v>136</v>
      </c>
      <c r="BF101" t="s">
        <v>136</v>
      </c>
      <c r="BG101" t="s">
        <v>136</v>
      </c>
      <c r="BH101" t="s">
        <v>136</v>
      </c>
      <c r="BI101" t="s">
        <v>136</v>
      </c>
      <c r="BJ101" t="s">
        <v>136</v>
      </c>
      <c r="BK101" t="s">
        <v>136</v>
      </c>
      <c r="BL101" t="s">
        <v>136</v>
      </c>
      <c r="BM101" t="s">
        <v>136</v>
      </c>
      <c r="BN101" t="s">
        <v>136</v>
      </c>
      <c r="BO101" t="s">
        <v>136</v>
      </c>
      <c r="BP101" t="s">
        <v>136</v>
      </c>
      <c r="BQ101" t="s">
        <v>136</v>
      </c>
      <c r="BR101" t="s">
        <v>136</v>
      </c>
      <c r="BS101" t="s">
        <v>136</v>
      </c>
      <c r="BT101" t="s">
        <v>136</v>
      </c>
      <c r="BU101" t="s">
        <v>136</v>
      </c>
      <c r="BV101" t="s">
        <v>136</v>
      </c>
      <c r="BW101" t="s">
        <v>136</v>
      </c>
      <c r="BX101" t="s">
        <v>136</v>
      </c>
      <c r="BY101" t="s">
        <v>136</v>
      </c>
      <c r="BZ101" t="s">
        <v>136</v>
      </c>
      <c r="CA101" t="s">
        <v>136</v>
      </c>
      <c r="CB101" t="s">
        <v>136</v>
      </c>
      <c r="CC101" t="s">
        <v>136</v>
      </c>
      <c r="CD101" t="s">
        <v>136</v>
      </c>
      <c r="CE101" t="s">
        <v>136</v>
      </c>
      <c r="CF101" t="s">
        <v>136</v>
      </c>
      <c r="CG101" t="s">
        <v>136</v>
      </c>
      <c r="CH101" t="s">
        <v>136</v>
      </c>
      <c r="CI101" t="s">
        <v>136</v>
      </c>
      <c r="CJ101" t="s">
        <v>136</v>
      </c>
      <c r="CK101" t="s">
        <v>136</v>
      </c>
      <c r="CL101" t="s">
        <v>136</v>
      </c>
      <c r="CM101" t="s">
        <v>136</v>
      </c>
      <c r="CN101" t="s">
        <v>136</v>
      </c>
      <c r="CO101" t="s">
        <v>136</v>
      </c>
      <c r="CP101" t="s">
        <v>136</v>
      </c>
      <c r="CQ101" t="s">
        <v>136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136</v>
      </c>
    </row>
    <row r="102" spans="1:101" x14ac:dyDescent="0.25">
      <c r="A102" t="s">
        <v>108</v>
      </c>
      <c r="B102" t="s">
        <v>136</v>
      </c>
      <c r="C102" t="s">
        <v>136</v>
      </c>
      <c r="D102" t="s">
        <v>136</v>
      </c>
      <c r="E102" t="s">
        <v>136</v>
      </c>
      <c r="F102" t="s">
        <v>136</v>
      </c>
      <c r="G102" t="s">
        <v>136</v>
      </c>
      <c r="H102" t="s">
        <v>136</v>
      </c>
      <c r="I102" t="s">
        <v>136</v>
      </c>
      <c r="J102" t="s">
        <v>136</v>
      </c>
      <c r="K102" t="s">
        <v>136</v>
      </c>
      <c r="L102" t="s">
        <v>136</v>
      </c>
      <c r="M102" t="s">
        <v>136</v>
      </c>
      <c r="N102" t="s">
        <v>136</v>
      </c>
      <c r="O102" t="s">
        <v>136</v>
      </c>
      <c r="P102" t="s">
        <v>136</v>
      </c>
      <c r="Q102" t="s">
        <v>136</v>
      </c>
      <c r="R102" t="s">
        <v>136</v>
      </c>
      <c r="S102" t="s">
        <v>136</v>
      </c>
      <c r="T102" t="s">
        <v>136</v>
      </c>
      <c r="U102" t="s">
        <v>136</v>
      </c>
      <c r="V102" t="s">
        <v>136</v>
      </c>
      <c r="W102" t="s">
        <v>136</v>
      </c>
      <c r="X102" t="s">
        <v>136</v>
      </c>
      <c r="Y102" t="s">
        <v>136</v>
      </c>
      <c r="Z102" t="s">
        <v>136</v>
      </c>
      <c r="AA102" t="s">
        <v>136</v>
      </c>
      <c r="AB102" t="s">
        <v>136</v>
      </c>
      <c r="AC102" t="s">
        <v>136</v>
      </c>
      <c r="AD102" t="s">
        <v>136</v>
      </c>
      <c r="AE102" t="s">
        <v>136</v>
      </c>
      <c r="AF102" t="s">
        <v>136</v>
      </c>
      <c r="AG102" t="s">
        <v>136</v>
      </c>
      <c r="AH102" t="s">
        <v>136</v>
      </c>
      <c r="AI102" t="s">
        <v>136</v>
      </c>
      <c r="AJ102" t="s">
        <v>136</v>
      </c>
      <c r="AK102" t="s">
        <v>136</v>
      </c>
      <c r="AL102" t="s">
        <v>136</v>
      </c>
      <c r="AM102" t="s">
        <v>136</v>
      </c>
      <c r="AN102" t="s">
        <v>136</v>
      </c>
      <c r="AO102" t="s">
        <v>136</v>
      </c>
      <c r="AP102" t="s">
        <v>136</v>
      </c>
      <c r="AQ102" t="s">
        <v>136</v>
      </c>
      <c r="AR102" t="s">
        <v>136</v>
      </c>
      <c r="AS102" t="s">
        <v>136</v>
      </c>
      <c r="AT102" t="s">
        <v>136</v>
      </c>
      <c r="AU102" t="s">
        <v>136</v>
      </c>
      <c r="AV102" t="s">
        <v>136</v>
      </c>
      <c r="AW102" t="s">
        <v>136</v>
      </c>
      <c r="AX102" t="s">
        <v>136</v>
      </c>
      <c r="AY102" t="s">
        <v>136</v>
      </c>
      <c r="AZ102" t="s">
        <v>136</v>
      </c>
      <c r="BA102" t="s">
        <v>136</v>
      </c>
      <c r="BB102" t="s">
        <v>136</v>
      </c>
      <c r="BC102" t="s">
        <v>136</v>
      </c>
      <c r="BD102" t="s">
        <v>136</v>
      </c>
      <c r="BE102" t="s">
        <v>136</v>
      </c>
      <c r="BF102" t="s">
        <v>136</v>
      </c>
      <c r="BG102" t="s">
        <v>136</v>
      </c>
      <c r="BH102" t="s">
        <v>136</v>
      </c>
      <c r="BI102" t="s">
        <v>136</v>
      </c>
      <c r="BJ102" t="s">
        <v>136</v>
      </c>
      <c r="BK102" t="s">
        <v>136</v>
      </c>
      <c r="BL102" t="s">
        <v>136</v>
      </c>
      <c r="BM102" t="s">
        <v>136</v>
      </c>
      <c r="BN102" t="s">
        <v>136</v>
      </c>
      <c r="BO102" t="s">
        <v>136</v>
      </c>
      <c r="BP102" t="s">
        <v>136</v>
      </c>
      <c r="BQ102" t="s">
        <v>136</v>
      </c>
      <c r="BR102" t="s">
        <v>136</v>
      </c>
      <c r="BS102" t="s">
        <v>136</v>
      </c>
      <c r="BT102" t="s">
        <v>136</v>
      </c>
      <c r="BU102" t="s">
        <v>136</v>
      </c>
      <c r="BV102" t="s">
        <v>136</v>
      </c>
      <c r="BW102" t="s">
        <v>136</v>
      </c>
      <c r="BX102" t="s">
        <v>136</v>
      </c>
      <c r="BY102" t="s">
        <v>136</v>
      </c>
      <c r="BZ102" t="s">
        <v>136</v>
      </c>
      <c r="CA102" t="s">
        <v>136</v>
      </c>
      <c r="CB102" t="s">
        <v>136</v>
      </c>
      <c r="CC102" t="s">
        <v>136</v>
      </c>
      <c r="CD102" t="s">
        <v>136</v>
      </c>
      <c r="CE102" t="s">
        <v>136</v>
      </c>
      <c r="CF102" t="s">
        <v>136</v>
      </c>
      <c r="CG102" t="s">
        <v>136</v>
      </c>
      <c r="CH102" t="s">
        <v>136</v>
      </c>
      <c r="CI102" t="s">
        <v>136</v>
      </c>
      <c r="CJ102" t="s">
        <v>136</v>
      </c>
      <c r="CK102" t="s">
        <v>136</v>
      </c>
      <c r="CL102" t="s">
        <v>136</v>
      </c>
      <c r="CM102" t="s">
        <v>136</v>
      </c>
      <c r="CN102" t="s">
        <v>136</v>
      </c>
      <c r="CO102" t="s">
        <v>136</v>
      </c>
      <c r="CP102" t="s">
        <v>136</v>
      </c>
      <c r="CQ102" t="s">
        <v>136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136</v>
      </c>
    </row>
    <row r="103" spans="1:101" x14ac:dyDescent="0.25">
      <c r="A103" t="s">
        <v>129</v>
      </c>
      <c r="B103" t="s">
        <v>136</v>
      </c>
      <c r="C103" t="s">
        <v>136</v>
      </c>
      <c r="D103" t="s">
        <v>136</v>
      </c>
      <c r="E103" t="s">
        <v>136</v>
      </c>
      <c r="F103" t="s">
        <v>136</v>
      </c>
      <c r="G103" t="s">
        <v>136</v>
      </c>
      <c r="H103" t="s">
        <v>136</v>
      </c>
      <c r="I103" t="s">
        <v>136</v>
      </c>
      <c r="J103" t="s">
        <v>136</v>
      </c>
      <c r="K103" t="s">
        <v>136</v>
      </c>
      <c r="L103" t="s">
        <v>136</v>
      </c>
      <c r="M103" t="s">
        <v>136</v>
      </c>
      <c r="N103" t="s">
        <v>136</v>
      </c>
      <c r="O103" t="s">
        <v>136</v>
      </c>
      <c r="P103" t="s">
        <v>136</v>
      </c>
      <c r="Q103" t="s">
        <v>136</v>
      </c>
      <c r="R103" t="s">
        <v>136</v>
      </c>
      <c r="S103" t="s">
        <v>136</v>
      </c>
      <c r="T103" t="s">
        <v>136</v>
      </c>
      <c r="U103" t="s">
        <v>136</v>
      </c>
      <c r="V103" t="s">
        <v>136</v>
      </c>
      <c r="W103" t="s">
        <v>136</v>
      </c>
      <c r="X103" t="s">
        <v>136</v>
      </c>
      <c r="Y103" t="s">
        <v>136</v>
      </c>
      <c r="Z103" t="s">
        <v>136</v>
      </c>
      <c r="AA103" t="s">
        <v>136</v>
      </c>
      <c r="AB103" t="s">
        <v>136</v>
      </c>
      <c r="AC103" t="s">
        <v>136</v>
      </c>
      <c r="AD103" t="s">
        <v>136</v>
      </c>
      <c r="AE103" t="s">
        <v>136</v>
      </c>
      <c r="AF103" t="s">
        <v>136</v>
      </c>
      <c r="AG103" t="s">
        <v>136</v>
      </c>
      <c r="AH103" t="s">
        <v>136</v>
      </c>
      <c r="AI103" t="s">
        <v>136</v>
      </c>
      <c r="AJ103" t="s">
        <v>136</v>
      </c>
      <c r="AK103" t="s">
        <v>136</v>
      </c>
      <c r="AL103" t="s">
        <v>136</v>
      </c>
      <c r="AM103" t="s">
        <v>136</v>
      </c>
      <c r="AN103" t="s">
        <v>136</v>
      </c>
      <c r="AO103" t="s">
        <v>136</v>
      </c>
      <c r="AP103" t="s">
        <v>136</v>
      </c>
      <c r="AQ103" t="s">
        <v>136</v>
      </c>
      <c r="AR103" t="s">
        <v>136</v>
      </c>
      <c r="AS103" t="s">
        <v>136</v>
      </c>
      <c r="AT103" t="s">
        <v>136</v>
      </c>
      <c r="AU103" t="s">
        <v>136</v>
      </c>
      <c r="AV103" t="s">
        <v>136</v>
      </c>
      <c r="AW103" t="s">
        <v>136</v>
      </c>
      <c r="AX103" t="s">
        <v>136</v>
      </c>
      <c r="AY103" t="s">
        <v>136</v>
      </c>
      <c r="AZ103" t="s">
        <v>136</v>
      </c>
      <c r="BA103" t="s">
        <v>136</v>
      </c>
      <c r="BB103" t="s">
        <v>136</v>
      </c>
      <c r="BC103" t="s">
        <v>136</v>
      </c>
      <c r="BD103" t="s">
        <v>136</v>
      </c>
      <c r="BE103" t="s">
        <v>136</v>
      </c>
      <c r="BF103" t="s">
        <v>136</v>
      </c>
      <c r="BG103" t="s">
        <v>136</v>
      </c>
      <c r="BH103" t="s">
        <v>136</v>
      </c>
      <c r="BI103" t="s">
        <v>136</v>
      </c>
      <c r="BJ103" t="s">
        <v>136</v>
      </c>
      <c r="BK103" t="s">
        <v>136</v>
      </c>
      <c r="BL103" t="s">
        <v>136</v>
      </c>
      <c r="BM103" t="s">
        <v>136</v>
      </c>
      <c r="BN103" t="s">
        <v>136</v>
      </c>
      <c r="BO103" t="s">
        <v>136</v>
      </c>
      <c r="BP103" t="s">
        <v>136</v>
      </c>
      <c r="BQ103" t="s">
        <v>136</v>
      </c>
      <c r="BR103" t="s">
        <v>136</v>
      </c>
      <c r="BS103" t="s">
        <v>136</v>
      </c>
      <c r="BT103" t="s">
        <v>136</v>
      </c>
      <c r="BU103" t="s">
        <v>136</v>
      </c>
      <c r="BV103" t="s">
        <v>136</v>
      </c>
      <c r="BW103" t="s">
        <v>136</v>
      </c>
      <c r="BX103" t="s">
        <v>136</v>
      </c>
      <c r="BY103" t="s">
        <v>136</v>
      </c>
      <c r="BZ103" t="s">
        <v>136</v>
      </c>
      <c r="CA103" t="s">
        <v>136</v>
      </c>
      <c r="CB103" t="s">
        <v>136</v>
      </c>
      <c r="CC103" t="s">
        <v>136</v>
      </c>
      <c r="CD103" t="s">
        <v>136</v>
      </c>
      <c r="CE103" t="s">
        <v>136</v>
      </c>
      <c r="CF103" t="s">
        <v>136</v>
      </c>
      <c r="CG103" t="s">
        <v>136</v>
      </c>
      <c r="CH103" t="s">
        <v>136</v>
      </c>
      <c r="CI103" t="s">
        <v>136</v>
      </c>
      <c r="CJ103" t="s">
        <v>136</v>
      </c>
      <c r="CK103" t="s">
        <v>136</v>
      </c>
      <c r="CL103" t="s">
        <v>136</v>
      </c>
      <c r="CM103" t="s">
        <v>136</v>
      </c>
      <c r="CN103" t="s">
        <v>136</v>
      </c>
      <c r="CO103" t="s">
        <v>136</v>
      </c>
      <c r="CP103" t="s">
        <v>136</v>
      </c>
      <c r="CQ103" t="s">
        <v>136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136</v>
      </c>
    </row>
    <row r="104" spans="1:101" x14ac:dyDescent="0.25">
      <c r="A104" t="s">
        <v>71</v>
      </c>
      <c r="B104" t="s">
        <v>136</v>
      </c>
      <c r="C104" t="s">
        <v>136</v>
      </c>
      <c r="D104" t="s">
        <v>136</v>
      </c>
      <c r="E104" t="s">
        <v>136</v>
      </c>
      <c r="F104" t="s">
        <v>136</v>
      </c>
      <c r="G104" t="s">
        <v>136</v>
      </c>
      <c r="H104" t="s">
        <v>136</v>
      </c>
      <c r="I104" t="s">
        <v>136</v>
      </c>
      <c r="J104" t="s">
        <v>136</v>
      </c>
      <c r="K104" t="s">
        <v>136</v>
      </c>
      <c r="L104" t="s">
        <v>136</v>
      </c>
      <c r="M104" t="s">
        <v>136</v>
      </c>
      <c r="N104" t="s">
        <v>136</v>
      </c>
      <c r="O104" t="s">
        <v>136</v>
      </c>
      <c r="P104" t="s">
        <v>136</v>
      </c>
      <c r="Q104" t="s">
        <v>136</v>
      </c>
      <c r="R104" t="s">
        <v>136</v>
      </c>
      <c r="S104" t="s">
        <v>136</v>
      </c>
      <c r="T104" t="s">
        <v>136</v>
      </c>
      <c r="U104" t="s">
        <v>136</v>
      </c>
      <c r="V104" t="s">
        <v>136</v>
      </c>
      <c r="W104" t="s">
        <v>136</v>
      </c>
      <c r="X104" t="s">
        <v>136</v>
      </c>
      <c r="Y104" t="s">
        <v>136</v>
      </c>
      <c r="Z104" t="s">
        <v>136</v>
      </c>
      <c r="AA104" t="s">
        <v>136</v>
      </c>
      <c r="AB104" t="s">
        <v>136</v>
      </c>
      <c r="AC104" t="s">
        <v>136</v>
      </c>
      <c r="AD104" t="s">
        <v>136</v>
      </c>
      <c r="AE104" t="s">
        <v>136</v>
      </c>
      <c r="AF104" t="s">
        <v>136</v>
      </c>
      <c r="AG104" t="s">
        <v>136</v>
      </c>
      <c r="AH104" t="s">
        <v>136</v>
      </c>
      <c r="AI104" t="s">
        <v>136</v>
      </c>
      <c r="AJ104" t="s">
        <v>136</v>
      </c>
      <c r="AK104" t="s">
        <v>136</v>
      </c>
      <c r="AL104" t="s">
        <v>136</v>
      </c>
      <c r="AM104" t="s">
        <v>136</v>
      </c>
      <c r="AN104" t="s">
        <v>136</v>
      </c>
      <c r="AO104" t="s">
        <v>136</v>
      </c>
      <c r="AP104" t="s">
        <v>136</v>
      </c>
      <c r="AQ104" t="s">
        <v>136</v>
      </c>
      <c r="AR104" t="s">
        <v>136</v>
      </c>
      <c r="AS104" t="s">
        <v>136</v>
      </c>
      <c r="AT104" t="s">
        <v>136</v>
      </c>
      <c r="AU104" t="s">
        <v>136</v>
      </c>
      <c r="AV104" t="s">
        <v>136</v>
      </c>
      <c r="AW104" t="s">
        <v>136</v>
      </c>
      <c r="AX104" t="s">
        <v>136</v>
      </c>
      <c r="AY104" t="s">
        <v>136</v>
      </c>
      <c r="AZ104" t="s">
        <v>136</v>
      </c>
      <c r="BA104" t="s">
        <v>136</v>
      </c>
      <c r="BB104" t="s">
        <v>136</v>
      </c>
      <c r="BC104" t="s">
        <v>136</v>
      </c>
      <c r="BD104" t="s">
        <v>136</v>
      </c>
      <c r="BE104" t="s">
        <v>136</v>
      </c>
      <c r="BF104" t="s">
        <v>136</v>
      </c>
      <c r="BG104" t="s">
        <v>136</v>
      </c>
      <c r="BH104" t="s">
        <v>136</v>
      </c>
      <c r="BI104" t="s">
        <v>136</v>
      </c>
      <c r="BJ104" t="s">
        <v>136</v>
      </c>
      <c r="BK104" t="s">
        <v>136</v>
      </c>
      <c r="BL104" t="s">
        <v>136</v>
      </c>
      <c r="BM104" t="s">
        <v>136</v>
      </c>
      <c r="BN104" t="s">
        <v>136</v>
      </c>
      <c r="BO104" t="s">
        <v>136</v>
      </c>
      <c r="BP104" t="s">
        <v>136</v>
      </c>
      <c r="BQ104" t="s">
        <v>136</v>
      </c>
      <c r="BR104" t="s">
        <v>136</v>
      </c>
      <c r="BS104" t="s">
        <v>136</v>
      </c>
      <c r="BT104" t="s">
        <v>136</v>
      </c>
      <c r="BU104" t="s">
        <v>136</v>
      </c>
      <c r="BV104" t="s">
        <v>136</v>
      </c>
      <c r="BW104" t="s">
        <v>136</v>
      </c>
      <c r="BX104" t="s">
        <v>136</v>
      </c>
      <c r="BY104" t="s">
        <v>136</v>
      </c>
      <c r="BZ104" t="s">
        <v>136</v>
      </c>
      <c r="CA104" t="s">
        <v>136</v>
      </c>
      <c r="CB104" t="s">
        <v>136</v>
      </c>
      <c r="CC104" t="s">
        <v>136</v>
      </c>
      <c r="CD104" t="s">
        <v>136</v>
      </c>
      <c r="CE104" t="s">
        <v>136</v>
      </c>
      <c r="CF104" t="s">
        <v>136</v>
      </c>
      <c r="CG104" t="s">
        <v>136</v>
      </c>
      <c r="CH104" t="s">
        <v>136</v>
      </c>
      <c r="CI104" t="s">
        <v>136</v>
      </c>
      <c r="CJ104" t="s">
        <v>136</v>
      </c>
      <c r="CK104" t="s">
        <v>136</v>
      </c>
      <c r="CL104" t="s">
        <v>136</v>
      </c>
      <c r="CM104" t="s">
        <v>136</v>
      </c>
      <c r="CN104" t="s">
        <v>136</v>
      </c>
      <c r="CO104" t="s">
        <v>136</v>
      </c>
      <c r="CP104" t="s">
        <v>136</v>
      </c>
      <c r="CQ104" t="s">
        <v>136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136</v>
      </c>
    </row>
    <row r="105" spans="1:101" x14ac:dyDescent="0.25">
      <c r="A105" t="s">
        <v>122</v>
      </c>
      <c r="B105" t="s">
        <v>136</v>
      </c>
      <c r="C105" t="s">
        <v>136</v>
      </c>
      <c r="D105" t="s">
        <v>136</v>
      </c>
      <c r="E105" t="s">
        <v>136</v>
      </c>
      <c r="F105" t="s">
        <v>136</v>
      </c>
      <c r="G105" t="s">
        <v>136</v>
      </c>
      <c r="H105" t="s">
        <v>136</v>
      </c>
      <c r="I105" t="s">
        <v>136</v>
      </c>
      <c r="J105" t="s">
        <v>136</v>
      </c>
      <c r="K105" t="s">
        <v>136</v>
      </c>
      <c r="L105" t="s">
        <v>136</v>
      </c>
      <c r="M105" t="s">
        <v>136</v>
      </c>
      <c r="N105" t="s">
        <v>136</v>
      </c>
      <c r="O105" t="s">
        <v>136</v>
      </c>
      <c r="P105" t="s">
        <v>136</v>
      </c>
      <c r="Q105" t="s">
        <v>136</v>
      </c>
      <c r="R105" t="s">
        <v>136</v>
      </c>
      <c r="S105" t="s">
        <v>136</v>
      </c>
      <c r="T105" t="s">
        <v>136</v>
      </c>
      <c r="U105" t="s">
        <v>136</v>
      </c>
      <c r="V105" t="s">
        <v>136</v>
      </c>
      <c r="W105" t="s">
        <v>136</v>
      </c>
      <c r="X105" t="s">
        <v>136</v>
      </c>
      <c r="Y105" t="s">
        <v>136</v>
      </c>
      <c r="Z105" t="s">
        <v>136</v>
      </c>
      <c r="AA105" t="s">
        <v>136</v>
      </c>
      <c r="AB105" t="s">
        <v>136</v>
      </c>
      <c r="AC105" t="s">
        <v>136</v>
      </c>
      <c r="AD105" t="s">
        <v>136</v>
      </c>
      <c r="AE105" t="s">
        <v>136</v>
      </c>
      <c r="AF105" t="s">
        <v>136</v>
      </c>
      <c r="AG105" t="s">
        <v>136</v>
      </c>
      <c r="AH105" t="s">
        <v>136</v>
      </c>
      <c r="AI105" t="s">
        <v>136</v>
      </c>
      <c r="AJ105" t="s">
        <v>136</v>
      </c>
      <c r="AK105" t="s">
        <v>136</v>
      </c>
      <c r="AL105" t="s">
        <v>136</v>
      </c>
      <c r="AM105" t="s">
        <v>136</v>
      </c>
      <c r="AN105" t="s">
        <v>136</v>
      </c>
      <c r="AO105" t="s">
        <v>136</v>
      </c>
      <c r="AP105" t="s">
        <v>136</v>
      </c>
      <c r="AQ105" t="s">
        <v>136</v>
      </c>
      <c r="AR105" t="s">
        <v>136</v>
      </c>
      <c r="AS105" t="s">
        <v>136</v>
      </c>
      <c r="AT105" t="s">
        <v>136</v>
      </c>
      <c r="AU105" t="s">
        <v>136</v>
      </c>
      <c r="AV105" t="s">
        <v>136</v>
      </c>
      <c r="AW105" t="s">
        <v>136</v>
      </c>
      <c r="AX105" t="s">
        <v>136</v>
      </c>
      <c r="AY105" t="s">
        <v>136</v>
      </c>
      <c r="AZ105" t="s">
        <v>136</v>
      </c>
      <c r="BA105" t="s">
        <v>136</v>
      </c>
      <c r="BB105" t="s">
        <v>136</v>
      </c>
      <c r="BC105" t="s">
        <v>136</v>
      </c>
      <c r="BD105" t="s">
        <v>136</v>
      </c>
      <c r="BE105" t="s">
        <v>136</v>
      </c>
      <c r="BF105" t="s">
        <v>136</v>
      </c>
      <c r="BG105" t="s">
        <v>136</v>
      </c>
      <c r="BH105" t="s">
        <v>136</v>
      </c>
      <c r="BI105" t="s">
        <v>136</v>
      </c>
      <c r="BJ105" t="s">
        <v>136</v>
      </c>
      <c r="BK105" t="s">
        <v>136</v>
      </c>
      <c r="BL105" t="s">
        <v>136</v>
      </c>
      <c r="BM105" t="s">
        <v>136</v>
      </c>
      <c r="BN105" t="s">
        <v>136</v>
      </c>
      <c r="BO105" t="s">
        <v>136</v>
      </c>
      <c r="BP105" t="s">
        <v>136</v>
      </c>
      <c r="BQ105" t="s">
        <v>136</v>
      </c>
      <c r="BR105" t="s">
        <v>136</v>
      </c>
      <c r="BS105" t="s">
        <v>136</v>
      </c>
      <c r="BT105" t="s">
        <v>136</v>
      </c>
      <c r="BU105" t="s">
        <v>136</v>
      </c>
      <c r="BV105" t="s">
        <v>136</v>
      </c>
      <c r="BW105" t="s">
        <v>136</v>
      </c>
      <c r="BX105" t="s">
        <v>136</v>
      </c>
      <c r="BY105" t="s">
        <v>136</v>
      </c>
      <c r="BZ105" t="s">
        <v>136</v>
      </c>
      <c r="CA105" t="s">
        <v>136</v>
      </c>
      <c r="CB105" t="s">
        <v>136</v>
      </c>
      <c r="CC105" t="s">
        <v>136</v>
      </c>
      <c r="CD105" t="s">
        <v>136</v>
      </c>
      <c r="CE105" t="s">
        <v>136</v>
      </c>
      <c r="CF105" t="s">
        <v>136</v>
      </c>
      <c r="CG105" t="s">
        <v>136</v>
      </c>
      <c r="CH105" t="s">
        <v>136</v>
      </c>
      <c r="CI105" t="s">
        <v>136</v>
      </c>
      <c r="CJ105" t="s">
        <v>136</v>
      </c>
      <c r="CK105" t="s">
        <v>136</v>
      </c>
      <c r="CL105" t="s">
        <v>136</v>
      </c>
      <c r="CM105" t="s">
        <v>136</v>
      </c>
      <c r="CN105" t="s">
        <v>136</v>
      </c>
      <c r="CO105" t="s">
        <v>136</v>
      </c>
      <c r="CP105" t="s">
        <v>136</v>
      </c>
      <c r="CQ105" t="s">
        <v>136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136</v>
      </c>
    </row>
    <row r="106" spans="1:101" x14ac:dyDescent="0.25">
      <c r="A106" t="s">
        <v>98</v>
      </c>
      <c r="B106" t="s">
        <v>136</v>
      </c>
      <c r="C106" t="s">
        <v>136</v>
      </c>
      <c r="D106" t="s">
        <v>136</v>
      </c>
      <c r="E106" t="s">
        <v>136</v>
      </c>
      <c r="F106" t="s">
        <v>136</v>
      </c>
      <c r="G106" t="s">
        <v>136</v>
      </c>
      <c r="H106" t="s">
        <v>136</v>
      </c>
      <c r="I106" t="s">
        <v>136</v>
      </c>
      <c r="J106" t="s">
        <v>136</v>
      </c>
      <c r="K106" t="s">
        <v>136</v>
      </c>
      <c r="L106" t="s">
        <v>136</v>
      </c>
      <c r="M106" t="s">
        <v>136</v>
      </c>
      <c r="N106" t="s">
        <v>136</v>
      </c>
      <c r="O106" t="s">
        <v>136</v>
      </c>
      <c r="P106" t="s">
        <v>136</v>
      </c>
      <c r="Q106" t="s">
        <v>136</v>
      </c>
      <c r="R106" t="s">
        <v>136</v>
      </c>
      <c r="S106" t="s">
        <v>136</v>
      </c>
      <c r="T106" t="s">
        <v>136</v>
      </c>
      <c r="U106" t="s">
        <v>136</v>
      </c>
      <c r="V106" t="s">
        <v>136</v>
      </c>
      <c r="W106" t="s">
        <v>136</v>
      </c>
      <c r="X106" t="s">
        <v>136</v>
      </c>
      <c r="Y106" t="s">
        <v>136</v>
      </c>
      <c r="Z106" t="s">
        <v>136</v>
      </c>
      <c r="AA106" t="s">
        <v>136</v>
      </c>
      <c r="AB106" t="s">
        <v>136</v>
      </c>
      <c r="AC106" t="s">
        <v>136</v>
      </c>
      <c r="AD106" t="s">
        <v>136</v>
      </c>
      <c r="AE106" t="s">
        <v>136</v>
      </c>
      <c r="AF106" t="s">
        <v>136</v>
      </c>
      <c r="AG106" t="s">
        <v>136</v>
      </c>
      <c r="AH106" t="s">
        <v>136</v>
      </c>
      <c r="AI106" t="s">
        <v>136</v>
      </c>
      <c r="AJ106" t="s">
        <v>136</v>
      </c>
      <c r="AK106" t="s">
        <v>136</v>
      </c>
      <c r="AL106" t="s">
        <v>136</v>
      </c>
      <c r="AM106" t="s">
        <v>136</v>
      </c>
      <c r="AN106" t="s">
        <v>136</v>
      </c>
      <c r="AO106" t="s">
        <v>136</v>
      </c>
      <c r="AP106" t="s">
        <v>136</v>
      </c>
      <c r="AQ106" t="s">
        <v>136</v>
      </c>
      <c r="AR106" t="s">
        <v>136</v>
      </c>
      <c r="AS106" t="s">
        <v>136</v>
      </c>
      <c r="AT106" t="s">
        <v>136</v>
      </c>
      <c r="AU106" t="s">
        <v>136</v>
      </c>
      <c r="AV106" t="s">
        <v>136</v>
      </c>
      <c r="AW106" t="s">
        <v>136</v>
      </c>
      <c r="AX106" t="s">
        <v>136</v>
      </c>
      <c r="AY106" t="s">
        <v>136</v>
      </c>
      <c r="AZ106" t="s">
        <v>136</v>
      </c>
      <c r="BA106" t="s">
        <v>136</v>
      </c>
      <c r="BB106" t="s">
        <v>136</v>
      </c>
      <c r="BC106" t="s">
        <v>136</v>
      </c>
      <c r="BD106" t="s">
        <v>136</v>
      </c>
      <c r="BE106" t="s">
        <v>136</v>
      </c>
      <c r="BF106" t="s">
        <v>136</v>
      </c>
      <c r="BG106" t="s">
        <v>136</v>
      </c>
      <c r="BH106" t="s">
        <v>136</v>
      </c>
      <c r="BI106" t="s">
        <v>136</v>
      </c>
      <c r="BJ106" t="s">
        <v>136</v>
      </c>
      <c r="BK106" t="s">
        <v>136</v>
      </c>
      <c r="BL106" t="s">
        <v>136</v>
      </c>
      <c r="BM106" t="s">
        <v>136</v>
      </c>
      <c r="BN106" t="s">
        <v>136</v>
      </c>
      <c r="BO106" t="s">
        <v>136</v>
      </c>
      <c r="BP106" t="s">
        <v>136</v>
      </c>
      <c r="BQ106" t="s">
        <v>136</v>
      </c>
      <c r="BR106" t="s">
        <v>136</v>
      </c>
      <c r="BS106" t="s">
        <v>136</v>
      </c>
      <c r="BT106" t="s">
        <v>136</v>
      </c>
      <c r="BU106" t="s">
        <v>136</v>
      </c>
      <c r="BV106" t="s">
        <v>136</v>
      </c>
      <c r="BW106" t="s">
        <v>136</v>
      </c>
      <c r="BX106" t="s">
        <v>136</v>
      </c>
      <c r="BY106" t="s">
        <v>136</v>
      </c>
      <c r="BZ106" t="s">
        <v>136</v>
      </c>
      <c r="CA106" t="s">
        <v>136</v>
      </c>
      <c r="CB106" t="s">
        <v>136</v>
      </c>
      <c r="CC106" t="s">
        <v>136</v>
      </c>
      <c r="CD106" t="s">
        <v>136</v>
      </c>
      <c r="CE106" t="s">
        <v>136</v>
      </c>
      <c r="CF106" t="s">
        <v>136</v>
      </c>
      <c r="CG106" t="s">
        <v>136</v>
      </c>
      <c r="CH106" t="s">
        <v>136</v>
      </c>
      <c r="CI106" t="s">
        <v>136</v>
      </c>
      <c r="CJ106" t="s">
        <v>136</v>
      </c>
      <c r="CK106" t="s">
        <v>136</v>
      </c>
      <c r="CL106" t="s">
        <v>136</v>
      </c>
      <c r="CM106" t="s">
        <v>136</v>
      </c>
      <c r="CN106" t="s">
        <v>136</v>
      </c>
      <c r="CO106" t="s">
        <v>136</v>
      </c>
      <c r="CP106" t="s">
        <v>136</v>
      </c>
      <c r="CQ106" t="s">
        <v>136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136</v>
      </c>
    </row>
    <row r="111" spans="1:101" x14ac:dyDescent="0.25">
      <c r="A111" t="s">
        <v>145</v>
      </c>
    </row>
    <row r="112" spans="1:101" x14ac:dyDescent="0.25">
      <c r="A112" t="s">
        <v>57</v>
      </c>
      <c r="B112" t="s">
        <v>136</v>
      </c>
      <c r="C112" t="s">
        <v>136</v>
      </c>
      <c r="D112" t="s">
        <v>136</v>
      </c>
      <c r="E112" t="s">
        <v>136</v>
      </c>
      <c r="F112" t="s">
        <v>136</v>
      </c>
      <c r="G112" t="s">
        <v>136</v>
      </c>
      <c r="H112" t="s">
        <v>136</v>
      </c>
      <c r="I112" t="s">
        <v>136</v>
      </c>
      <c r="J112" t="s">
        <v>136</v>
      </c>
      <c r="K112" t="s">
        <v>136</v>
      </c>
      <c r="L112" t="s">
        <v>137</v>
      </c>
      <c r="M112" t="s">
        <v>136</v>
      </c>
      <c r="N112" t="s">
        <v>136</v>
      </c>
      <c r="O112" t="s">
        <v>136</v>
      </c>
      <c r="P112" t="s">
        <v>136</v>
      </c>
      <c r="Q112" t="s">
        <v>136</v>
      </c>
      <c r="R112" t="s">
        <v>137</v>
      </c>
      <c r="S112" t="s">
        <v>136</v>
      </c>
      <c r="T112" t="s">
        <v>137</v>
      </c>
      <c r="U112" t="s">
        <v>136</v>
      </c>
      <c r="V112" t="s">
        <v>136</v>
      </c>
      <c r="W112" t="s">
        <v>136</v>
      </c>
      <c r="X112" t="s">
        <v>136</v>
      </c>
      <c r="Y112" t="s">
        <v>136</v>
      </c>
      <c r="Z112" t="s">
        <v>137</v>
      </c>
      <c r="AA112" t="s">
        <v>136</v>
      </c>
      <c r="AB112" t="s">
        <v>136</v>
      </c>
      <c r="AC112" t="s">
        <v>136</v>
      </c>
      <c r="AD112" t="s">
        <v>136</v>
      </c>
      <c r="AE112" t="s">
        <v>136</v>
      </c>
      <c r="AF112" t="s">
        <v>136</v>
      </c>
      <c r="AG112" t="s">
        <v>137</v>
      </c>
      <c r="AH112" t="s">
        <v>136</v>
      </c>
      <c r="AI112" t="s">
        <v>136</v>
      </c>
      <c r="AJ112" t="s">
        <v>136</v>
      </c>
      <c r="AK112" t="s">
        <v>136</v>
      </c>
      <c r="AL112" t="s">
        <v>136</v>
      </c>
      <c r="AM112" t="s">
        <v>136</v>
      </c>
      <c r="AN112" t="s">
        <v>136</v>
      </c>
      <c r="AO112" t="s">
        <v>136</v>
      </c>
      <c r="AP112" t="s">
        <v>136</v>
      </c>
      <c r="AQ112" t="s">
        <v>136</v>
      </c>
      <c r="AR112" t="s">
        <v>136</v>
      </c>
      <c r="AS112" t="s">
        <v>136</v>
      </c>
      <c r="AT112" t="s">
        <v>136</v>
      </c>
      <c r="AU112" t="s">
        <v>136</v>
      </c>
      <c r="AV112" t="s">
        <v>136</v>
      </c>
      <c r="AW112" t="s">
        <v>136</v>
      </c>
      <c r="AX112" t="s">
        <v>136</v>
      </c>
      <c r="AY112" t="s">
        <v>136</v>
      </c>
      <c r="AZ112" t="s">
        <v>136</v>
      </c>
      <c r="BA112" t="s">
        <v>136</v>
      </c>
      <c r="BB112" t="s">
        <v>136</v>
      </c>
      <c r="BC112" t="s">
        <v>136</v>
      </c>
      <c r="BD112" t="s">
        <v>136</v>
      </c>
      <c r="BE112" t="s">
        <v>136</v>
      </c>
      <c r="BF112" t="s">
        <v>136</v>
      </c>
      <c r="BG112" t="s">
        <v>136</v>
      </c>
      <c r="BH112" t="s">
        <v>136</v>
      </c>
      <c r="BI112" t="s">
        <v>136</v>
      </c>
      <c r="BJ112" t="s">
        <v>136</v>
      </c>
      <c r="BK112" t="s">
        <v>136</v>
      </c>
      <c r="BL112" t="s">
        <v>136</v>
      </c>
      <c r="BM112" t="s">
        <v>136</v>
      </c>
      <c r="BN112" t="s">
        <v>136</v>
      </c>
      <c r="BO112" t="s">
        <v>136</v>
      </c>
      <c r="BP112" t="s">
        <v>136</v>
      </c>
      <c r="BQ112" t="s">
        <v>136</v>
      </c>
      <c r="BR112" t="s">
        <v>136</v>
      </c>
      <c r="BS112" t="s">
        <v>136</v>
      </c>
      <c r="BT112" t="s">
        <v>136</v>
      </c>
      <c r="BU112" t="s">
        <v>136</v>
      </c>
      <c r="BV112" t="s">
        <v>136</v>
      </c>
      <c r="BW112" t="s">
        <v>136</v>
      </c>
      <c r="BX112" t="s">
        <v>136</v>
      </c>
      <c r="BY112" t="s">
        <v>136</v>
      </c>
      <c r="BZ112" t="s">
        <v>136</v>
      </c>
      <c r="CA112" t="s">
        <v>136</v>
      </c>
      <c r="CB112" t="s">
        <v>136</v>
      </c>
      <c r="CC112" t="s">
        <v>136</v>
      </c>
      <c r="CD112" t="s">
        <v>136</v>
      </c>
      <c r="CE112" t="s">
        <v>136</v>
      </c>
      <c r="CF112" t="s">
        <v>136</v>
      </c>
      <c r="CG112" t="s">
        <v>136</v>
      </c>
      <c r="CH112" t="s">
        <v>136</v>
      </c>
      <c r="CI112" t="s">
        <v>136</v>
      </c>
      <c r="CJ112" t="s">
        <v>136</v>
      </c>
      <c r="CK112" t="s">
        <v>136</v>
      </c>
      <c r="CL112" t="s">
        <v>136</v>
      </c>
      <c r="CM112" t="s">
        <v>136</v>
      </c>
      <c r="CN112" t="s">
        <v>136</v>
      </c>
      <c r="CO112" t="s">
        <v>136</v>
      </c>
      <c r="CP112" t="s">
        <v>136</v>
      </c>
      <c r="CQ112" t="s">
        <v>136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136</v>
      </c>
    </row>
    <row r="113" spans="1:101" x14ac:dyDescent="0.25">
      <c r="A113" t="s">
        <v>58</v>
      </c>
      <c r="B113" t="s">
        <v>136</v>
      </c>
      <c r="C113" t="s">
        <v>136</v>
      </c>
      <c r="D113" t="s">
        <v>136</v>
      </c>
      <c r="E113" t="s">
        <v>136</v>
      </c>
      <c r="F113" t="s">
        <v>136</v>
      </c>
      <c r="G113" t="s">
        <v>136</v>
      </c>
      <c r="H113" t="s">
        <v>136</v>
      </c>
      <c r="I113" t="s">
        <v>136</v>
      </c>
      <c r="J113" t="s">
        <v>136</v>
      </c>
      <c r="K113" t="s">
        <v>136</v>
      </c>
      <c r="L113" t="s">
        <v>137</v>
      </c>
      <c r="M113" t="s">
        <v>136</v>
      </c>
      <c r="N113" t="s">
        <v>136</v>
      </c>
      <c r="O113" t="s">
        <v>136</v>
      </c>
      <c r="P113" t="s">
        <v>136</v>
      </c>
      <c r="Q113" t="s">
        <v>136</v>
      </c>
      <c r="R113" t="s">
        <v>136</v>
      </c>
      <c r="S113" t="s">
        <v>136</v>
      </c>
      <c r="T113" t="s">
        <v>136</v>
      </c>
      <c r="U113" t="s">
        <v>136</v>
      </c>
      <c r="V113" t="s">
        <v>136</v>
      </c>
      <c r="W113" t="s">
        <v>136</v>
      </c>
      <c r="X113" t="s">
        <v>136</v>
      </c>
      <c r="Y113" t="s">
        <v>136</v>
      </c>
      <c r="Z113" t="s">
        <v>137</v>
      </c>
      <c r="AA113" t="s">
        <v>136</v>
      </c>
      <c r="AB113" t="s">
        <v>136</v>
      </c>
      <c r="AC113" t="s">
        <v>136</v>
      </c>
      <c r="AD113" t="s">
        <v>136</v>
      </c>
      <c r="AE113" t="s">
        <v>136</v>
      </c>
      <c r="AF113" t="s">
        <v>136</v>
      </c>
      <c r="AG113" t="s">
        <v>137</v>
      </c>
      <c r="AH113" t="s">
        <v>136</v>
      </c>
      <c r="AI113" t="s">
        <v>136</v>
      </c>
      <c r="AJ113" t="s">
        <v>136</v>
      </c>
      <c r="AK113" t="s">
        <v>136</v>
      </c>
      <c r="AL113" t="s">
        <v>136</v>
      </c>
      <c r="AM113" t="s">
        <v>136</v>
      </c>
      <c r="AN113" t="s">
        <v>137</v>
      </c>
      <c r="AO113" t="s">
        <v>136</v>
      </c>
      <c r="AP113" t="s">
        <v>136</v>
      </c>
      <c r="AQ113" t="s">
        <v>136</v>
      </c>
      <c r="AR113" t="s">
        <v>136</v>
      </c>
      <c r="AS113" t="s">
        <v>136</v>
      </c>
      <c r="AT113" t="s">
        <v>136</v>
      </c>
      <c r="AU113" t="s">
        <v>137</v>
      </c>
      <c r="AV113" t="s">
        <v>136</v>
      </c>
      <c r="AW113" t="s">
        <v>136</v>
      </c>
      <c r="AX113" t="s">
        <v>136</v>
      </c>
      <c r="AY113" t="s">
        <v>136</v>
      </c>
      <c r="AZ113" t="s">
        <v>136</v>
      </c>
      <c r="BA113" t="s">
        <v>136</v>
      </c>
      <c r="BB113" t="s">
        <v>137</v>
      </c>
      <c r="BC113" t="s">
        <v>136</v>
      </c>
      <c r="BD113" t="s">
        <v>136</v>
      </c>
      <c r="BE113" t="s">
        <v>136</v>
      </c>
      <c r="BF113" t="s">
        <v>136</v>
      </c>
      <c r="BG113" t="s">
        <v>136</v>
      </c>
      <c r="BH113" t="s">
        <v>136</v>
      </c>
      <c r="BI113" t="s">
        <v>137</v>
      </c>
      <c r="BJ113" t="s">
        <v>136</v>
      </c>
      <c r="BK113" t="s">
        <v>136</v>
      </c>
      <c r="BL113" t="s">
        <v>136</v>
      </c>
      <c r="BM113" t="s">
        <v>136</v>
      </c>
      <c r="BN113" t="s">
        <v>136</v>
      </c>
      <c r="BO113" t="s">
        <v>136</v>
      </c>
      <c r="BP113" t="s">
        <v>137</v>
      </c>
      <c r="BQ113" t="s">
        <v>136</v>
      </c>
      <c r="BR113" t="s">
        <v>136</v>
      </c>
      <c r="BS113" t="s">
        <v>136</v>
      </c>
      <c r="BT113" t="s">
        <v>136</v>
      </c>
      <c r="BU113" t="s">
        <v>136</v>
      </c>
      <c r="BV113" t="s">
        <v>136</v>
      </c>
      <c r="BW113" t="s">
        <v>137</v>
      </c>
      <c r="BX113" t="s">
        <v>136</v>
      </c>
      <c r="BY113" t="s">
        <v>136</v>
      </c>
      <c r="BZ113" t="s">
        <v>136</v>
      </c>
      <c r="CA113" t="s">
        <v>136</v>
      </c>
      <c r="CB113" t="s">
        <v>136</v>
      </c>
      <c r="CC113" t="s">
        <v>136</v>
      </c>
      <c r="CD113" t="s">
        <v>137</v>
      </c>
      <c r="CE113" t="s">
        <v>136</v>
      </c>
      <c r="CF113" t="s">
        <v>136</v>
      </c>
      <c r="CG113" t="s">
        <v>136</v>
      </c>
      <c r="CH113" t="s">
        <v>136</v>
      </c>
      <c r="CI113" t="s">
        <v>136</v>
      </c>
      <c r="CJ113" t="s">
        <v>137</v>
      </c>
      <c r="CK113" t="s">
        <v>136</v>
      </c>
      <c r="CL113" t="s">
        <v>136</v>
      </c>
      <c r="CM113" t="s">
        <v>136</v>
      </c>
      <c r="CN113" t="s">
        <v>136</v>
      </c>
      <c r="CO113" t="s">
        <v>136</v>
      </c>
      <c r="CP113" t="s">
        <v>136</v>
      </c>
      <c r="CQ113" t="s">
        <v>136</v>
      </c>
      <c r="CR113" t="s">
        <v>137</v>
      </c>
      <c r="CS113" t="s">
        <v>136</v>
      </c>
      <c r="CT113" t="s">
        <v>136</v>
      </c>
      <c r="CU113" t="s">
        <v>136</v>
      </c>
      <c r="CV113" t="s">
        <v>136</v>
      </c>
      <c r="CW113" t="s">
        <v>136</v>
      </c>
    </row>
    <row r="114" spans="1:101" x14ac:dyDescent="0.25">
      <c r="A114" t="s">
        <v>56</v>
      </c>
      <c r="B114" t="s">
        <v>136</v>
      </c>
      <c r="C114" t="s">
        <v>136</v>
      </c>
      <c r="D114" t="s">
        <v>136</v>
      </c>
      <c r="E114" t="s">
        <v>136</v>
      </c>
      <c r="F114" t="s">
        <v>136</v>
      </c>
      <c r="G114" t="s">
        <v>136</v>
      </c>
      <c r="H114" t="s">
        <v>136</v>
      </c>
      <c r="I114" t="s">
        <v>136</v>
      </c>
      <c r="J114" t="s">
        <v>136</v>
      </c>
      <c r="K114" t="s">
        <v>136</v>
      </c>
      <c r="L114" t="s">
        <v>137</v>
      </c>
      <c r="M114" t="s">
        <v>136</v>
      </c>
      <c r="N114" t="s">
        <v>136</v>
      </c>
      <c r="O114" t="s">
        <v>136</v>
      </c>
      <c r="P114" t="s">
        <v>136</v>
      </c>
      <c r="Q114" t="s">
        <v>136</v>
      </c>
      <c r="R114" t="s">
        <v>136</v>
      </c>
      <c r="S114" t="s">
        <v>136</v>
      </c>
      <c r="T114" t="s">
        <v>136</v>
      </c>
      <c r="U114" t="s">
        <v>136</v>
      </c>
      <c r="V114" t="s">
        <v>136</v>
      </c>
      <c r="W114" t="s">
        <v>136</v>
      </c>
      <c r="X114" t="s">
        <v>136</v>
      </c>
      <c r="Y114" t="s">
        <v>136</v>
      </c>
      <c r="Z114" t="s">
        <v>136</v>
      </c>
      <c r="AA114" t="s">
        <v>136</v>
      </c>
      <c r="AB114" t="s">
        <v>136</v>
      </c>
      <c r="AC114" t="s">
        <v>136</v>
      </c>
      <c r="AD114" t="s">
        <v>136</v>
      </c>
      <c r="AE114" t="s">
        <v>136</v>
      </c>
      <c r="AF114" t="s">
        <v>136</v>
      </c>
      <c r="AG114" t="s">
        <v>136</v>
      </c>
      <c r="AH114" t="s">
        <v>136</v>
      </c>
      <c r="AI114" t="s">
        <v>136</v>
      </c>
      <c r="AJ114" t="s">
        <v>136</v>
      </c>
      <c r="AK114" t="s">
        <v>136</v>
      </c>
      <c r="AL114" t="s">
        <v>136</v>
      </c>
      <c r="AM114" t="s">
        <v>136</v>
      </c>
      <c r="AN114" t="s">
        <v>136</v>
      </c>
      <c r="AO114" t="s">
        <v>136</v>
      </c>
      <c r="AP114" t="s">
        <v>136</v>
      </c>
      <c r="AQ114" t="s">
        <v>136</v>
      </c>
      <c r="AR114" t="s">
        <v>136</v>
      </c>
      <c r="AS114" t="s">
        <v>136</v>
      </c>
      <c r="AT114" t="s">
        <v>136</v>
      </c>
      <c r="AU114" t="s">
        <v>136</v>
      </c>
      <c r="AV114" t="s">
        <v>136</v>
      </c>
      <c r="AW114" t="s">
        <v>136</v>
      </c>
      <c r="AX114" t="s">
        <v>136</v>
      </c>
      <c r="AY114" t="s">
        <v>136</v>
      </c>
      <c r="AZ114" t="s">
        <v>136</v>
      </c>
      <c r="BA114" t="s">
        <v>136</v>
      </c>
      <c r="BB114" t="s">
        <v>136</v>
      </c>
      <c r="BC114" t="s">
        <v>136</v>
      </c>
      <c r="BD114" t="s">
        <v>136</v>
      </c>
      <c r="BE114" t="s">
        <v>136</v>
      </c>
      <c r="BF114" t="s">
        <v>136</v>
      </c>
      <c r="BG114" t="s">
        <v>136</v>
      </c>
      <c r="BH114" t="s">
        <v>136</v>
      </c>
      <c r="BI114" t="s">
        <v>136</v>
      </c>
      <c r="BJ114" t="s">
        <v>136</v>
      </c>
      <c r="BK114" t="s">
        <v>136</v>
      </c>
      <c r="BL114" t="s">
        <v>136</v>
      </c>
      <c r="BM114" t="s">
        <v>136</v>
      </c>
      <c r="BN114" t="s">
        <v>136</v>
      </c>
      <c r="BO114" t="s">
        <v>136</v>
      </c>
      <c r="BP114" t="s">
        <v>136</v>
      </c>
      <c r="BQ114" t="s">
        <v>136</v>
      </c>
      <c r="BR114" t="s">
        <v>136</v>
      </c>
      <c r="BS114" t="s">
        <v>136</v>
      </c>
      <c r="BT114" t="s">
        <v>136</v>
      </c>
      <c r="BU114" t="s">
        <v>136</v>
      </c>
      <c r="BV114" t="s">
        <v>136</v>
      </c>
      <c r="BW114" t="s">
        <v>136</v>
      </c>
      <c r="BX114" t="s">
        <v>136</v>
      </c>
      <c r="BY114" t="s">
        <v>136</v>
      </c>
      <c r="BZ114" t="s">
        <v>136</v>
      </c>
      <c r="CA114" t="s">
        <v>136</v>
      </c>
      <c r="CB114" t="s">
        <v>136</v>
      </c>
      <c r="CC114" t="s">
        <v>136</v>
      </c>
      <c r="CD114" t="s">
        <v>136</v>
      </c>
      <c r="CE114" t="s">
        <v>136</v>
      </c>
      <c r="CF114" t="s">
        <v>136</v>
      </c>
      <c r="CG114" t="s">
        <v>136</v>
      </c>
      <c r="CH114" t="s">
        <v>136</v>
      </c>
      <c r="CI114" t="s">
        <v>136</v>
      </c>
      <c r="CJ114" t="s">
        <v>136</v>
      </c>
      <c r="CK114" t="s">
        <v>136</v>
      </c>
      <c r="CL114" t="s">
        <v>136</v>
      </c>
      <c r="CM114" t="s">
        <v>136</v>
      </c>
      <c r="CN114" t="s">
        <v>136</v>
      </c>
      <c r="CO114" t="s">
        <v>136</v>
      </c>
      <c r="CP114" t="s">
        <v>136</v>
      </c>
      <c r="CQ114" t="s">
        <v>136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136</v>
      </c>
    </row>
    <row r="115" spans="1:101" x14ac:dyDescent="0.25">
      <c r="A115" t="s">
        <v>59</v>
      </c>
      <c r="B115" t="s">
        <v>136</v>
      </c>
      <c r="C115" t="s">
        <v>136</v>
      </c>
      <c r="D115" t="s">
        <v>136</v>
      </c>
      <c r="E115" t="s">
        <v>136</v>
      </c>
      <c r="F115" t="s">
        <v>136</v>
      </c>
      <c r="G115" t="s">
        <v>136</v>
      </c>
      <c r="H115" t="s">
        <v>136</v>
      </c>
      <c r="I115" t="s">
        <v>136</v>
      </c>
      <c r="J115" t="s">
        <v>136</v>
      </c>
      <c r="K115" t="s">
        <v>136</v>
      </c>
      <c r="L115" t="s">
        <v>136</v>
      </c>
      <c r="M115" t="s">
        <v>136</v>
      </c>
      <c r="N115" t="s">
        <v>136</v>
      </c>
      <c r="O115" t="s">
        <v>136</v>
      </c>
      <c r="P115" t="s">
        <v>136</v>
      </c>
      <c r="Q115" t="s">
        <v>136</v>
      </c>
      <c r="R115" t="s">
        <v>136</v>
      </c>
      <c r="S115" t="s">
        <v>136</v>
      </c>
      <c r="T115" t="s">
        <v>136</v>
      </c>
      <c r="U115" t="s">
        <v>136</v>
      </c>
      <c r="V115" t="s">
        <v>136</v>
      </c>
      <c r="W115" t="s">
        <v>136</v>
      </c>
      <c r="X115" t="s">
        <v>136</v>
      </c>
      <c r="Y115" t="s">
        <v>136</v>
      </c>
      <c r="Z115" t="s">
        <v>136</v>
      </c>
      <c r="AA115" t="s">
        <v>136</v>
      </c>
      <c r="AB115" t="s">
        <v>136</v>
      </c>
      <c r="AC115" t="s">
        <v>136</v>
      </c>
      <c r="AD115" t="s">
        <v>136</v>
      </c>
      <c r="AE115" t="s">
        <v>136</v>
      </c>
      <c r="AF115" t="s">
        <v>136</v>
      </c>
      <c r="AG115" t="s">
        <v>137</v>
      </c>
      <c r="AH115" t="s">
        <v>136</v>
      </c>
      <c r="AI115" t="s">
        <v>136</v>
      </c>
      <c r="AJ115" t="s">
        <v>136</v>
      </c>
      <c r="AK115" t="s">
        <v>136</v>
      </c>
      <c r="AL115" t="s">
        <v>136</v>
      </c>
      <c r="AM115" t="s">
        <v>136</v>
      </c>
      <c r="AN115" t="s">
        <v>137</v>
      </c>
      <c r="AO115" t="s">
        <v>136</v>
      </c>
      <c r="AP115" t="s">
        <v>136</v>
      </c>
      <c r="AQ115" t="s">
        <v>136</v>
      </c>
      <c r="AR115" t="s">
        <v>136</v>
      </c>
      <c r="AS115" t="s">
        <v>136</v>
      </c>
      <c r="AT115" t="s">
        <v>136</v>
      </c>
      <c r="AU115" t="s">
        <v>137</v>
      </c>
      <c r="AV115" t="s">
        <v>136</v>
      </c>
      <c r="AW115" t="s">
        <v>136</v>
      </c>
      <c r="AX115" t="s">
        <v>136</v>
      </c>
      <c r="AY115" t="s">
        <v>136</v>
      </c>
      <c r="AZ115" t="s">
        <v>136</v>
      </c>
      <c r="BA115" t="s">
        <v>136</v>
      </c>
      <c r="BB115" t="s">
        <v>137</v>
      </c>
      <c r="BC115" t="s">
        <v>136</v>
      </c>
      <c r="BD115" t="s">
        <v>136</v>
      </c>
      <c r="BE115" t="s">
        <v>136</v>
      </c>
      <c r="BF115" t="s">
        <v>136</v>
      </c>
      <c r="BG115" t="s">
        <v>136</v>
      </c>
      <c r="BH115" t="s">
        <v>136</v>
      </c>
      <c r="BI115" t="s">
        <v>137</v>
      </c>
      <c r="BJ115" t="s">
        <v>136</v>
      </c>
      <c r="BK115" t="s">
        <v>136</v>
      </c>
      <c r="BL115" t="s">
        <v>136</v>
      </c>
      <c r="BM115" t="s">
        <v>136</v>
      </c>
      <c r="BN115" t="s">
        <v>136</v>
      </c>
      <c r="BO115" t="s">
        <v>136</v>
      </c>
      <c r="BP115" t="s">
        <v>137</v>
      </c>
      <c r="BQ115" t="s">
        <v>136</v>
      </c>
      <c r="BR115" t="s">
        <v>136</v>
      </c>
      <c r="BS115" t="s">
        <v>136</v>
      </c>
      <c r="BT115" t="s">
        <v>136</v>
      </c>
      <c r="BU115" t="s">
        <v>136</v>
      </c>
      <c r="BV115" t="s">
        <v>136</v>
      </c>
      <c r="BW115" t="s">
        <v>137</v>
      </c>
      <c r="BX115" t="s">
        <v>136</v>
      </c>
      <c r="BY115" t="s">
        <v>136</v>
      </c>
      <c r="BZ115" t="s">
        <v>136</v>
      </c>
      <c r="CA115" t="s">
        <v>136</v>
      </c>
      <c r="CB115" t="s">
        <v>136</v>
      </c>
      <c r="CC115" t="s">
        <v>136</v>
      </c>
      <c r="CD115" t="s">
        <v>137</v>
      </c>
      <c r="CE115" t="s">
        <v>136</v>
      </c>
      <c r="CF115" t="s">
        <v>136</v>
      </c>
      <c r="CG115" t="s">
        <v>136</v>
      </c>
      <c r="CH115" t="s">
        <v>136</v>
      </c>
      <c r="CI115" t="s">
        <v>136</v>
      </c>
      <c r="CJ115" t="s">
        <v>137</v>
      </c>
      <c r="CK115" t="s">
        <v>136</v>
      </c>
      <c r="CL115" t="s">
        <v>136</v>
      </c>
      <c r="CM115" t="s">
        <v>136</v>
      </c>
      <c r="CN115" t="s">
        <v>136</v>
      </c>
      <c r="CO115" t="s">
        <v>136</v>
      </c>
      <c r="CP115" t="s">
        <v>136</v>
      </c>
      <c r="CQ115" t="s">
        <v>136</v>
      </c>
      <c r="CR115" t="s">
        <v>137</v>
      </c>
      <c r="CS115" t="s">
        <v>136</v>
      </c>
      <c r="CT115" t="s">
        <v>136</v>
      </c>
      <c r="CU115" t="s">
        <v>136</v>
      </c>
      <c r="CV115" t="s">
        <v>136</v>
      </c>
      <c r="CW115" t="s">
        <v>136</v>
      </c>
    </row>
    <row r="116" spans="1:101" x14ac:dyDescent="0.25">
      <c r="A116" t="s">
        <v>54</v>
      </c>
      <c r="B116" t="s">
        <v>136</v>
      </c>
      <c r="C116" t="s">
        <v>136</v>
      </c>
      <c r="D116" t="s">
        <v>136</v>
      </c>
      <c r="E116" t="s">
        <v>136</v>
      </c>
      <c r="F116" t="s">
        <v>136</v>
      </c>
      <c r="G116" t="s">
        <v>136</v>
      </c>
      <c r="H116" t="s">
        <v>136</v>
      </c>
      <c r="I116" t="s">
        <v>136</v>
      </c>
      <c r="J116" t="s">
        <v>136</v>
      </c>
      <c r="K116" t="s">
        <v>136</v>
      </c>
      <c r="L116" t="s">
        <v>137</v>
      </c>
      <c r="M116" t="s">
        <v>136</v>
      </c>
      <c r="N116" t="s">
        <v>136</v>
      </c>
      <c r="O116" t="s">
        <v>136</v>
      </c>
      <c r="P116" t="s">
        <v>137</v>
      </c>
      <c r="Q116" t="s">
        <v>136</v>
      </c>
      <c r="R116" t="s">
        <v>136</v>
      </c>
      <c r="S116" t="s">
        <v>136</v>
      </c>
      <c r="T116" t="s">
        <v>137</v>
      </c>
      <c r="U116" t="s">
        <v>136</v>
      </c>
      <c r="V116" t="s">
        <v>136</v>
      </c>
      <c r="W116" t="s">
        <v>136</v>
      </c>
      <c r="X116" t="s">
        <v>136</v>
      </c>
      <c r="Y116" t="s">
        <v>137</v>
      </c>
      <c r="Z116" t="s">
        <v>136</v>
      </c>
      <c r="AA116" t="s">
        <v>136</v>
      </c>
      <c r="AB116" t="s">
        <v>136</v>
      </c>
      <c r="AC116" t="s">
        <v>136</v>
      </c>
      <c r="AD116" t="s">
        <v>136</v>
      </c>
      <c r="AE116" t="s">
        <v>136</v>
      </c>
      <c r="AF116" t="s">
        <v>137</v>
      </c>
      <c r="AG116" t="s">
        <v>136</v>
      </c>
      <c r="AH116" t="s">
        <v>136</v>
      </c>
      <c r="AI116" t="s">
        <v>136</v>
      </c>
      <c r="AJ116" t="s">
        <v>136</v>
      </c>
      <c r="AK116" t="s">
        <v>136</v>
      </c>
      <c r="AL116" t="s">
        <v>137</v>
      </c>
      <c r="AM116" t="s">
        <v>136</v>
      </c>
      <c r="AN116" t="s">
        <v>136</v>
      </c>
      <c r="AO116" t="s">
        <v>136</v>
      </c>
      <c r="AP116" t="s">
        <v>136</v>
      </c>
      <c r="AQ116" t="s">
        <v>136</v>
      </c>
      <c r="AR116" t="s">
        <v>136</v>
      </c>
      <c r="AS116" t="s">
        <v>136</v>
      </c>
      <c r="AT116" t="s">
        <v>137</v>
      </c>
      <c r="AU116" t="s">
        <v>136</v>
      </c>
      <c r="AV116" t="s">
        <v>136</v>
      </c>
      <c r="AW116" t="s">
        <v>136</v>
      </c>
      <c r="AX116" t="s">
        <v>136</v>
      </c>
      <c r="AY116" t="s">
        <v>136</v>
      </c>
      <c r="AZ116" t="s">
        <v>136</v>
      </c>
      <c r="BA116" t="s">
        <v>137</v>
      </c>
      <c r="BB116" t="s">
        <v>136</v>
      </c>
      <c r="BC116" t="s">
        <v>136</v>
      </c>
      <c r="BD116" t="s">
        <v>136</v>
      </c>
      <c r="BE116" t="s">
        <v>136</v>
      </c>
      <c r="BF116" t="s">
        <v>136</v>
      </c>
      <c r="BG116" t="s">
        <v>136</v>
      </c>
      <c r="BH116" t="s">
        <v>137</v>
      </c>
      <c r="BI116" t="s">
        <v>136</v>
      </c>
      <c r="BJ116" t="s">
        <v>136</v>
      </c>
      <c r="BK116" t="s">
        <v>136</v>
      </c>
      <c r="BL116" t="s">
        <v>136</v>
      </c>
      <c r="BM116" t="s">
        <v>136</v>
      </c>
      <c r="BN116" t="s">
        <v>137</v>
      </c>
      <c r="BO116" t="s">
        <v>136</v>
      </c>
      <c r="BP116" t="s">
        <v>136</v>
      </c>
      <c r="BQ116" t="s">
        <v>136</v>
      </c>
      <c r="BR116" t="s">
        <v>136</v>
      </c>
      <c r="BS116" t="s">
        <v>136</v>
      </c>
      <c r="BT116" t="s">
        <v>136</v>
      </c>
      <c r="BU116" t="s">
        <v>136</v>
      </c>
      <c r="BV116" t="s">
        <v>136</v>
      </c>
      <c r="BW116" t="s">
        <v>136</v>
      </c>
      <c r="BX116" t="s">
        <v>136</v>
      </c>
      <c r="BY116" t="s">
        <v>136</v>
      </c>
      <c r="BZ116" t="s">
        <v>136</v>
      </c>
      <c r="CA116" t="s">
        <v>136</v>
      </c>
      <c r="CB116" t="s">
        <v>136</v>
      </c>
      <c r="CC116" t="s">
        <v>136</v>
      </c>
      <c r="CD116" t="s">
        <v>136</v>
      </c>
      <c r="CE116" t="s">
        <v>136</v>
      </c>
      <c r="CF116" t="s">
        <v>136</v>
      </c>
      <c r="CG116" t="s">
        <v>136</v>
      </c>
      <c r="CH116" t="s">
        <v>136</v>
      </c>
      <c r="CI116" t="s">
        <v>136</v>
      </c>
      <c r="CJ116" t="s">
        <v>136</v>
      </c>
      <c r="CK116" t="s">
        <v>136</v>
      </c>
      <c r="CL116" t="s">
        <v>136</v>
      </c>
      <c r="CM116" t="s">
        <v>136</v>
      </c>
      <c r="CN116" t="s">
        <v>136</v>
      </c>
      <c r="CO116" t="s">
        <v>136</v>
      </c>
      <c r="CP116" t="s">
        <v>137</v>
      </c>
      <c r="CQ116" t="s">
        <v>136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136</v>
      </c>
    </row>
    <row r="117" spans="1:101" x14ac:dyDescent="0.25">
      <c r="A117" t="s">
        <v>55</v>
      </c>
      <c r="B117" t="s">
        <v>136</v>
      </c>
      <c r="C117" t="s">
        <v>136</v>
      </c>
      <c r="D117" t="s">
        <v>136</v>
      </c>
      <c r="E117" t="s">
        <v>136</v>
      </c>
      <c r="F117" t="s">
        <v>136</v>
      </c>
      <c r="G117" t="s">
        <v>136</v>
      </c>
      <c r="H117" t="s">
        <v>136</v>
      </c>
      <c r="I117" t="s">
        <v>136</v>
      </c>
      <c r="J117" t="s">
        <v>136</v>
      </c>
      <c r="K117" t="s">
        <v>136</v>
      </c>
      <c r="L117" t="s">
        <v>137</v>
      </c>
      <c r="M117" t="s">
        <v>136</v>
      </c>
      <c r="N117" t="s">
        <v>136</v>
      </c>
      <c r="O117" t="s">
        <v>136</v>
      </c>
      <c r="P117" t="s">
        <v>137</v>
      </c>
      <c r="Q117" t="s">
        <v>136</v>
      </c>
      <c r="R117" t="s">
        <v>136</v>
      </c>
      <c r="S117" t="s">
        <v>136</v>
      </c>
      <c r="T117" t="s">
        <v>137</v>
      </c>
      <c r="U117" t="s">
        <v>136</v>
      </c>
      <c r="V117" t="s">
        <v>136</v>
      </c>
      <c r="W117" t="s">
        <v>136</v>
      </c>
      <c r="X117" t="s">
        <v>136</v>
      </c>
      <c r="Y117" t="s">
        <v>136</v>
      </c>
      <c r="Z117" t="s">
        <v>136</v>
      </c>
      <c r="AA117" t="s">
        <v>136</v>
      </c>
      <c r="AB117" t="s">
        <v>136</v>
      </c>
      <c r="AC117" t="s">
        <v>136</v>
      </c>
      <c r="AD117" t="s">
        <v>136</v>
      </c>
      <c r="AE117" t="s">
        <v>136</v>
      </c>
      <c r="AF117" t="s">
        <v>137</v>
      </c>
      <c r="AG117" t="s">
        <v>136</v>
      </c>
      <c r="AH117" t="s">
        <v>136</v>
      </c>
      <c r="AI117" t="s">
        <v>136</v>
      </c>
      <c r="AJ117" t="s">
        <v>136</v>
      </c>
      <c r="AK117" t="s">
        <v>136</v>
      </c>
      <c r="AL117" t="s">
        <v>137</v>
      </c>
      <c r="AM117" t="s">
        <v>136</v>
      </c>
      <c r="AN117" t="s">
        <v>136</v>
      </c>
      <c r="AO117" t="s">
        <v>136</v>
      </c>
      <c r="AP117" t="s">
        <v>136</v>
      </c>
      <c r="AQ117" t="s">
        <v>136</v>
      </c>
      <c r="AR117" t="s">
        <v>136</v>
      </c>
      <c r="AS117" t="s">
        <v>136</v>
      </c>
      <c r="AT117" t="s">
        <v>137</v>
      </c>
      <c r="AU117" t="s">
        <v>136</v>
      </c>
      <c r="AV117" t="s">
        <v>136</v>
      </c>
      <c r="AW117" t="s">
        <v>136</v>
      </c>
      <c r="AX117" t="s">
        <v>136</v>
      </c>
      <c r="AY117" t="s">
        <v>136</v>
      </c>
      <c r="AZ117" t="s">
        <v>136</v>
      </c>
      <c r="BA117" t="s">
        <v>136</v>
      </c>
      <c r="BB117" t="s">
        <v>136</v>
      </c>
      <c r="BC117" t="s">
        <v>136</v>
      </c>
      <c r="BD117" t="s">
        <v>136</v>
      </c>
      <c r="BE117" t="s">
        <v>136</v>
      </c>
      <c r="BF117" t="s">
        <v>136</v>
      </c>
      <c r="BG117" t="s">
        <v>136</v>
      </c>
      <c r="BH117" t="s">
        <v>136</v>
      </c>
      <c r="BI117" t="s">
        <v>136</v>
      </c>
      <c r="BJ117" t="s">
        <v>136</v>
      </c>
      <c r="BK117" t="s">
        <v>136</v>
      </c>
      <c r="BL117" t="s">
        <v>136</v>
      </c>
      <c r="BM117" t="s">
        <v>136</v>
      </c>
      <c r="BN117" t="s">
        <v>136</v>
      </c>
      <c r="BO117" t="s">
        <v>136</v>
      </c>
      <c r="BP117" t="s">
        <v>136</v>
      </c>
      <c r="BQ117" t="s">
        <v>136</v>
      </c>
      <c r="BR117" t="s">
        <v>136</v>
      </c>
      <c r="BS117" t="s">
        <v>136</v>
      </c>
      <c r="BT117" t="s">
        <v>136</v>
      </c>
      <c r="BU117" t="s">
        <v>136</v>
      </c>
      <c r="BV117" t="s">
        <v>137</v>
      </c>
      <c r="BW117" t="s">
        <v>136</v>
      </c>
      <c r="BX117" t="s">
        <v>136</v>
      </c>
      <c r="BY117" t="s">
        <v>136</v>
      </c>
      <c r="BZ117" t="s">
        <v>136</v>
      </c>
      <c r="CA117" t="s">
        <v>136</v>
      </c>
      <c r="CB117" t="s">
        <v>137</v>
      </c>
      <c r="CC117" t="s">
        <v>136</v>
      </c>
      <c r="CD117" t="s">
        <v>136</v>
      </c>
      <c r="CE117" t="s">
        <v>136</v>
      </c>
      <c r="CF117" t="s">
        <v>136</v>
      </c>
      <c r="CG117" t="s">
        <v>136</v>
      </c>
      <c r="CH117" t="s">
        <v>136</v>
      </c>
      <c r="CI117" t="s">
        <v>137</v>
      </c>
      <c r="CJ117" t="s">
        <v>136</v>
      </c>
      <c r="CK117" t="s">
        <v>136</v>
      </c>
      <c r="CL117" t="s">
        <v>136</v>
      </c>
      <c r="CM117" t="s">
        <v>136</v>
      </c>
      <c r="CN117" t="s">
        <v>136</v>
      </c>
      <c r="CO117" t="s">
        <v>136</v>
      </c>
      <c r="CP117" t="s">
        <v>137</v>
      </c>
      <c r="CQ117" t="s">
        <v>136</v>
      </c>
      <c r="CR117" t="s">
        <v>136</v>
      </c>
      <c r="CS117" t="s">
        <v>136</v>
      </c>
      <c r="CT117" t="s">
        <v>136</v>
      </c>
      <c r="CU117" t="s">
        <v>136</v>
      </c>
      <c r="CV117" t="s">
        <v>136</v>
      </c>
      <c r="CW117" t="s">
        <v>136</v>
      </c>
    </row>
  </sheetData>
  <autoFilter ref="A16:CW82" xr:uid="{84A726D0-D838-4FC1-830E-6DE0E843CD82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5A361FC52636644AF018940F5BBAE47" ma:contentTypeVersion="16" ma:contentTypeDescription="Ein neues Dokument erstellen." ma:contentTypeScope="" ma:versionID="cd1529957c7d17fe4a80e725ffea5175">
  <xsd:schema xmlns:xsd="http://www.w3.org/2001/XMLSchema" xmlns:xs="http://www.w3.org/2001/XMLSchema" xmlns:p="http://schemas.microsoft.com/office/2006/metadata/properties" xmlns:ns2="e8c9f281-3412-4e7c-aa99-f11e77b29808" xmlns:ns3="12b2bc4a-8c05-4ac9-8444-39aa43079f4e" targetNamespace="http://schemas.microsoft.com/office/2006/metadata/properties" ma:root="true" ma:fieldsID="d684b0cbbc2c5e1d636bbda5fbd3ff3e" ns2:_="" ns3:_="">
    <xsd:import namespace="e8c9f281-3412-4e7c-aa99-f11e77b29808"/>
    <xsd:import namespace="12b2bc4a-8c05-4ac9-8444-39aa43079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9f281-3412-4e7c-aa99-f11e77b29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2bc4a-8c05-4ac9-8444-39aa43079f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2c757e8-f5ca-42fb-966e-1bf4dd28d8b4}" ma:internalName="TaxCatchAll" ma:showField="CatchAllData" ma:web="12b2bc4a-8c05-4ac9-8444-39aa43079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b2bc4a-8c05-4ac9-8444-39aa43079f4e" xsi:nil="true"/>
    <lcf76f155ced4ddcb4097134ff3c332f xmlns="e8c9f281-3412-4e7c-aa99-f11e77b298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F982DE-20D1-4728-BD65-5F6C5AF6F711}"/>
</file>

<file path=customXml/itemProps2.xml><?xml version="1.0" encoding="utf-8"?>
<ds:datastoreItem xmlns:ds="http://schemas.openxmlformats.org/officeDocument/2006/customXml" ds:itemID="{4B0EABF8-F36C-463A-9A2F-5E2740E446F6}"/>
</file>

<file path=customXml/itemProps3.xml><?xml version="1.0" encoding="utf-8"?>
<ds:datastoreItem xmlns:ds="http://schemas.openxmlformats.org/officeDocument/2006/customXml" ds:itemID="{27DCD723-8DF5-4D8B-8109-D5A89D11E2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Cladocera_small</vt:lpstr>
      <vt:lpstr>Daphnidae</vt:lpstr>
      <vt:lpstr>raw_data_effect</vt:lpstr>
      <vt:lpstr>no_effect</vt:lpstr>
      <vt:lpstr>raw_data_no_effect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OConnor, Isabel</cp:lastModifiedBy>
  <dcterms:created xsi:type="dcterms:W3CDTF">2022-02-22T18:19:44Z</dcterms:created>
  <dcterms:modified xsi:type="dcterms:W3CDTF">2023-04-18T17:10:21Z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0x01010065A361FC52636644AF018940F5BBAE47</vt:lpwstr>
  </property>
</Properties>
</file>