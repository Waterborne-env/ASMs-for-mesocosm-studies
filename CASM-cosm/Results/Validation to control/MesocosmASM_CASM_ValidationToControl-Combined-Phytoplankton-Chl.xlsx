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Validation\"/>
    </mc:Choice>
  </mc:AlternateContent>
  <xr:revisionPtr revIDLastSave="0" documentId="13_ncr:1_{40E52342-95BD-4821-A2F5-9F112E9A59F9}" xr6:coauthVersionLast="47" xr6:coauthVersionMax="47" xr10:uidLastSave="{00000000-0000-0000-0000-000000000000}"/>
  <bookViews>
    <workbookView xWindow="32550" yWindow="720" windowWidth="20115" windowHeight="12480" activeTab="3" xr2:uid="{786FDAE4-91A1-4D0C-9304-2453F53A4C25}"/>
  </bookViews>
  <sheets>
    <sheet name="Diatoms" sheetId="1" r:id="rId1"/>
    <sheet name="Blue greens" sheetId="2" r:id="rId2"/>
    <sheet name="Cryptophytes" sheetId="3" r:id="rId3"/>
    <sheet name="Greens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8" i="4" l="1"/>
  <c r="J67" i="4"/>
  <c r="J66" i="4"/>
  <c r="J68" i="1"/>
  <c r="J67" i="1"/>
  <c r="J66" i="1"/>
  <c r="K68" i="3"/>
  <c r="K67" i="3"/>
  <c r="K66" i="3"/>
  <c r="K68" i="2"/>
  <c r="K67" i="2"/>
  <c r="K66" i="2"/>
  <c r="I68" i="4"/>
  <c r="I67" i="4"/>
  <c r="I66" i="4"/>
  <c r="I68" i="1"/>
  <c r="I67" i="1"/>
  <c r="I66" i="1"/>
  <c r="J68" i="3"/>
  <c r="J67" i="3"/>
  <c r="J66" i="3"/>
  <c r="J68" i="2"/>
  <c r="J67" i="2"/>
  <c r="J66" i="2"/>
  <c r="K68" i="4"/>
  <c r="K67" i="4"/>
  <c r="K66" i="4"/>
  <c r="K68" i="1"/>
  <c r="K67" i="1"/>
  <c r="K66" i="1"/>
  <c r="L68" i="3"/>
  <c r="L67" i="3"/>
  <c r="L66" i="3"/>
  <c r="L68" i="2"/>
  <c r="L67" i="2"/>
  <c r="L66" i="2"/>
  <c r="F68" i="1"/>
  <c r="E68" i="1"/>
  <c r="D68" i="1"/>
  <c r="F67" i="1"/>
  <c r="E67" i="1"/>
  <c r="D67" i="1"/>
  <c r="F66" i="1"/>
  <c r="E66" i="1"/>
  <c r="D66" i="1"/>
  <c r="C68" i="1"/>
  <c r="C67" i="1"/>
  <c r="C66" i="1"/>
  <c r="F68" i="2"/>
  <c r="E68" i="2"/>
  <c r="D68" i="2"/>
  <c r="F67" i="2"/>
  <c r="E67" i="2"/>
  <c r="D67" i="2"/>
  <c r="F66" i="2"/>
  <c r="E66" i="2"/>
  <c r="D66" i="2"/>
  <c r="C68" i="2"/>
  <c r="C67" i="2"/>
  <c r="C66" i="2"/>
  <c r="F68" i="3"/>
  <c r="E68" i="3"/>
  <c r="D68" i="3"/>
  <c r="F67" i="3"/>
  <c r="E67" i="3"/>
  <c r="D67" i="3"/>
  <c r="F66" i="3"/>
  <c r="E66" i="3"/>
  <c r="D66" i="3"/>
  <c r="C68" i="3"/>
  <c r="C67" i="3"/>
  <c r="C66" i="3"/>
  <c r="F68" i="4"/>
  <c r="E68" i="4"/>
  <c r="D68" i="4"/>
  <c r="F67" i="4"/>
  <c r="E67" i="4"/>
  <c r="D67" i="4"/>
  <c r="F66" i="4"/>
  <c r="E66" i="4"/>
  <c r="D66" i="4"/>
  <c r="C68" i="4"/>
  <c r="C67" i="4"/>
  <c r="C66" i="4"/>
</calcChain>
</file>

<file path=xl/sharedStrings.xml><?xml version="1.0" encoding="utf-8"?>
<sst xmlns="http://schemas.openxmlformats.org/spreadsheetml/2006/main" count="48" uniqueCount="12">
  <si>
    <t>14-a</t>
  </si>
  <si>
    <t>16-a</t>
  </si>
  <si>
    <t>18-c</t>
  </si>
  <si>
    <t>19-b</t>
  </si>
  <si>
    <t>Control</t>
  </si>
  <si>
    <t>DOY</t>
  </si>
  <si>
    <t>Mean</t>
  </si>
  <si>
    <t>Min</t>
  </si>
  <si>
    <t>Max</t>
  </si>
  <si>
    <t>18-a</t>
  </si>
  <si>
    <t>18-b</t>
  </si>
  <si>
    <t>19-a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</si>
</sst>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2" fillId="0" borderId="0" xfId="1" applyNumberFormat="1" applyFont="1" applyBorder="1" applyAlignment="1">
      <alignment horizontal="center" wrapText="1"/>
    </xf>
    <xf numFmtId="0" fontId="0" fillId="0" borderId="0" xfId="0" applyBorder="1"/>
    <xf numFmtId="1" fontId="2" fillId="0" borderId="0" xfId="1" applyNumberFormat="1" applyFont="1" applyBorder="1" applyAlignment="1">
      <alignment horizontal="center" wrapText="1"/>
    </xf>
    <xf numFmtId="1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2" fontId="4" fillId="0" borderId="0" xfId="1" applyNumberFormat="1" applyFont="1" applyBorder="1" applyAlignment="1">
      <alignment horizontal="right" wrapText="1"/>
    </xf>
    <xf numFmtId="0" fontId="0" fillId="0" borderId="0" xfId="0" applyFont="1" applyBorder="1" applyAlignment="1">
      <alignment horizontal="center"/>
    </xf>
    <xf numFmtId="2" fontId="4" fillId="0" borderId="0" xfId="2" applyNumberFormat="1" applyFont="1" applyBorder="1" applyAlignment="1">
      <alignment horizontal="right" wrapText="1"/>
    </xf>
    <xf numFmtId="2" fontId="0" fillId="0" borderId="0" xfId="0" applyNumberFormat="1" applyFont="1" applyBorder="1"/>
    <xf numFmtId="0" fontId="0" fillId="0" borderId="0" xfId="0" applyFill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Standard_Tabelle1" xfId="1" xr:uid="{A8BF1D18-98CB-43B7-987C-28DF7957FE39}"/>
    <cellStyle name="Standard_Tabelle2" xfId="2" xr:uid="{BA9F0686-0898-4F1B-80E6-F0A8D3202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diatoms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Diatoms!$B$5:$B$64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Diatoms!$C$5:$C$64</c:f>
              <c:numCache>
                <c:formatCode>0.00</c:formatCode>
                <c:ptCount val="60"/>
                <c:pt idx="0">
                  <c:v>1.46</c:v>
                </c:pt>
                <c:pt idx="2">
                  <c:v>0.66999999999999993</c:v>
                </c:pt>
                <c:pt idx="6">
                  <c:v>2.8200000000000003</c:v>
                </c:pt>
                <c:pt idx="8">
                  <c:v>1.63</c:v>
                </c:pt>
                <c:pt idx="10">
                  <c:v>1.4833333333333334</c:v>
                </c:pt>
                <c:pt idx="16">
                  <c:v>1.4316666666666666</c:v>
                </c:pt>
                <c:pt idx="23">
                  <c:v>1.3949999999999998</c:v>
                </c:pt>
                <c:pt idx="32">
                  <c:v>1.3583333333333332</c:v>
                </c:pt>
                <c:pt idx="40">
                  <c:v>1.2483333333333333</c:v>
                </c:pt>
                <c:pt idx="48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2-4B57-8BEF-EBB0192E5DCA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Diatoms!$B$5:$B$64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Diatoms!$D$5:$D$64</c:f>
              <c:numCache>
                <c:formatCode>General</c:formatCode>
                <c:ptCount val="60"/>
                <c:pt idx="18">
                  <c:v>2.79</c:v>
                </c:pt>
                <c:pt idx="22">
                  <c:v>3.08</c:v>
                </c:pt>
                <c:pt idx="28">
                  <c:v>2.5</c:v>
                </c:pt>
                <c:pt idx="31">
                  <c:v>2.5299999999999998</c:v>
                </c:pt>
                <c:pt idx="40">
                  <c:v>3.82</c:v>
                </c:pt>
                <c:pt idx="47">
                  <c:v>6.72</c:v>
                </c:pt>
                <c:pt idx="54" formatCode="0.00">
                  <c:v>4.3916666666666666</c:v>
                </c:pt>
                <c:pt idx="58" formatCode="0.00">
                  <c:v>5.9016666666666664</c:v>
                </c:pt>
                <c:pt idx="59" formatCode="0.00">
                  <c:v>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42-4B57-8BEF-EBB0192E5DCA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Diatoms!$B$5:$B$64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Diatoms!$E$5:$E$64</c:f>
              <c:numCache>
                <c:formatCode>General</c:formatCode>
                <c:ptCount val="60"/>
                <c:pt idx="4">
                  <c:v>1.17</c:v>
                </c:pt>
                <c:pt idx="6">
                  <c:v>1.67</c:v>
                </c:pt>
                <c:pt idx="8">
                  <c:v>2.62</c:v>
                </c:pt>
                <c:pt idx="11">
                  <c:v>1.27</c:v>
                </c:pt>
                <c:pt idx="16">
                  <c:v>1.54</c:v>
                </c:pt>
                <c:pt idx="19">
                  <c:v>2.5499999999999998</c:v>
                </c:pt>
                <c:pt idx="25">
                  <c:v>2.36</c:v>
                </c:pt>
                <c:pt idx="29">
                  <c:v>4.45</c:v>
                </c:pt>
                <c:pt idx="34">
                  <c:v>2.84</c:v>
                </c:pt>
                <c:pt idx="37">
                  <c:v>1.1499999999999999</c:v>
                </c:pt>
                <c:pt idx="43">
                  <c:v>4.33</c:v>
                </c:pt>
                <c:pt idx="45">
                  <c:v>2.83</c:v>
                </c:pt>
                <c:pt idx="49">
                  <c:v>7.02</c:v>
                </c:pt>
                <c:pt idx="52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42-4B57-8BEF-EBB0192E5DCA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Diatoms!$B$5:$B$64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Diatoms!$F$5:$F$64</c:f>
              <c:numCache>
                <c:formatCode>General</c:formatCode>
                <c:ptCount val="60"/>
                <c:pt idx="8">
                  <c:v>0.59</c:v>
                </c:pt>
                <c:pt idx="11">
                  <c:v>0.49</c:v>
                </c:pt>
                <c:pt idx="13">
                  <c:v>1.01</c:v>
                </c:pt>
                <c:pt idx="15">
                  <c:v>1.54</c:v>
                </c:pt>
                <c:pt idx="18">
                  <c:v>1.38</c:v>
                </c:pt>
                <c:pt idx="20">
                  <c:v>1.87</c:v>
                </c:pt>
                <c:pt idx="26">
                  <c:v>1.47</c:v>
                </c:pt>
                <c:pt idx="29">
                  <c:v>1.76</c:v>
                </c:pt>
                <c:pt idx="35">
                  <c:v>2.98</c:v>
                </c:pt>
                <c:pt idx="38">
                  <c:v>3.44</c:v>
                </c:pt>
                <c:pt idx="43">
                  <c:v>3.55</c:v>
                </c:pt>
                <c:pt idx="45">
                  <c:v>2.44</c:v>
                </c:pt>
                <c:pt idx="50">
                  <c:v>3.19</c:v>
                </c:pt>
                <c:pt idx="52">
                  <c:v>2.09</c:v>
                </c:pt>
                <c:pt idx="55">
                  <c:v>2.65</c:v>
                </c:pt>
                <c:pt idx="57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42-4B57-8BEF-EBB0192E5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blue greens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'Blue greens'!$B$5:$B$64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'Blue greens'!$C$5:$C$64</c:f>
              <c:numCache>
                <c:formatCode>0.00</c:formatCode>
                <c:ptCount val="60"/>
                <c:pt idx="0">
                  <c:v>0.08</c:v>
                </c:pt>
                <c:pt idx="2">
                  <c:v>0.12</c:v>
                </c:pt>
                <c:pt idx="6">
                  <c:v>0.49</c:v>
                </c:pt>
                <c:pt idx="8">
                  <c:v>0.33</c:v>
                </c:pt>
                <c:pt idx="10">
                  <c:v>0.64</c:v>
                </c:pt>
                <c:pt idx="16">
                  <c:v>0.73</c:v>
                </c:pt>
                <c:pt idx="23">
                  <c:v>0.55000000000000004</c:v>
                </c:pt>
                <c:pt idx="32">
                  <c:v>0.52</c:v>
                </c:pt>
                <c:pt idx="48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2-45B4-A524-D03E18EC7A61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'Blue greens'!$B$5:$B$64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'Blue greens'!$D$5:$D$64</c:f>
              <c:numCache>
                <c:formatCode>General</c:formatCode>
                <c:ptCount val="60"/>
                <c:pt idx="18">
                  <c:v>1.28</c:v>
                </c:pt>
                <c:pt idx="22">
                  <c:v>1.9</c:v>
                </c:pt>
                <c:pt idx="28">
                  <c:v>1.52</c:v>
                </c:pt>
                <c:pt idx="31">
                  <c:v>0.88</c:v>
                </c:pt>
                <c:pt idx="40">
                  <c:v>3.17</c:v>
                </c:pt>
                <c:pt idx="47">
                  <c:v>6.08</c:v>
                </c:pt>
                <c:pt idx="54" formatCode="0.00">
                  <c:v>3.59</c:v>
                </c:pt>
                <c:pt idx="58" formatCode="0.00">
                  <c:v>5.58</c:v>
                </c:pt>
                <c:pt idx="59" formatCode="0.00">
                  <c:v>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92-45B4-A524-D03E18EC7A61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'Blue greens'!$B$5:$B$64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'Blue greens'!$E$5:$E$64</c:f>
              <c:numCache>
                <c:formatCode>General</c:formatCode>
                <c:ptCount val="60"/>
                <c:pt idx="4">
                  <c:v>0.86</c:v>
                </c:pt>
                <c:pt idx="6">
                  <c:v>2.13</c:v>
                </c:pt>
                <c:pt idx="8">
                  <c:v>1.36</c:v>
                </c:pt>
                <c:pt idx="11">
                  <c:v>0.96</c:v>
                </c:pt>
                <c:pt idx="16">
                  <c:v>1.2</c:v>
                </c:pt>
                <c:pt idx="19">
                  <c:v>2.48</c:v>
                </c:pt>
                <c:pt idx="25">
                  <c:v>1.72</c:v>
                </c:pt>
                <c:pt idx="29">
                  <c:v>3.78</c:v>
                </c:pt>
                <c:pt idx="34">
                  <c:v>2.8</c:v>
                </c:pt>
                <c:pt idx="37">
                  <c:v>0.96</c:v>
                </c:pt>
                <c:pt idx="43">
                  <c:v>3.07</c:v>
                </c:pt>
                <c:pt idx="45">
                  <c:v>2.81</c:v>
                </c:pt>
                <c:pt idx="49">
                  <c:v>6.34</c:v>
                </c:pt>
                <c:pt idx="52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92-45B4-A524-D03E18EC7A61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'Blue greens'!$B$5:$B$64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236</c:v>
                </c:pt>
                <c:pt idx="54">
                  <c:v>238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'Blue greens'!$F$5:$F$64</c:f>
              <c:numCache>
                <c:formatCode>General</c:formatCode>
                <c:ptCount val="60"/>
                <c:pt idx="8">
                  <c:v>0.28000000000000003</c:v>
                </c:pt>
                <c:pt idx="11">
                  <c:v>0.31</c:v>
                </c:pt>
                <c:pt idx="13">
                  <c:v>0.51</c:v>
                </c:pt>
                <c:pt idx="15">
                  <c:v>0.54</c:v>
                </c:pt>
                <c:pt idx="18">
                  <c:v>0.56999999999999995</c:v>
                </c:pt>
                <c:pt idx="20">
                  <c:v>0.85</c:v>
                </c:pt>
                <c:pt idx="26">
                  <c:v>0.64</c:v>
                </c:pt>
                <c:pt idx="29">
                  <c:v>0.79</c:v>
                </c:pt>
                <c:pt idx="35">
                  <c:v>1.8</c:v>
                </c:pt>
                <c:pt idx="38">
                  <c:v>2.61</c:v>
                </c:pt>
                <c:pt idx="43">
                  <c:v>2.93</c:v>
                </c:pt>
                <c:pt idx="45">
                  <c:v>2.09</c:v>
                </c:pt>
                <c:pt idx="52">
                  <c:v>2.14</c:v>
                </c:pt>
                <c:pt idx="55">
                  <c:v>2.58</c:v>
                </c:pt>
                <c:pt idx="57">
                  <c:v>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92-45B4-A524-D03E18EC7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cryptophytes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Cryptophytes!$B$5:$B$64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Cryptophytes!$C$5:$C$64</c:f>
              <c:numCache>
                <c:formatCode>0.00</c:formatCode>
                <c:ptCount val="60"/>
                <c:pt idx="0">
                  <c:v>0.98</c:v>
                </c:pt>
                <c:pt idx="2">
                  <c:v>0.27</c:v>
                </c:pt>
                <c:pt idx="6">
                  <c:v>2.2000000000000002</c:v>
                </c:pt>
                <c:pt idx="8">
                  <c:v>1.38</c:v>
                </c:pt>
                <c:pt idx="10">
                  <c:v>1.04</c:v>
                </c:pt>
                <c:pt idx="16">
                  <c:v>0.41</c:v>
                </c:pt>
                <c:pt idx="23">
                  <c:v>0.63</c:v>
                </c:pt>
                <c:pt idx="32">
                  <c:v>0.52</c:v>
                </c:pt>
                <c:pt idx="40">
                  <c:v>0.84</c:v>
                </c:pt>
                <c:pt idx="48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8-4A99-BD6B-DFBCDEDEED47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Cryptophytes!$B$5:$B$64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Cryptophytes!$D$5:$D$64</c:f>
              <c:numCache>
                <c:formatCode>General</c:formatCode>
                <c:ptCount val="60"/>
                <c:pt idx="18">
                  <c:v>3.31</c:v>
                </c:pt>
                <c:pt idx="22">
                  <c:v>2.61</c:v>
                </c:pt>
                <c:pt idx="28">
                  <c:v>0.08</c:v>
                </c:pt>
                <c:pt idx="31">
                  <c:v>1.23</c:v>
                </c:pt>
                <c:pt idx="40">
                  <c:v>5.24</c:v>
                </c:pt>
                <c:pt idx="47">
                  <c:v>1.46</c:v>
                </c:pt>
                <c:pt idx="53" formatCode="0.00">
                  <c:v>0.98</c:v>
                </c:pt>
                <c:pt idx="58" formatCode="0.00">
                  <c:v>4.49</c:v>
                </c:pt>
                <c:pt idx="59" formatCode="0.00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8-4A99-BD6B-DFBCDEDEED47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Cryptophytes!$B$5:$B$64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Cryptophytes!$E$5:$E$64</c:f>
              <c:numCache>
                <c:formatCode>General</c:formatCode>
                <c:ptCount val="60"/>
                <c:pt idx="4">
                  <c:v>1.93</c:v>
                </c:pt>
                <c:pt idx="6">
                  <c:v>5.0599999999999996</c:v>
                </c:pt>
                <c:pt idx="8">
                  <c:v>4.34</c:v>
                </c:pt>
                <c:pt idx="11">
                  <c:v>2.74</c:v>
                </c:pt>
                <c:pt idx="16">
                  <c:v>3.34</c:v>
                </c:pt>
                <c:pt idx="19">
                  <c:v>6.04</c:v>
                </c:pt>
                <c:pt idx="25">
                  <c:v>3.35</c:v>
                </c:pt>
                <c:pt idx="29">
                  <c:v>3.06</c:v>
                </c:pt>
                <c:pt idx="34">
                  <c:v>2.9</c:v>
                </c:pt>
                <c:pt idx="37">
                  <c:v>1.58</c:v>
                </c:pt>
                <c:pt idx="43">
                  <c:v>1.19</c:v>
                </c:pt>
                <c:pt idx="45">
                  <c:v>0.16</c:v>
                </c:pt>
                <c:pt idx="49">
                  <c:v>0.1</c:v>
                </c:pt>
                <c:pt idx="5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58-4A99-BD6B-DFBCDEDEED47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Cryptophytes!$B$5:$B$64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142</c:v>
                </c:pt>
                <c:pt idx="5">
                  <c:v>143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Cryptophytes!$F$5:$F$64</c:f>
              <c:numCache>
                <c:formatCode>General</c:formatCode>
                <c:ptCount val="60"/>
                <c:pt idx="8">
                  <c:v>0.7</c:v>
                </c:pt>
                <c:pt idx="11">
                  <c:v>0.61</c:v>
                </c:pt>
                <c:pt idx="13">
                  <c:v>0.7</c:v>
                </c:pt>
                <c:pt idx="15">
                  <c:v>1.54</c:v>
                </c:pt>
                <c:pt idx="18">
                  <c:v>1.1599999999999999</c:v>
                </c:pt>
                <c:pt idx="20">
                  <c:v>1.18</c:v>
                </c:pt>
                <c:pt idx="26">
                  <c:v>1.32</c:v>
                </c:pt>
                <c:pt idx="29">
                  <c:v>1.6</c:v>
                </c:pt>
                <c:pt idx="35">
                  <c:v>2.21</c:v>
                </c:pt>
                <c:pt idx="38">
                  <c:v>4.5199999999999996</c:v>
                </c:pt>
                <c:pt idx="43">
                  <c:v>6.06</c:v>
                </c:pt>
                <c:pt idx="45">
                  <c:v>4.9400000000000004</c:v>
                </c:pt>
                <c:pt idx="50">
                  <c:v>5.44</c:v>
                </c:pt>
                <c:pt idx="52">
                  <c:v>4.4800000000000004</c:v>
                </c:pt>
                <c:pt idx="55">
                  <c:v>6.19</c:v>
                </c:pt>
                <c:pt idx="57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58-4A99-BD6B-DFBCDEDE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phytoplankton chlorophytes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14-a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Greens!$B$5:$B$64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143</c:v>
                </c:pt>
                <c:pt idx="5">
                  <c:v>142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Greens!$C$5:$C$64</c:f>
              <c:numCache>
                <c:formatCode>0.00</c:formatCode>
                <c:ptCount val="60"/>
                <c:pt idx="0">
                  <c:v>0.79</c:v>
                </c:pt>
                <c:pt idx="2">
                  <c:v>0.67</c:v>
                </c:pt>
                <c:pt idx="6">
                  <c:v>1.83</c:v>
                </c:pt>
                <c:pt idx="8">
                  <c:v>1.02</c:v>
                </c:pt>
                <c:pt idx="10">
                  <c:v>2.08</c:v>
                </c:pt>
                <c:pt idx="16">
                  <c:v>5.19</c:v>
                </c:pt>
                <c:pt idx="23">
                  <c:v>3.35</c:v>
                </c:pt>
                <c:pt idx="32">
                  <c:v>0.76</c:v>
                </c:pt>
                <c:pt idx="40">
                  <c:v>0.3</c:v>
                </c:pt>
                <c:pt idx="48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4AAA-99F9-51CDE5F5AFBE}"/>
            </c:ext>
          </c:extLst>
        </c:ser>
        <c:ser>
          <c:idx val="1"/>
          <c:order val="1"/>
          <c:tx>
            <c:v>16-a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Greens!$B$5:$B$64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143</c:v>
                </c:pt>
                <c:pt idx="5">
                  <c:v>142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Greens!$D$5:$D$64</c:f>
              <c:numCache>
                <c:formatCode>General</c:formatCode>
                <c:ptCount val="60"/>
                <c:pt idx="18">
                  <c:v>2.57</c:v>
                </c:pt>
                <c:pt idx="22">
                  <c:v>3.91</c:v>
                </c:pt>
                <c:pt idx="28">
                  <c:v>6.56</c:v>
                </c:pt>
                <c:pt idx="31">
                  <c:v>3.42</c:v>
                </c:pt>
                <c:pt idx="40">
                  <c:v>3.26</c:v>
                </c:pt>
                <c:pt idx="47">
                  <c:v>19.899999999999999</c:v>
                </c:pt>
                <c:pt idx="53" formatCode="0.00">
                  <c:v>11.25</c:v>
                </c:pt>
                <c:pt idx="58" formatCode="0.00">
                  <c:v>10.42</c:v>
                </c:pt>
                <c:pt idx="59" formatCode="0.00">
                  <c:v>10.29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E-4AAA-99F9-51CDE5F5AFBE}"/>
            </c:ext>
          </c:extLst>
        </c:ser>
        <c:ser>
          <c:idx val="2"/>
          <c:order val="2"/>
          <c:tx>
            <c:v>18-c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Greens!$B$5:$B$64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143</c:v>
                </c:pt>
                <c:pt idx="5">
                  <c:v>142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Greens!$E$5:$E$64</c:f>
              <c:numCache>
                <c:formatCode>General</c:formatCode>
                <c:ptCount val="60"/>
                <c:pt idx="5">
                  <c:v>0.31</c:v>
                </c:pt>
                <c:pt idx="6">
                  <c:v>0</c:v>
                </c:pt>
                <c:pt idx="8">
                  <c:v>0.02</c:v>
                </c:pt>
                <c:pt idx="11">
                  <c:v>0</c:v>
                </c:pt>
                <c:pt idx="16">
                  <c:v>0.02</c:v>
                </c:pt>
                <c:pt idx="19">
                  <c:v>0</c:v>
                </c:pt>
                <c:pt idx="25">
                  <c:v>1.38</c:v>
                </c:pt>
                <c:pt idx="29">
                  <c:v>6.38</c:v>
                </c:pt>
                <c:pt idx="34">
                  <c:v>3.74</c:v>
                </c:pt>
                <c:pt idx="37">
                  <c:v>0.61</c:v>
                </c:pt>
                <c:pt idx="43">
                  <c:v>10.220000000000001</c:v>
                </c:pt>
                <c:pt idx="45">
                  <c:v>7.73</c:v>
                </c:pt>
                <c:pt idx="49">
                  <c:v>27.79</c:v>
                </c:pt>
                <c:pt idx="52">
                  <c:v>19.420000000000002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4AAA-99F9-51CDE5F5AFBE}"/>
            </c:ext>
          </c:extLst>
        </c:ser>
        <c:ser>
          <c:idx val="3"/>
          <c:order val="3"/>
          <c:tx>
            <c:v>19-b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Greens!$B$5:$B$64</c:f>
              <c:numCache>
                <c:formatCode>0</c:formatCode>
                <c:ptCount val="60"/>
                <c:pt idx="0">
                  <c:v>132</c:v>
                </c:pt>
                <c:pt idx="1">
                  <c:v>135</c:v>
                </c:pt>
                <c:pt idx="2">
                  <c:v>139</c:v>
                </c:pt>
                <c:pt idx="3">
                  <c:v>141</c:v>
                </c:pt>
                <c:pt idx="4">
                  <c:v>143</c:v>
                </c:pt>
                <c:pt idx="5">
                  <c:v>142</c:v>
                </c:pt>
                <c:pt idx="6">
                  <c:v>148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172</c:v>
                </c:pt>
                <c:pt idx="18">
                  <c:v>173</c:v>
                </c:pt>
                <c:pt idx="19">
                  <c:v>177</c:v>
                </c:pt>
                <c:pt idx="20">
                  <c:v>178</c:v>
                </c:pt>
                <c:pt idx="21">
                  <c:v>179</c:v>
                </c:pt>
                <c:pt idx="22">
                  <c:v>180</c:v>
                </c:pt>
                <c:pt idx="23">
                  <c:v>181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189</c:v>
                </c:pt>
                <c:pt idx="29">
                  <c:v>191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205</c:v>
                </c:pt>
                <c:pt idx="38">
                  <c:v>206</c:v>
                </c:pt>
                <c:pt idx="39">
                  <c:v>208</c:v>
                </c:pt>
                <c:pt idx="40">
                  <c:v>209</c:v>
                </c:pt>
                <c:pt idx="41">
                  <c:v>211</c:v>
                </c:pt>
                <c:pt idx="42">
                  <c:v>212</c:v>
                </c:pt>
                <c:pt idx="43">
                  <c:v>213</c:v>
                </c:pt>
                <c:pt idx="44">
                  <c:v>214</c:v>
                </c:pt>
                <c:pt idx="45">
                  <c:v>219</c:v>
                </c:pt>
                <c:pt idx="46">
                  <c:v>221</c:v>
                </c:pt>
                <c:pt idx="47">
                  <c:v>223</c:v>
                </c:pt>
                <c:pt idx="48">
                  <c:v>224</c:v>
                </c:pt>
                <c:pt idx="49">
                  <c:v>226</c:v>
                </c:pt>
                <c:pt idx="50">
                  <c:v>227</c:v>
                </c:pt>
                <c:pt idx="51">
                  <c:v>228</c:v>
                </c:pt>
                <c:pt idx="52">
                  <c:v>233</c:v>
                </c:pt>
                <c:pt idx="53">
                  <c:v>238</c:v>
                </c:pt>
                <c:pt idx="54">
                  <c:v>236</c:v>
                </c:pt>
                <c:pt idx="55">
                  <c:v>240</c:v>
                </c:pt>
                <c:pt idx="56">
                  <c:v>242</c:v>
                </c:pt>
                <c:pt idx="57">
                  <c:v>247</c:v>
                </c:pt>
                <c:pt idx="58" formatCode="General">
                  <c:v>250</c:v>
                </c:pt>
                <c:pt idx="59" formatCode="General">
                  <c:v>264</c:v>
                </c:pt>
              </c:numCache>
            </c:numRef>
          </c:xVal>
          <c:yVal>
            <c:numRef>
              <c:f>Greens!$F$5:$F$64</c:f>
              <c:numCache>
                <c:formatCode>General</c:formatCode>
                <c:ptCount val="60"/>
                <c:pt idx="8">
                  <c:v>0.4</c:v>
                </c:pt>
                <c:pt idx="11">
                  <c:v>0.26</c:v>
                </c:pt>
                <c:pt idx="13">
                  <c:v>1.1599999999999999</c:v>
                </c:pt>
                <c:pt idx="15">
                  <c:v>0.62</c:v>
                </c:pt>
                <c:pt idx="18">
                  <c:v>0.7</c:v>
                </c:pt>
                <c:pt idx="20">
                  <c:v>1.87</c:v>
                </c:pt>
                <c:pt idx="26">
                  <c:v>0.9</c:v>
                </c:pt>
                <c:pt idx="29">
                  <c:v>1.02</c:v>
                </c:pt>
                <c:pt idx="35">
                  <c:v>4.49</c:v>
                </c:pt>
                <c:pt idx="38">
                  <c:v>2.96</c:v>
                </c:pt>
                <c:pt idx="43">
                  <c:v>1.57</c:v>
                </c:pt>
                <c:pt idx="45">
                  <c:v>0.63</c:v>
                </c:pt>
                <c:pt idx="50">
                  <c:v>3.29</c:v>
                </c:pt>
                <c:pt idx="52">
                  <c:v>0.64</c:v>
                </c:pt>
                <c:pt idx="55">
                  <c:v>0.28000000000000003</c:v>
                </c:pt>
                <c:pt idx="57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DE-4AAA-99F9-51CDE5F5A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1488"/>
        <c:axId val="650090016"/>
      </c:scatterChart>
      <c:valAx>
        <c:axId val="650081488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0016"/>
        <c:crosses val="autoZero"/>
        <c:crossBetween val="midCat"/>
      </c:valAx>
      <c:valAx>
        <c:axId val="650090016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148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8</xdr:row>
      <xdr:rowOff>64770</xdr:rowOff>
    </xdr:from>
    <xdr:to>
      <xdr:col>22</xdr:col>
      <xdr:colOff>180975</xdr:colOff>
      <xdr:row>32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11E49-54F4-47BB-9A52-EFC2C821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6</xdr:row>
      <xdr:rowOff>1905</xdr:rowOff>
    </xdr:from>
    <xdr:to>
      <xdr:col>21</xdr:col>
      <xdr:colOff>342900</xdr:colOff>
      <xdr:row>30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BD96E-3A9A-407D-BB66-1A629EFFC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10</xdr:row>
      <xdr:rowOff>40005</xdr:rowOff>
    </xdr:from>
    <xdr:to>
      <xdr:col>20</xdr:col>
      <xdr:colOff>514350</xdr:colOff>
      <xdr:row>33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EC083-CDE8-4CB0-AB41-1252F75E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535305</xdr:colOff>
      <xdr:row>9</xdr:row>
      <xdr:rowOff>129540</xdr:rowOff>
    </xdr:from>
    <xdr:to>
      <xdr:col>20</xdr:col>
      <xdr:colOff>230505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44E4D-8FB5-482E-89EA-1D7627C44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165-193F-4B17-9266-4EF06888CC4B}">
  <dimension ref="B2:K68"/>
  <sheetViews>
    <sheetView zoomScaleNormal="10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O66" sqref="O66"/>
    </sheetView>
  </sheetViews>
  <sheetFormatPr defaultRowHeight="14.4" x14ac:dyDescent="0.3"/>
  <sheetData>
    <row r="2" spans="2:11" x14ac:dyDescent="0.3">
      <c r="C2" s="16" t="s">
        <v>4</v>
      </c>
      <c r="D2" s="16"/>
      <c r="E2" s="16"/>
      <c r="F2" s="16"/>
    </row>
    <row r="3" spans="2:11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  <c r="I3" t="s">
        <v>9</v>
      </c>
      <c r="J3" t="s">
        <v>10</v>
      </c>
      <c r="K3" t="s">
        <v>11</v>
      </c>
    </row>
    <row r="4" spans="2:11" x14ac:dyDescent="0.3">
      <c r="B4">
        <v>127</v>
      </c>
      <c r="C4" s="15"/>
      <c r="D4" s="15"/>
      <c r="E4" s="15"/>
      <c r="F4" s="15"/>
      <c r="I4">
        <v>1.66</v>
      </c>
    </row>
    <row r="5" spans="2:11" x14ac:dyDescent="0.3">
      <c r="B5" s="3">
        <v>132</v>
      </c>
      <c r="C5" s="4">
        <v>1.46</v>
      </c>
      <c r="D5" s="5"/>
      <c r="E5" s="5"/>
      <c r="F5" s="5"/>
    </row>
    <row r="6" spans="2:11" x14ac:dyDescent="0.3">
      <c r="B6" s="3">
        <v>135</v>
      </c>
      <c r="C6" s="4"/>
      <c r="D6" s="5"/>
      <c r="E6" s="5"/>
      <c r="F6" s="5"/>
      <c r="K6">
        <v>3.97</v>
      </c>
    </row>
    <row r="7" spans="2:11" x14ac:dyDescent="0.3">
      <c r="B7" s="6">
        <v>139</v>
      </c>
      <c r="C7" s="4">
        <v>0.66999999999999993</v>
      </c>
      <c r="D7" s="5"/>
      <c r="E7" s="5"/>
      <c r="F7" s="5"/>
    </row>
    <row r="8" spans="2:11" x14ac:dyDescent="0.3">
      <c r="B8" s="6">
        <v>141</v>
      </c>
      <c r="C8" s="4"/>
      <c r="D8" s="5"/>
      <c r="E8" s="5"/>
      <c r="F8" s="5"/>
      <c r="K8">
        <v>2.4900000000000002</v>
      </c>
    </row>
    <row r="9" spans="2:11" x14ac:dyDescent="0.3">
      <c r="B9" s="6">
        <v>142</v>
      </c>
      <c r="C9" s="4"/>
      <c r="D9" s="5"/>
      <c r="E9" s="5">
        <v>1.17</v>
      </c>
      <c r="F9" s="5"/>
    </row>
    <row r="10" spans="2:11" x14ac:dyDescent="0.3">
      <c r="B10" s="6">
        <v>143</v>
      </c>
      <c r="C10" s="4"/>
      <c r="D10" s="5"/>
      <c r="E10" s="5"/>
      <c r="F10" s="5"/>
      <c r="I10">
        <v>2.34</v>
      </c>
    </row>
    <row r="11" spans="2:11" x14ac:dyDescent="0.3">
      <c r="B11" s="3">
        <v>148</v>
      </c>
      <c r="C11" s="4">
        <v>2.8200000000000003</v>
      </c>
      <c r="D11" s="5"/>
      <c r="E11" s="5">
        <v>1.67</v>
      </c>
      <c r="F11" s="5"/>
      <c r="I11">
        <v>2</v>
      </c>
      <c r="K11">
        <v>0.28999999999999998</v>
      </c>
    </row>
    <row r="12" spans="2:11" x14ac:dyDescent="0.3">
      <c r="B12" s="3">
        <v>155</v>
      </c>
      <c r="C12" s="4"/>
      <c r="D12" s="5"/>
      <c r="E12" s="5"/>
      <c r="F12" s="5"/>
      <c r="I12">
        <v>1.88</v>
      </c>
    </row>
    <row r="13" spans="2:11" x14ac:dyDescent="0.3">
      <c r="B13" s="3">
        <v>156</v>
      </c>
      <c r="C13" s="4">
        <v>1.63</v>
      </c>
      <c r="D13" s="5"/>
      <c r="E13" s="5">
        <v>2.62</v>
      </c>
      <c r="F13" s="5">
        <v>0.59</v>
      </c>
      <c r="K13">
        <v>0.89</v>
      </c>
    </row>
    <row r="14" spans="2:11" x14ac:dyDescent="0.3">
      <c r="B14" s="3">
        <v>158</v>
      </c>
      <c r="C14" s="4"/>
      <c r="D14" s="5"/>
      <c r="E14" s="5"/>
      <c r="F14" s="5"/>
      <c r="J14">
        <v>1.46</v>
      </c>
    </row>
    <row r="15" spans="2:11" x14ac:dyDescent="0.3">
      <c r="B15" s="3">
        <v>162</v>
      </c>
      <c r="C15" s="4">
        <v>1.4833333333333334</v>
      </c>
      <c r="D15" s="5"/>
      <c r="E15" s="5"/>
      <c r="F15" s="5"/>
      <c r="J15">
        <v>1.82</v>
      </c>
    </row>
    <row r="16" spans="2:11" x14ac:dyDescent="0.3">
      <c r="B16" s="3">
        <v>163</v>
      </c>
      <c r="C16" s="4"/>
      <c r="D16" s="5"/>
      <c r="E16" s="5">
        <v>1.27</v>
      </c>
      <c r="F16" s="5">
        <v>0.49</v>
      </c>
      <c r="I16">
        <v>3.61</v>
      </c>
    </row>
    <row r="17" spans="2:11" x14ac:dyDescent="0.3">
      <c r="B17" s="3">
        <v>164</v>
      </c>
      <c r="C17" s="4"/>
      <c r="D17" s="5"/>
      <c r="E17" s="5"/>
      <c r="F17" s="5"/>
      <c r="K17">
        <v>1.67</v>
      </c>
    </row>
    <row r="18" spans="2:11" ht="15" customHeight="1" x14ac:dyDescent="0.3">
      <c r="B18" s="3">
        <v>165</v>
      </c>
      <c r="C18" s="4"/>
      <c r="D18" s="5"/>
      <c r="E18" s="5"/>
      <c r="F18" s="5">
        <v>1.01</v>
      </c>
    </row>
    <row r="19" spans="2:11" ht="15" customHeight="1" x14ac:dyDescent="0.3">
      <c r="B19" s="3">
        <v>166</v>
      </c>
      <c r="C19" s="4"/>
      <c r="D19" s="5"/>
      <c r="E19" s="5"/>
      <c r="F19" s="5"/>
      <c r="J19">
        <v>2.4300000000000002</v>
      </c>
    </row>
    <row r="20" spans="2:11" x14ac:dyDescent="0.3">
      <c r="B20" s="3">
        <v>169</v>
      </c>
      <c r="C20" s="4"/>
      <c r="D20" s="5"/>
      <c r="E20" s="5"/>
      <c r="F20" s="5">
        <v>1.54</v>
      </c>
    </row>
    <row r="21" spans="2:11" x14ac:dyDescent="0.3">
      <c r="B21" s="3">
        <v>170</v>
      </c>
      <c r="C21" s="4">
        <v>1.4316666666666666</v>
      </c>
      <c r="D21" s="5"/>
      <c r="E21" s="5">
        <v>1.54</v>
      </c>
      <c r="F21" s="5"/>
      <c r="I21">
        <v>2.23</v>
      </c>
    </row>
    <row r="22" spans="2:11" x14ac:dyDescent="0.3">
      <c r="B22" s="3">
        <v>172</v>
      </c>
      <c r="C22" s="4"/>
      <c r="D22" s="5"/>
      <c r="E22" s="5"/>
      <c r="F22" s="5"/>
      <c r="J22">
        <v>2.37</v>
      </c>
      <c r="K22">
        <v>1.1599999999999999</v>
      </c>
    </row>
    <row r="23" spans="2:11" x14ac:dyDescent="0.3">
      <c r="B23" s="3">
        <v>173</v>
      </c>
      <c r="C23" s="4"/>
      <c r="D23" s="5">
        <v>2.79</v>
      </c>
      <c r="E23" s="5"/>
      <c r="F23" s="5">
        <v>1.38</v>
      </c>
    </row>
    <row r="24" spans="2:11" x14ac:dyDescent="0.3">
      <c r="B24" s="3">
        <v>177</v>
      </c>
      <c r="C24" s="4"/>
      <c r="D24" s="5"/>
      <c r="E24" s="5">
        <v>2.5499999999999998</v>
      </c>
      <c r="F24" s="5"/>
    </row>
    <row r="25" spans="2:11" x14ac:dyDescent="0.3">
      <c r="B25" s="3">
        <v>178</v>
      </c>
      <c r="C25" s="4"/>
      <c r="D25" s="5"/>
      <c r="E25" s="5"/>
      <c r="F25" s="5">
        <v>1.87</v>
      </c>
    </row>
    <row r="26" spans="2:11" x14ac:dyDescent="0.3">
      <c r="B26" s="3">
        <v>179</v>
      </c>
      <c r="C26" s="4"/>
      <c r="D26" s="5"/>
      <c r="E26" s="5"/>
      <c r="F26" s="5"/>
      <c r="J26">
        <v>1.94</v>
      </c>
    </row>
    <row r="27" spans="2:11" x14ac:dyDescent="0.3">
      <c r="B27" s="3">
        <v>180</v>
      </c>
      <c r="C27" s="4"/>
      <c r="D27" s="5">
        <v>3.08</v>
      </c>
      <c r="E27" s="5"/>
      <c r="F27" s="5"/>
    </row>
    <row r="28" spans="2:11" x14ac:dyDescent="0.3">
      <c r="B28" s="3">
        <v>181</v>
      </c>
      <c r="C28" s="4">
        <v>1.3949999999999998</v>
      </c>
      <c r="D28" s="5"/>
      <c r="E28" s="5"/>
      <c r="F28" s="5"/>
    </row>
    <row r="29" spans="2:11" x14ac:dyDescent="0.3">
      <c r="B29" s="3">
        <v>183</v>
      </c>
      <c r="C29" s="4"/>
      <c r="D29" s="5"/>
      <c r="E29" s="5"/>
      <c r="F29" s="5"/>
      <c r="I29">
        <v>2.1</v>
      </c>
    </row>
    <row r="30" spans="2:11" x14ac:dyDescent="0.3">
      <c r="B30" s="3">
        <v>184</v>
      </c>
      <c r="C30" s="4"/>
      <c r="D30" s="5"/>
      <c r="E30" s="5">
        <v>2.36</v>
      </c>
      <c r="F30" s="5"/>
      <c r="K30">
        <v>1.96</v>
      </c>
    </row>
    <row r="31" spans="2:11" x14ac:dyDescent="0.3">
      <c r="B31" s="3">
        <v>185</v>
      </c>
      <c r="C31" s="4"/>
      <c r="D31" s="5"/>
      <c r="E31" s="5"/>
      <c r="F31" s="5">
        <v>1.47</v>
      </c>
    </row>
    <row r="32" spans="2:11" x14ac:dyDescent="0.3">
      <c r="B32" s="3">
        <v>186</v>
      </c>
      <c r="C32" s="4"/>
      <c r="D32" s="5"/>
      <c r="E32" s="5"/>
      <c r="F32" s="5"/>
      <c r="J32">
        <v>2.3199999999999998</v>
      </c>
    </row>
    <row r="33" spans="2:11" x14ac:dyDescent="0.3">
      <c r="B33" s="3">
        <v>189</v>
      </c>
      <c r="C33" s="4"/>
      <c r="D33" s="5">
        <v>2.5</v>
      </c>
      <c r="E33" s="5"/>
      <c r="F33" s="5"/>
    </row>
    <row r="34" spans="2:11" x14ac:dyDescent="0.3">
      <c r="B34" s="3">
        <v>191</v>
      </c>
      <c r="C34" s="4"/>
      <c r="D34" s="5"/>
      <c r="E34" s="5">
        <v>4.45</v>
      </c>
      <c r="F34" s="5">
        <v>1.76</v>
      </c>
    </row>
    <row r="35" spans="2:11" x14ac:dyDescent="0.3">
      <c r="B35" s="3">
        <v>194</v>
      </c>
      <c r="C35" s="4"/>
      <c r="D35" s="5"/>
      <c r="E35" s="5"/>
      <c r="F35" s="5"/>
      <c r="J35">
        <v>2.91</v>
      </c>
    </row>
    <row r="36" spans="2:11" x14ac:dyDescent="0.3">
      <c r="B36" s="3">
        <v>195</v>
      </c>
      <c r="C36" s="4"/>
      <c r="D36" s="5">
        <v>2.5299999999999998</v>
      </c>
      <c r="E36" s="5"/>
      <c r="F36" s="5"/>
    </row>
    <row r="37" spans="2:11" x14ac:dyDescent="0.3">
      <c r="B37" s="3">
        <v>196</v>
      </c>
      <c r="C37" s="4">
        <v>1.3583333333333332</v>
      </c>
      <c r="D37" s="5"/>
      <c r="E37" s="5"/>
      <c r="F37" s="5"/>
    </row>
    <row r="38" spans="2:11" x14ac:dyDescent="0.3">
      <c r="B38" s="3">
        <v>197</v>
      </c>
      <c r="C38" s="4"/>
      <c r="D38" s="5"/>
      <c r="E38" s="5"/>
      <c r="F38" s="5"/>
      <c r="I38">
        <v>2.37</v>
      </c>
    </row>
    <row r="39" spans="2:11" x14ac:dyDescent="0.3">
      <c r="B39" s="3">
        <v>198</v>
      </c>
      <c r="C39" s="4"/>
      <c r="D39" s="5"/>
      <c r="E39" s="5">
        <v>2.84</v>
      </c>
      <c r="F39" s="5"/>
    </row>
    <row r="40" spans="2:11" x14ac:dyDescent="0.3">
      <c r="B40" s="3">
        <v>199</v>
      </c>
      <c r="C40" s="4"/>
      <c r="D40" s="5"/>
      <c r="E40" s="5"/>
      <c r="F40" s="5">
        <v>2.98</v>
      </c>
    </row>
    <row r="41" spans="2:11" x14ac:dyDescent="0.3">
      <c r="B41" s="3">
        <v>200</v>
      </c>
      <c r="C41" s="4"/>
      <c r="D41" s="5"/>
      <c r="E41" s="5"/>
      <c r="F41" s="5"/>
      <c r="J41">
        <v>2.34</v>
      </c>
    </row>
    <row r="42" spans="2:11" x14ac:dyDescent="0.3">
      <c r="B42" s="3">
        <v>205</v>
      </c>
      <c r="C42" s="4"/>
      <c r="D42" s="5"/>
      <c r="E42" s="5">
        <v>1.1499999999999999</v>
      </c>
      <c r="F42" s="5"/>
    </row>
    <row r="43" spans="2:11" x14ac:dyDescent="0.3">
      <c r="B43" s="3">
        <v>206</v>
      </c>
      <c r="C43" s="4"/>
      <c r="D43" s="5"/>
      <c r="E43" s="5"/>
      <c r="F43" s="5">
        <v>3.44</v>
      </c>
    </row>
    <row r="44" spans="2:11" x14ac:dyDescent="0.3">
      <c r="B44" s="3">
        <v>208</v>
      </c>
      <c r="C44" s="4"/>
      <c r="D44" s="5"/>
      <c r="E44" s="5"/>
      <c r="F44" s="5"/>
      <c r="J44">
        <v>4.0599999999999996</v>
      </c>
    </row>
    <row r="45" spans="2:11" x14ac:dyDescent="0.3">
      <c r="B45" s="3">
        <v>209</v>
      </c>
      <c r="C45" s="4">
        <v>1.2483333333333333</v>
      </c>
      <c r="D45" s="5">
        <v>3.82</v>
      </c>
      <c r="E45" s="5"/>
      <c r="F45" s="5"/>
    </row>
    <row r="46" spans="2:11" x14ac:dyDescent="0.3">
      <c r="B46" s="3">
        <v>211</v>
      </c>
      <c r="C46" s="4"/>
      <c r="D46" s="5"/>
      <c r="E46" s="5"/>
      <c r="F46" s="5"/>
      <c r="I46">
        <v>1.86</v>
      </c>
    </row>
    <row r="47" spans="2:11" x14ac:dyDescent="0.3">
      <c r="B47" s="3">
        <v>212</v>
      </c>
      <c r="C47" s="4"/>
      <c r="D47" s="5"/>
      <c r="E47" s="5"/>
      <c r="F47" s="5"/>
      <c r="K47">
        <v>0.77</v>
      </c>
    </row>
    <row r="48" spans="2:11" x14ac:dyDescent="0.3">
      <c r="B48" s="3">
        <v>213</v>
      </c>
      <c r="C48" s="4"/>
      <c r="D48" s="5"/>
      <c r="E48" s="5">
        <v>4.33</v>
      </c>
      <c r="F48" s="5">
        <v>3.55</v>
      </c>
    </row>
    <row r="49" spans="2:11" x14ac:dyDescent="0.3">
      <c r="B49" s="3">
        <v>214</v>
      </c>
      <c r="C49" s="4"/>
      <c r="D49" s="5"/>
      <c r="E49" s="5"/>
      <c r="F49" s="5"/>
      <c r="J49">
        <v>2.63</v>
      </c>
    </row>
    <row r="50" spans="2:11" x14ac:dyDescent="0.3">
      <c r="B50" s="3">
        <v>219</v>
      </c>
      <c r="C50" s="4"/>
      <c r="D50" s="5"/>
      <c r="E50" s="5">
        <v>2.83</v>
      </c>
      <c r="F50" s="5">
        <v>2.44</v>
      </c>
    </row>
    <row r="51" spans="2:11" x14ac:dyDescent="0.3">
      <c r="B51" s="3">
        <v>221</v>
      </c>
      <c r="C51" s="4"/>
      <c r="D51" s="5"/>
      <c r="E51" s="5"/>
      <c r="F51" s="5"/>
      <c r="J51">
        <v>2.52</v>
      </c>
    </row>
    <row r="52" spans="2:11" x14ac:dyDescent="0.3">
      <c r="B52" s="3">
        <v>223</v>
      </c>
      <c r="C52" s="4"/>
      <c r="D52" s="5">
        <v>6.72</v>
      </c>
      <c r="E52" s="5"/>
      <c r="F52" s="5"/>
    </row>
    <row r="53" spans="2:11" x14ac:dyDescent="0.3">
      <c r="B53" s="3">
        <v>224</v>
      </c>
      <c r="C53" s="2">
        <v>1.1200000000000001</v>
      </c>
      <c r="D53" s="5"/>
      <c r="E53" s="5"/>
      <c r="F53" s="5"/>
    </row>
    <row r="54" spans="2:11" x14ac:dyDescent="0.3">
      <c r="B54" s="3">
        <v>226</v>
      </c>
      <c r="C54" s="2"/>
      <c r="D54" s="5"/>
      <c r="E54" s="5">
        <v>7.02</v>
      </c>
      <c r="F54" s="5"/>
      <c r="K54">
        <v>0.72</v>
      </c>
    </row>
    <row r="55" spans="2:11" x14ac:dyDescent="0.3">
      <c r="B55" s="3">
        <v>227</v>
      </c>
      <c r="C55" s="2"/>
      <c r="D55" s="5"/>
      <c r="E55" s="5"/>
      <c r="F55" s="5">
        <v>3.19</v>
      </c>
      <c r="I55">
        <v>2.87</v>
      </c>
    </row>
    <row r="56" spans="2:11" x14ac:dyDescent="0.3">
      <c r="B56" s="3">
        <v>228</v>
      </c>
      <c r="C56" s="2"/>
      <c r="D56" s="5"/>
      <c r="E56" s="5"/>
      <c r="F56" s="5"/>
      <c r="J56">
        <v>1.88</v>
      </c>
    </row>
    <row r="57" spans="2:11" x14ac:dyDescent="0.3">
      <c r="B57" s="3">
        <v>233</v>
      </c>
      <c r="C57" s="2"/>
      <c r="D57" s="5"/>
      <c r="E57" s="5">
        <v>6.5</v>
      </c>
      <c r="F57" s="5">
        <v>2.09</v>
      </c>
    </row>
    <row r="58" spans="2:11" x14ac:dyDescent="0.3">
      <c r="B58" s="3">
        <v>236</v>
      </c>
      <c r="C58" s="2"/>
      <c r="D58" s="5"/>
      <c r="E58" s="5"/>
      <c r="F58" s="5"/>
      <c r="J58">
        <v>1.41</v>
      </c>
    </row>
    <row r="59" spans="2:11" x14ac:dyDescent="0.3">
      <c r="B59" s="7">
        <v>238</v>
      </c>
      <c r="C59" s="8"/>
      <c r="D59" s="9">
        <v>4.3916666666666666</v>
      </c>
      <c r="E59" s="5"/>
      <c r="F59" s="5"/>
    </row>
    <row r="60" spans="2:11" x14ac:dyDescent="0.3">
      <c r="B60" s="7">
        <v>240</v>
      </c>
      <c r="C60" s="8"/>
      <c r="D60" s="9"/>
      <c r="E60" s="5"/>
      <c r="F60" s="5">
        <v>2.65</v>
      </c>
    </row>
    <row r="61" spans="2:11" x14ac:dyDescent="0.3">
      <c r="B61" s="7">
        <v>242</v>
      </c>
      <c r="C61" s="8"/>
      <c r="D61" s="9"/>
      <c r="E61" s="5"/>
      <c r="F61" s="5"/>
      <c r="J61">
        <v>2.66</v>
      </c>
    </row>
    <row r="62" spans="2:11" x14ac:dyDescent="0.3">
      <c r="B62" s="7">
        <v>247</v>
      </c>
      <c r="C62" s="8"/>
      <c r="D62" s="9"/>
      <c r="E62" s="5"/>
      <c r="F62" s="5">
        <v>1.97</v>
      </c>
      <c r="J62">
        <v>2.73</v>
      </c>
    </row>
    <row r="63" spans="2:11" x14ac:dyDescent="0.3">
      <c r="B63" s="10">
        <v>250</v>
      </c>
      <c r="C63" s="8"/>
      <c r="D63" s="11">
        <v>5.9016666666666664</v>
      </c>
      <c r="E63" s="5"/>
      <c r="F63" s="5"/>
    </row>
    <row r="64" spans="2:11" x14ac:dyDescent="0.3">
      <c r="B64" s="10">
        <v>264</v>
      </c>
      <c r="C64" s="8"/>
      <c r="D64" s="12">
        <v>3.16</v>
      </c>
      <c r="E64" s="5"/>
      <c r="F64" s="5"/>
    </row>
    <row r="66" spans="2:11" x14ac:dyDescent="0.3">
      <c r="B66" t="s">
        <v>6</v>
      </c>
      <c r="C66" s="14">
        <f>AVERAGE(C5:C64)</f>
        <v>1.4616666666666664</v>
      </c>
      <c r="D66" s="14">
        <f t="shared" ref="D66:F66" si="0">AVERAGE(D5:D64)</f>
        <v>3.8770370370370366</v>
      </c>
      <c r="E66" s="14">
        <f t="shared" si="0"/>
        <v>3.0214285714285714</v>
      </c>
      <c r="F66" s="14">
        <f t="shared" si="0"/>
        <v>2.0262500000000001</v>
      </c>
      <c r="I66" s="14">
        <f t="shared" ref="I66:K66" si="1">AVERAGE(I5:I64)</f>
        <v>2.3622222222222224</v>
      </c>
      <c r="J66" s="14">
        <f>AVERAGE(J4:J63)</f>
        <v>2.3653333333333331</v>
      </c>
      <c r="K66" s="14">
        <f t="shared" si="1"/>
        <v>1.5466666666666666</v>
      </c>
    </row>
    <row r="67" spans="2:11" x14ac:dyDescent="0.3">
      <c r="B67" t="s">
        <v>7</v>
      </c>
      <c r="C67" s="14">
        <f>MIN(C5:C64)</f>
        <v>0.66999999999999993</v>
      </c>
      <c r="D67" s="14">
        <f t="shared" ref="D67:F67" si="2">MIN(D5:D64)</f>
        <v>2.5</v>
      </c>
      <c r="E67" s="14">
        <f t="shared" si="2"/>
        <v>1.1499999999999999</v>
      </c>
      <c r="F67" s="14">
        <f t="shared" si="2"/>
        <v>0.49</v>
      </c>
      <c r="I67" s="14">
        <f t="shared" ref="I67:K67" si="3">MIN(I5:I64)</f>
        <v>1.86</v>
      </c>
      <c r="J67" s="14">
        <f>MIN(J4:J63)</f>
        <v>1.41</v>
      </c>
      <c r="K67" s="14">
        <f t="shared" si="3"/>
        <v>0.28999999999999998</v>
      </c>
    </row>
    <row r="68" spans="2:11" x14ac:dyDescent="0.3">
      <c r="B68" t="s">
        <v>8</v>
      </c>
      <c r="C68" s="14">
        <f>MAX(C5:C64)</f>
        <v>2.8200000000000003</v>
      </c>
      <c r="D68" s="14">
        <f t="shared" ref="D68:F68" si="4">MAX(D5:D64)</f>
        <v>6.72</v>
      </c>
      <c r="E68" s="14">
        <f t="shared" si="4"/>
        <v>7.02</v>
      </c>
      <c r="F68" s="14">
        <f t="shared" si="4"/>
        <v>3.55</v>
      </c>
      <c r="I68" s="14">
        <f t="shared" ref="I68:K68" si="5">MAX(I5:I64)</f>
        <v>3.61</v>
      </c>
      <c r="J68" s="14">
        <f>MAX(J4:J63)</f>
        <v>4.0599999999999996</v>
      </c>
      <c r="K68" s="14">
        <f t="shared" si="5"/>
        <v>3.97</v>
      </c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4E44-0A94-425E-9571-6725786E3140}">
  <dimension ref="B2:L68"/>
  <sheetViews>
    <sheetView zoomScaleNormal="10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P59" sqref="P59"/>
    </sheetView>
  </sheetViews>
  <sheetFormatPr defaultRowHeight="14.4" x14ac:dyDescent="0.3"/>
  <sheetData>
    <row r="2" spans="2:12" x14ac:dyDescent="0.3">
      <c r="C2" s="16" t="s">
        <v>4</v>
      </c>
      <c r="D2" s="16"/>
      <c r="E2" s="16"/>
      <c r="F2" s="16"/>
    </row>
    <row r="3" spans="2:12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  <c r="J3" t="s">
        <v>9</v>
      </c>
      <c r="K3" t="s">
        <v>10</v>
      </c>
      <c r="L3" t="s">
        <v>11</v>
      </c>
    </row>
    <row r="4" spans="2:12" x14ac:dyDescent="0.3">
      <c r="B4">
        <v>127</v>
      </c>
      <c r="C4" s="15"/>
      <c r="D4" s="15"/>
      <c r="E4" s="15"/>
      <c r="F4" s="15"/>
      <c r="J4">
        <v>0.25</v>
      </c>
    </row>
    <row r="5" spans="2:12" x14ac:dyDescent="0.3">
      <c r="B5" s="3">
        <v>132</v>
      </c>
      <c r="C5" s="4">
        <v>0.08</v>
      </c>
      <c r="D5" s="5"/>
      <c r="E5" s="5"/>
      <c r="F5" s="5"/>
    </row>
    <row r="6" spans="2:12" x14ac:dyDescent="0.3">
      <c r="B6" s="3">
        <v>135</v>
      </c>
      <c r="C6" s="4"/>
      <c r="D6" s="5"/>
      <c r="E6" s="5"/>
      <c r="F6" s="5"/>
      <c r="L6">
        <v>0.67</v>
      </c>
    </row>
    <row r="7" spans="2:12" x14ac:dyDescent="0.3">
      <c r="B7" s="6">
        <v>139</v>
      </c>
      <c r="C7" s="4">
        <v>0.12</v>
      </c>
      <c r="D7" s="5"/>
      <c r="E7" s="5"/>
      <c r="F7" s="5"/>
    </row>
    <row r="8" spans="2:12" x14ac:dyDescent="0.3">
      <c r="B8" s="6">
        <v>141</v>
      </c>
      <c r="C8" s="4"/>
      <c r="D8" s="5"/>
      <c r="E8" s="5"/>
      <c r="F8" s="5"/>
      <c r="L8">
        <v>1.32</v>
      </c>
    </row>
    <row r="9" spans="2:12" x14ac:dyDescent="0.3">
      <c r="B9" s="6">
        <v>142</v>
      </c>
      <c r="C9" s="4"/>
      <c r="D9" s="5"/>
      <c r="E9" s="5">
        <v>0.86</v>
      </c>
      <c r="F9" s="5"/>
    </row>
    <row r="10" spans="2:12" x14ac:dyDescent="0.3">
      <c r="B10" s="6">
        <v>143</v>
      </c>
      <c r="C10" s="4"/>
      <c r="D10" s="5"/>
      <c r="E10" s="5"/>
      <c r="F10" s="5"/>
      <c r="J10">
        <v>0.28999999999999998</v>
      </c>
    </row>
    <row r="11" spans="2:12" x14ac:dyDescent="0.3">
      <c r="B11" s="3">
        <v>148</v>
      </c>
      <c r="C11" s="4">
        <v>0.49</v>
      </c>
      <c r="D11" s="5"/>
      <c r="E11" s="5">
        <v>2.13</v>
      </c>
      <c r="F11" s="5"/>
      <c r="J11">
        <v>0.63</v>
      </c>
      <c r="L11">
        <v>0.28000000000000003</v>
      </c>
    </row>
    <row r="12" spans="2:12" x14ac:dyDescent="0.3">
      <c r="B12" s="3">
        <v>155</v>
      </c>
      <c r="C12" s="4"/>
      <c r="D12" s="5"/>
      <c r="E12" s="5"/>
      <c r="F12" s="5"/>
      <c r="J12">
        <v>0.97</v>
      </c>
    </row>
    <row r="13" spans="2:12" x14ac:dyDescent="0.3">
      <c r="B13" s="3">
        <v>156</v>
      </c>
      <c r="C13" s="4">
        <v>0.33</v>
      </c>
      <c r="D13" s="5"/>
      <c r="E13" s="5">
        <v>1.36</v>
      </c>
      <c r="F13" s="13">
        <v>0.28000000000000003</v>
      </c>
      <c r="L13">
        <v>0.85</v>
      </c>
    </row>
    <row r="14" spans="2:12" x14ac:dyDescent="0.3">
      <c r="B14" s="3">
        <v>158</v>
      </c>
      <c r="C14" s="4"/>
      <c r="D14" s="5"/>
      <c r="E14" s="5"/>
      <c r="F14" s="13"/>
      <c r="K14">
        <v>0.93</v>
      </c>
    </row>
    <row r="15" spans="2:12" x14ac:dyDescent="0.3">
      <c r="B15" s="3">
        <v>162</v>
      </c>
      <c r="C15" s="4">
        <v>0.64</v>
      </c>
      <c r="D15" s="5"/>
      <c r="E15" s="5"/>
      <c r="F15" s="5"/>
      <c r="K15">
        <v>1.1599999999999999</v>
      </c>
    </row>
    <row r="16" spans="2:12" x14ac:dyDescent="0.3">
      <c r="B16" s="3">
        <v>163</v>
      </c>
      <c r="C16" s="4"/>
      <c r="D16" s="5"/>
      <c r="E16" s="13">
        <v>0.96</v>
      </c>
      <c r="F16" s="5">
        <v>0.31</v>
      </c>
      <c r="J16">
        <v>1.1599999999999999</v>
      </c>
    </row>
    <row r="17" spans="2:12" x14ac:dyDescent="0.3">
      <c r="B17" s="3">
        <v>164</v>
      </c>
      <c r="C17" s="4"/>
      <c r="D17" s="5"/>
      <c r="E17" s="13"/>
      <c r="F17" s="5"/>
      <c r="L17">
        <v>0.92</v>
      </c>
    </row>
    <row r="18" spans="2:12" x14ac:dyDescent="0.3">
      <c r="B18" s="3">
        <v>165</v>
      </c>
      <c r="C18" s="4"/>
      <c r="D18" s="5"/>
      <c r="E18" s="5"/>
      <c r="F18" s="5">
        <v>0.51</v>
      </c>
    </row>
    <row r="19" spans="2:12" x14ac:dyDescent="0.3">
      <c r="B19" s="3">
        <v>166</v>
      </c>
      <c r="C19" s="4"/>
      <c r="D19" s="5"/>
      <c r="E19" s="5"/>
      <c r="F19" s="5"/>
      <c r="K19">
        <v>0.99</v>
      </c>
    </row>
    <row r="20" spans="2:12" x14ac:dyDescent="0.3">
      <c r="B20" s="3">
        <v>169</v>
      </c>
      <c r="C20" s="4"/>
      <c r="D20" s="5"/>
      <c r="E20" s="5"/>
      <c r="F20" s="13">
        <v>0.54</v>
      </c>
    </row>
    <row r="21" spans="2:12" x14ac:dyDescent="0.3">
      <c r="B21" s="3">
        <v>170</v>
      </c>
      <c r="C21" s="4">
        <v>0.73</v>
      </c>
      <c r="D21" s="5"/>
      <c r="E21" s="5">
        <v>1.2</v>
      </c>
      <c r="F21" s="5"/>
      <c r="J21">
        <v>0.72</v>
      </c>
    </row>
    <row r="22" spans="2:12" x14ac:dyDescent="0.3">
      <c r="B22" s="3">
        <v>172</v>
      </c>
      <c r="C22" s="4"/>
      <c r="D22" s="5"/>
      <c r="E22" s="5"/>
      <c r="F22" s="5"/>
      <c r="K22">
        <v>1.33</v>
      </c>
      <c r="L22">
        <v>0.47</v>
      </c>
    </row>
    <row r="23" spans="2:12" x14ac:dyDescent="0.3">
      <c r="B23" s="3">
        <v>173</v>
      </c>
      <c r="C23" s="4"/>
      <c r="D23" s="5">
        <v>1.28</v>
      </c>
      <c r="E23" s="5"/>
      <c r="F23" s="13">
        <v>0.56999999999999995</v>
      </c>
    </row>
    <row r="24" spans="2:12" x14ac:dyDescent="0.3">
      <c r="B24" s="3">
        <v>177</v>
      </c>
      <c r="C24" s="4"/>
      <c r="D24" s="5"/>
      <c r="E24" s="5">
        <v>2.48</v>
      </c>
      <c r="F24" s="5"/>
    </row>
    <row r="25" spans="2:12" x14ac:dyDescent="0.3">
      <c r="B25" s="3">
        <v>178</v>
      </c>
      <c r="C25" s="4"/>
      <c r="D25" s="5"/>
      <c r="E25" s="5"/>
      <c r="F25" s="13">
        <v>0.85</v>
      </c>
    </row>
    <row r="26" spans="2:12" x14ac:dyDescent="0.3">
      <c r="B26" s="3">
        <v>179</v>
      </c>
      <c r="C26" s="4"/>
      <c r="D26" s="5"/>
      <c r="E26" s="5"/>
      <c r="F26" s="13"/>
      <c r="K26">
        <v>1.25</v>
      </c>
    </row>
    <row r="27" spans="2:12" x14ac:dyDescent="0.3">
      <c r="B27" s="3">
        <v>180</v>
      </c>
      <c r="C27" s="4"/>
      <c r="D27" s="5">
        <v>1.9</v>
      </c>
      <c r="E27" s="5"/>
      <c r="F27" s="5"/>
    </row>
    <row r="28" spans="2:12" x14ac:dyDescent="0.3">
      <c r="B28" s="3">
        <v>181</v>
      </c>
      <c r="C28" s="4">
        <v>0.55000000000000004</v>
      </c>
      <c r="D28" s="5"/>
      <c r="E28" s="5"/>
      <c r="F28" s="5"/>
    </row>
    <row r="29" spans="2:12" x14ac:dyDescent="0.3">
      <c r="B29" s="3">
        <v>183</v>
      </c>
      <c r="C29" s="4"/>
      <c r="D29" s="5"/>
      <c r="E29" s="5"/>
      <c r="F29" s="5"/>
      <c r="J29">
        <v>1.5</v>
      </c>
    </row>
    <row r="30" spans="2:12" x14ac:dyDescent="0.3">
      <c r="B30" s="3">
        <v>184</v>
      </c>
      <c r="C30" s="4"/>
      <c r="D30" s="5"/>
      <c r="E30" s="5">
        <v>1.72</v>
      </c>
      <c r="F30" s="5"/>
      <c r="L30">
        <v>0.69</v>
      </c>
    </row>
    <row r="31" spans="2:12" x14ac:dyDescent="0.3">
      <c r="B31" s="3">
        <v>185</v>
      </c>
      <c r="C31" s="4"/>
      <c r="D31" s="5"/>
      <c r="E31" s="5"/>
      <c r="F31" s="5">
        <v>0.64</v>
      </c>
    </row>
    <row r="32" spans="2:12" x14ac:dyDescent="0.3">
      <c r="B32" s="3">
        <v>186</v>
      </c>
      <c r="C32" s="4"/>
      <c r="D32" s="5"/>
      <c r="E32" s="5"/>
      <c r="F32" s="5"/>
      <c r="K32">
        <v>1.34</v>
      </c>
    </row>
    <row r="33" spans="2:12" x14ac:dyDescent="0.3">
      <c r="B33" s="3">
        <v>189</v>
      </c>
      <c r="C33" s="4"/>
      <c r="D33" s="5">
        <v>1.52</v>
      </c>
      <c r="E33" s="5"/>
      <c r="F33" s="5"/>
    </row>
    <row r="34" spans="2:12" x14ac:dyDescent="0.3">
      <c r="B34" s="3">
        <v>191</v>
      </c>
      <c r="C34" s="4"/>
      <c r="D34" s="5"/>
      <c r="E34" s="5">
        <v>3.78</v>
      </c>
      <c r="F34" s="5">
        <v>0.79</v>
      </c>
    </row>
    <row r="35" spans="2:12" x14ac:dyDescent="0.3">
      <c r="B35" s="3">
        <v>194</v>
      </c>
      <c r="C35" s="4"/>
      <c r="D35" s="5"/>
      <c r="E35" s="5"/>
      <c r="F35" s="5"/>
      <c r="K35">
        <v>1.97</v>
      </c>
    </row>
    <row r="36" spans="2:12" x14ac:dyDescent="0.3">
      <c r="B36" s="3">
        <v>195</v>
      </c>
      <c r="C36" s="4"/>
      <c r="D36" s="5">
        <v>0.88</v>
      </c>
      <c r="E36" s="5"/>
      <c r="F36" s="5"/>
    </row>
    <row r="37" spans="2:12" x14ac:dyDescent="0.3">
      <c r="B37" s="3">
        <v>196</v>
      </c>
      <c r="C37" s="4">
        <v>0.52</v>
      </c>
      <c r="D37" s="5"/>
      <c r="E37" s="5"/>
      <c r="F37" s="5"/>
    </row>
    <row r="38" spans="2:12" x14ac:dyDescent="0.3">
      <c r="B38" s="3">
        <v>197</v>
      </c>
      <c r="C38" s="4"/>
      <c r="D38" s="5"/>
      <c r="E38" s="5"/>
      <c r="F38" s="5"/>
      <c r="J38">
        <v>1.64</v>
      </c>
    </row>
    <row r="39" spans="2:12" x14ac:dyDescent="0.3">
      <c r="B39" s="3">
        <v>198</v>
      </c>
      <c r="C39" s="4"/>
      <c r="D39" s="5"/>
      <c r="E39" s="5">
        <v>2.8</v>
      </c>
      <c r="F39" s="5"/>
      <c r="L39">
        <v>0.54</v>
      </c>
    </row>
    <row r="40" spans="2:12" x14ac:dyDescent="0.3">
      <c r="B40" s="3">
        <v>199</v>
      </c>
      <c r="C40" s="4"/>
      <c r="D40" s="5"/>
      <c r="E40" s="5"/>
      <c r="F40" s="5">
        <v>1.8</v>
      </c>
    </row>
    <row r="41" spans="2:12" x14ac:dyDescent="0.3">
      <c r="B41" s="3">
        <v>200</v>
      </c>
      <c r="C41" s="4"/>
      <c r="D41" s="5"/>
      <c r="E41" s="5"/>
      <c r="F41" s="5"/>
      <c r="K41">
        <v>1.48</v>
      </c>
    </row>
    <row r="42" spans="2:12" x14ac:dyDescent="0.3">
      <c r="B42" s="3">
        <v>205</v>
      </c>
      <c r="C42" s="4"/>
      <c r="D42" s="5"/>
      <c r="E42" s="5">
        <v>0.96</v>
      </c>
      <c r="F42" s="5"/>
    </row>
    <row r="43" spans="2:12" x14ac:dyDescent="0.3">
      <c r="B43" s="3">
        <v>206</v>
      </c>
      <c r="C43" s="4"/>
      <c r="D43" s="5"/>
      <c r="E43" s="5"/>
      <c r="F43" s="5">
        <v>2.61</v>
      </c>
    </row>
    <row r="44" spans="2:12" x14ac:dyDescent="0.3">
      <c r="B44" s="3">
        <v>208</v>
      </c>
      <c r="C44" s="4"/>
      <c r="D44" s="5"/>
      <c r="E44" s="5"/>
      <c r="F44" s="5"/>
      <c r="K44">
        <v>2.2799999999999998</v>
      </c>
    </row>
    <row r="45" spans="2:12" x14ac:dyDescent="0.3">
      <c r="B45" s="3">
        <v>209</v>
      </c>
      <c r="C45" s="4"/>
      <c r="D45" s="5">
        <v>3.17</v>
      </c>
      <c r="E45" s="5"/>
      <c r="F45" s="5"/>
    </row>
    <row r="46" spans="2:12" x14ac:dyDescent="0.3">
      <c r="B46" s="3">
        <v>211</v>
      </c>
      <c r="C46" s="4"/>
      <c r="D46" s="5"/>
      <c r="E46" s="5"/>
      <c r="F46" s="5"/>
      <c r="J46">
        <v>2.19</v>
      </c>
    </row>
    <row r="47" spans="2:12" x14ac:dyDescent="0.3">
      <c r="B47" s="3">
        <v>212</v>
      </c>
      <c r="C47" s="4"/>
      <c r="D47" s="5"/>
      <c r="E47" s="5"/>
      <c r="F47" s="5"/>
      <c r="L47">
        <v>0.52</v>
      </c>
    </row>
    <row r="48" spans="2:12" x14ac:dyDescent="0.3">
      <c r="B48" s="3">
        <v>213</v>
      </c>
      <c r="C48" s="4"/>
      <c r="D48" s="5"/>
      <c r="E48" s="5">
        <v>3.07</v>
      </c>
      <c r="F48" s="5">
        <v>2.93</v>
      </c>
    </row>
    <row r="49" spans="2:12" x14ac:dyDescent="0.3">
      <c r="B49" s="3">
        <v>214</v>
      </c>
      <c r="C49" s="4"/>
      <c r="D49" s="5"/>
      <c r="E49" s="5"/>
      <c r="F49" s="5"/>
      <c r="K49">
        <v>1.92</v>
      </c>
    </row>
    <row r="50" spans="2:12" x14ac:dyDescent="0.3">
      <c r="B50" s="3">
        <v>219</v>
      </c>
      <c r="C50" s="4"/>
      <c r="D50" s="5"/>
      <c r="E50" s="5">
        <v>2.81</v>
      </c>
      <c r="F50" s="13">
        <v>2.09</v>
      </c>
    </row>
    <row r="51" spans="2:12" x14ac:dyDescent="0.3">
      <c r="B51" s="3">
        <v>221</v>
      </c>
      <c r="C51" s="4"/>
      <c r="D51" s="5"/>
      <c r="E51" s="5"/>
      <c r="F51" s="13"/>
      <c r="K51">
        <v>2.08</v>
      </c>
    </row>
    <row r="52" spans="2:12" x14ac:dyDescent="0.3">
      <c r="B52" s="3">
        <v>223</v>
      </c>
      <c r="C52" s="4"/>
      <c r="D52" s="5">
        <v>6.08</v>
      </c>
      <c r="E52" s="5"/>
      <c r="F52" s="5"/>
    </row>
    <row r="53" spans="2:12" x14ac:dyDescent="0.3">
      <c r="B53" s="3">
        <v>224</v>
      </c>
      <c r="C53" s="2">
        <v>0.49</v>
      </c>
      <c r="D53" s="5"/>
      <c r="E53" s="5"/>
      <c r="F53" s="5"/>
    </row>
    <row r="54" spans="2:12" x14ac:dyDescent="0.3">
      <c r="B54" s="3">
        <v>226</v>
      </c>
      <c r="C54" s="2"/>
      <c r="D54" s="5"/>
      <c r="E54" s="5">
        <v>6.34</v>
      </c>
      <c r="F54" s="5"/>
      <c r="L54">
        <v>0.6</v>
      </c>
    </row>
    <row r="55" spans="2:12" x14ac:dyDescent="0.3">
      <c r="B55" s="3">
        <v>227</v>
      </c>
      <c r="C55" s="2"/>
      <c r="D55" s="5"/>
      <c r="E55" s="5"/>
      <c r="F55" s="5"/>
      <c r="J55">
        <v>3.32</v>
      </c>
    </row>
    <row r="56" spans="2:12" x14ac:dyDescent="0.3">
      <c r="B56" s="3">
        <v>228</v>
      </c>
      <c r="C56" s="2"/>
      <c r="D56" s="5"/>
      <c r="E56" s="5"/>
      <c r="F56" s="5"/>
      <c r="K56">
        <v>1.84</v>
      </c>
    </row>
    <row r="57" spans="2:12" x14ac:dyDescent="0.3">
      <c r="B57" s="3">
        <v>233</v>
      </c>
      <c r="C57" s="2"/>
      <c r="D57" s="5"/>
      <c r="E57" s="5">
        <v>4.53</v>
      </c>
      <c r="F57" s="5">
        <v>2.14</v>
      </c>
    </row>
    <row r="58" spans="2:12" x14ac:dyDescent="0.3">
      <c r="B58" s="3">
        <v>236</v>
      </c>
      <c r="C58" s="2"/>
      <c r="D58" s="5"/>
      <c r="E58" s="5"/>
      <c r="F58" s="5"/>
      <c r="K58">
        <v>1.34</v>
      </c>
    </row>
    <row r="59" spans="2:12" x14ac:dyDescent="0.3">
      <c r="B59" s="7">
        <v>238</v>
      </c>
      <c r="C59" s="8"/>
      <c r="D59" s="9">
        <v>3.59</v>
      </c>
      <c r="E59" s="5"/>
      <c r="F59" s="5"/>
    </row>
    <row r="60" spans="2:12" x14ac:dyDescent="0.3">
      <c r="B60" s="7">
        <v>240</v>
      </c>
      <c r="C60" s="8"/>
      <c r="D60" s="9"/>
      <c r="E60" s="5"/>
      <c r="F60" s="5">
        <v>2.58</v>
      </c>
    </row>
    <row r="61" spans="2:12" x14ac:dyDescent="0.3">
      <c r="B61" s="7">
        <v>242</v>
      </c>
      <c r="C61" s="8"/>
      <c r="D61" s="9"/>
      <c r="E61" s="5"/>
      <c r="F61" s="5"/>
      <c r="K61">
        <v>2.67</v>
      </c>
    </row>
    <row r="62" spans="2:12" x14ac:dyDescent="0.3">
      <c r="B62" s="7">
        <v>247</v>
      </c>
      <c r="C62" s="8"/>
      <c r="D62" s="9"/>
      <c r="E62" s="5"/>
      <c r="F62" s="5">
        <v>2.33</v>
      </c>
      <c r="K62">
        <v>2.73</v>
      </c>
    </row>
    <row r="63" spans="2:12" x14ac:dyDescent="0.3">
      <c r="B63" s="10">
        <v>250</v>
      </c>
      <c r="C63" s="8"/>
      <c r="D63" s="11">
        <v>5.58</v>
      </c>
      <c r="E63" s="5"/>
      <c r="F63" s="5"/>
    </row>
    <row r="64" spans="2:12" x14ac:dyDescent="0.3">
      <c r="B64" s="10">
        <v>264</v>
      </c>
      <c r="C64" s="8"/>
      <c r="D64" s="12">
        <v>3.44</v>
      </c>
      <c r="E64" s="5"/>
      <c r="F64" s="5"/>
    </row>
    <row r="66" spans="2:12" x14ac:dyDescent="0.3">
      <c r="B66" t="s">
        <v>6</v>
      </c>
      <c r="C66" s="14">
        <f>AVERAGE(C5:C64)</f>
        <v>0.43888888888888888</v>
      </c>
      <c r="D66" s="14">
        <f t="shared" ref="D66:F66" si="0">AVERAGE(D5:D64)</f>
        <v>3.048888888888889</v>
      </c>
      <c r="E66" s="14">
        <f t="shared" si="0"/>
        <v>2.5</v>
      </c>
      <c r="F66" s="14">
        <f t="shared" si="0"/>
        <v>1.3979999999999999</v>
      </c>
      <c r="J66" s="14">
        <f t="shared" ref="J66:L66" si="1">AVERAGE(J5:J64)</f>
        <v>1.38</v>
      </c>
      <c r="K66" s="14">
        <f t="shared" ref="K66" si="2">AVERAGE(K5:K64)</f>
        <v>1.6873333333333334</v>
      </c>
      <c r="L66" s="14">
        <f t="shared" si="1"/>
        <v>0.68600000000000017</v>
      </c>
    </row>
    <row r="67" spans="2:12" x14ac:dyDescent="0.3">
      <c r="B67" t="s">
        <v>7</v>
      </c>
      <c r="C67" s="14">
        <f>MIN(C5:C64)</f>
        <v>0.08</v>
      </c>
      <c r="D67" s="14">
        <f t="shared" ref="D67:F67" si="3">MIN(D5:D64)</f>
        <v>0.88</v>
      </c>
      <c r="E67" s="14">
        <f t="shared" si="3"/>
        <v>0.86</v>
      </c>
      <c r="F67" s="14">
        <f t="shared" si="3"/>
        <v>0.28000000000000003</v>
      </c>
      <c r="J67" s="14">
        <f t="shared" ref="J67:L67" si="4">MIN(J5:J64)</f>
        <v>0.28999999999999998</v>
      </c>
      <c r="K67" s="14">
        <f t="shared" ref="K67" si="5">MIN(K5:K64)</f>
        <v>0.93</v>
      </c>
      <c r="L67" s="14">
        <f t="shared" si="4"/>
        <v>0.28000000000000003</v>
      </c>
    </row>
    <row r="68" spans="2:12" x14ac:dyDescent="0.3">
      <c r="B68" t="s">
        <v>8</v>
      </c>
      <c r="C68" s="14">
        <f>MAX(C5:C64)</f>
        <v>0.73</v>
      </c>
      <c r="D68" s="14">
        <f t="shared" ref="D68:F68" si="6">MAX(D5:D64)</f>
        <v>6.08</v>
      </c>
      <c r="E68" s="14">
        <f t="shared" si="6"/>
        <v>6.34</v>
      </c>
      <c r="F68" s="14">
        <f t="shared" si="6"/>
        <v>2.93</v>
      </c>
      <c r="J68" s="14">
        <f t="shared" ref="J68:L68" si="7">MAX(J5:J64)</f>
        <v>3.32</v>
      </c>
      <c r="K68" s="14">
        <f t="shared" ref="K68" si="8">MAX(K5:K64)</f>
        <v>2.73</v>
      </c>
      <c r="L68" s="14">
        <f t="shared" si="7"/>
        <v>1.32</v>
      </c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730C-66E4-4776-B0FA-1786A9BFE246}">
  <dimension ref="B2:L68"/>
  <sheetViews>
    <sheetView zoomScaleNormal="10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Q65" sqref="Q65"/>
    </sheetView>
  </sheetViews>
  <sheetFormatPr defaultRowHeight="14.4" x14ac:dyDescent="0.3"/>
  <sheetData>
    <row r="2" spans="2:12" x14ac:dyDescent="0.3">
      <c r="C2" s="16" t="s">
        <v>4</v>
      </c>
      <c r="D2" s="16"/>
      <c r="E2" s="16"/>
      <c r="F2" s="16"/>
    </row>
    <row r="3" spans="2:12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  <c r="J3" t="s">
        <v>9</v>
      </c>
      <c r="K3" t="s">
        <v>10</v>
      </c>
      <c r="L3" t="s">
        <v>11</v>
      </c>
    </row>
    <row r="4" spans="2:12" x14ac:dyDescent="0.3">
      <c r="B4">
        <v>127</v>
      </c>
      <c r="C4" s="15"/>
      <c r="D4" s="15"/>
      <c r="E4" s="15"/>
      <c r="F4" s="15"/>
      <c r="J4">
        <v>1.66</v>
      </c>
    </row>
    <row r="5" spans="2:12" x14ac:dyDescent="0.3">
      <c r="B5" s="3">
        <v>132</v>
      </c>
      <c r="C5" s="4">
        <v>0.98</v>
      </c>
      <c r="D5" s="5"/>
      <c r="E5" s="5"/>
      <c r="F5" s="5"/>
    </row>
    <row r="6" spans="2:12" x14ac:dyDescent="0.3">
      <c r="B6" s="3">
        <v>135</v>
      </c>
      <c r="C6" s="4"/>
      <c r="D6" s="5"/>
      <c r="E6" s="5"/>
      <c r="F6" s="5"/>
      <c r="L6">
        <v>4.68</v>
      </c>
    </row>
    <row r="7" spans="2:12" x14ac:dyDescent="0.3">
      <c r="B7" s="6">
        <v>139</v>
      </c>
      <c r="C7" s="4">
        <v>0.27</v>
      </c>
      <c r="D7" s="5"/>
      <c r="E7" s="5"/>
      <c r="F7" s="5"/>
    </row>
    <row r="8" spans="2:12" x14ac:dyDescent="0.3">
      <c r="B8" s="6">
        <v>141</v>
      </c>
      <c r="C8" s="4"/>
      <c r="D8" s="5"/>
      <c r="E8" s="5"/>
      <c r="F8" s="5"/>
      <c r="L8">
        <v>5.28</v>
      </c>
    </row>
    <row r="9" spans="2:12" x14ac:dyDescent="0.3">
      <c r="B9" s="6">
        <v>142</v>
      </c>
      <c r="C9" s="4"/>
      <c r="D9" s="5"/>
      <c r="E9" s="5">
        <v>1.93</v>
      </c>
      <c r="F9" s="5"/>
    </row>
    <row r="10" spans="2:12" x14ac:dyDescent="0.3">
      <c r="B10" s="6">
        <v>143</v>
      </c>
      <c r="C10" s="4"/>
      <c r="D10" s="5"/>
      <c r="E10" s="5"/>
      <c r="F10" s="5"/>
      <c r="J10">
        <v>2.13</v>
      </c>
    </row>
    <row r="11" spans="2:12" x14ac:dyDescent="0.3">
      <c r="B11" s="3">
        <v>148</v>
      </c>
      <c r="C11" s="4">
        <v>2.2000000000000002</v>
      </c>
      <c r="D11" s="5"/>
      <c r="E11" s="5">
        <v>5.0599999999999996</v>
      </c>
      <c r="F11" s="5"/>
      <c r="J11">
        <v>2.75</v>
      </c>
      <c r="L11">
        <v>0.28000000000000003</v>
      </c>
    </row>
    <row r="12" spans="2:12" x14ac:dyDescent="0.3">
      <c r="B12" s="3">
        <v>155</v>
      </c>
      <c r="C12" s="4"/>
      <c r="D12" s="5"/>
      <c r="E12" s="5"/>
      <c r="F12" s="5"/>
      <c r="J12">
        <v>3.13</v>
      </c>
    </row>
    <row r="13" spans="2:12" x14ac:dyDescent="0.3">
      <c r="B13" s="3">
        <v>156</v>
      </c>
      <c r="C13" s="4">
        <v>1.38</v>
      </c>
      <c r="D13" s="5"/>
      <c r="E13" s="5">
        <v>4.34</v>
      </c>
      <c r="F13" s="13">
        <v>0.7</v>
      </c>
      <c r="L13">
        <v>0.85</v>
      </c>
    </row>
    <row r="14" spans="2:12" x14ac:dyDescent="0.3">
      <c r="B14" s="3">
        <v>158</v>
      </c>
      <c r="C14" s="4"/>
      <c r="D14" s="5"/>
      <c r="E14" s="5"/>
      <c r="F14" s="13"/>
      <c r="K14">
        <v>2.52</v>
      </c>
    </row>
    <row r="15" spans="2:12" x14ac:dyDescent="0.3">
      <c r="B15" s="3">
        <v>162</v>
      </c>
      <c r="C15" s="4">
        <v>1.04</v>
      </c>
      <c r="D15" s="5"/>
      <c r="E15" s="5"/>
      <c r="F15" s="5"/>
      <c r="K15">
        <v>3.29</v>
      </c>
    </row>
    <row r="16" spans="2:12" x14ac:dyDescent="0.3">
      <c r="B16" s="3">
        <v>163</v>
      </c>
      <c r="C16" s="4"/>
      <c r="D16" s="5"/>
      <c r="E16" s="13">
        <v>2.74</v>
      </c>
      <c r="F16" s="5">
        <v>0.61</v>
      </c>
      <c r="J16">
        <v>4.28</v>
      </c>
    </row>
    <row r="17" spans="2:12" x14ac:dyDescent="0.3">
      <c r="B17" s="3">
        <v>164</v>
      </c>
      <c r="C17" s="4"/>
      <c r="D17" s="5"/>
      <c r="E17" s="13"/>
      <c r="F17" s="5"/>
      <c r="L17">
        <v>0.27</v>
      </c>
    </row>
    <row r="18" spans="2:12" x14ac:dyDescent="0.3">
      <c r="B18" s="3">
        <v>165</v>
      </c>
      <c r="C18" s="4"/>
      <c r="D18" s="5"/>
      <c r="E18" s="5"/>
      <c r="F18" s="5">
        <v>0.7</v>
      </c>
    </row>
    <row r="19" spans="2:12" x14ac:dyDescent="0.3">
      <c r="B19" s="3">
        <v>166</v>
      </c>
      <c r="C19" s="4"/>
      <c r="D19" s="5"/>
      <c r="E19" s="5"/>
      <c r="F19" s="5"/>
      <c r="K19">
        <v>2.73</v>
      </c>
    </row>
    <row r="20" spans="2:12" x14ac:dyDescent="0.3">
      <c r="B20" s="3">
        <v>169</v>
      </c>
      <c r="C20" s="4"/>
      <c r="D20" s="5"/>
      <c r="E20" s="5"/>
      <c r="F20" s="13">
        <v>1.54</v>
      </c>
    </row>
    <row r="21" spans="2:12" x14ac:dyDescent="0.3">
      <c r="B21" s="3">
        <v>170</v>
      </c>
      <c r="C21" s="4">
        <v>0.41</v>
      </c>
      <c r="D21" s="5"/>
      <c r="E21" s="5">
        <v>3.34</v>
      </c>
      <c r="F21" s="5"/>
      <c r="J21">
        <v>2.2799999999999998</v>
      </c>
    </row>
    <row r="22" spans="2:12" x14ac:dyDescent="0.3">
      <c r="B22" s="3">
        <v>172</v>
      </c>
      <c r="C22" s="4"/>
      <c r="D22" s="5"/>
      <c r="E22" s="5"/>
      <c r="F22" s="5"/>
      <c r="K22">
        <v>2.94</v>
      </c>
      <c r="L22">
        <v>7.0000000000000007E-2</v>
      </c>
    </row>
    <row r="23" spans="2:12" x14ac:dyDescent="0.3">
      <c r="B23" s="3">
        <v>173</v>
      </c>
      <c r="C23" s="4"/>
      <c r="D23" s="5">
        <v>3.31</v>
      </c>
      <c r="E23" s="5"/>
      <c r="F23" s="13">
        <v>1.1599999999999999</v>
      </c>
    </row>
    <row r="24" spans="2:12" x14ac:dyDescent="0.3">
      <c r="B24" s="3">
        <v>177</v>
      </c>
      <c r="C24" s="4"/>
      <c r="D24" s="5"/>
      <c r="E24" s="5">
        <v>6.04</v>
      </c>
      <c r="F24" s="5"/>
    </row>
    <row r="25" spans="2:12" x14ac:dyDescent="0.3">
      <c r="B25" s="3">
        <v>178</v>
      </c>
      <c r="C25" s="4"/>
      <c r="D25" s="5"/>
      <c r="E25" s="5"/>
      <c r="F25" s="13">
        <v>1.18</v>
      </c>
    </row>
    <row r="26" spans="2:12" x14ac:dyDescent="0.3">
      <c r="B26" s="3">
        <v>179</v>
      </c>
      <c r="C26" s="4"/>
      <c r="D26" s="5"/>
      <c r="E26" s="5"/>
      <c r="F26" s="13"/>
      <c r="K26">
        <v>2.11</v>
      </c>
    </row>
    <row r="27" spans="2:12" x14ac:dyDescent="0.3">
      <c r="B27" s="3">
        <v>180</v>
      </c>
      <c r="C27" s="4"/>
      <c r="D27" s="5">
        <v>2.61</v>
      </c>
      <c r="E27" s="5"/>
      <c r="F27" s="5"/>
    </row>
    <row r="28" spans="2:12" x14ac:dyDescent="0.3">
      <c r="B28" s="3">
        <v>181</v>
      </c>
      <c r="C28" s="4">
        <v>0.63</v>
      </c>
      <c r="D28" s="5"/>
      <c r="E28" s="5"/>
      <c r="F28" s="5"/>
    </row>
    <row r="29" spans="2:12" x14ac:dyDescent="0.3">
      <c r="B29" s="3">
        <v>183</v>
      </c>
      <c r="C29" s="4"/>
      <c r="D29" s="5"/>
      <c r="E29" s="5"/>
      <c r="F29" s="5"/>
      <c r="J29">
        <v>2.58</v>
      </c>
    </row>
    <row r="30" spans="2:12" x14ac:dyDescent="0.3">
      <c r="B30" s="3">
        <v>184</v>
      </c>
      <c r="C30" s="4"/>
      <c r="D30" s="5"/>
      <c r="E30" s="5">
        <v>3.35</v>
      </c>
      <c r="F30" s="5"/>
      <c r="L30">
        <v>0.44</v>
      </c>
    </row>
    <row r="31" spans="2:12" x14ac:dyDescent="0.3">
      <c r="B31" s="3">
        <v>185</v>
      </c>
      <c r="C31" s="4"/>
      <c r="D31" s="5"/>
      <c r="E31" s="5"/>
      <c r="F31" s="5">
        <v>1.32</v>
      </c>
    </row>
    <row r="32" spans="2:12" x14ac:dyDescent="0.3">
      <c r="B32" s="3">
        <v>186</v>
      </c>
      <c r="C32" s="4"/>
      <c r="D32" s="5"/>
      <c r="E32" s="5"/>
      <c r="F32" s="5"/>
      <c r="K32">
        <v>3.35</v>
      </c>
    </row>
    <row r="33" spans="2:12" x14ac:dyDescent="0.3">
      <c r="B33" s="3">
        <v>189</v>
      </c>
      <c r="C33" s="4"/>
      <c r="D33" s="5">
        <v>0.08</v>
      </c>
      <c r="E33" s="5"/>
      <c r="F33" s="5"/>
    </row>
    <row r="34" spans="2:12" x14ac:dyDescent="0.3">
      <c r="B34" s="3">
        <v>191</v>
      </c>
      <c r="C34" s="4"/>
      <c r="D34" s="5"/>
      <c r="E34" s="5">
        <v>3.06</v>
      </c>
      <c r="F34" s="5">
        <v>1.6</v>
      </c>
    </row>
    <row r="35" spans="2:12" x14ac:dyDescent="0.3">
      <c r="B35" s="3">
        <v>194</v>
      </c>
      <c r="C35" s="4"/>
      <c r="D35" s="5"/>
      <c r="E35" s="5"/>
      <c r="F35" s="5"/>
      <c r="K35">
        <v>4.66</v>
      </c>
    </row>
    <row r="36" spans="2:12" x14ac:dyDescent="0.3">
      <c r="B36" s="3">
        <v>195</v>
      </c>
      <c r="C36" s="4"/>
      <c r="D36" s="5">
        <v>1.23</v>
      </c>
      <c r="E36" s="5"/>
      <c r="F36" s="5"/>
    </row>
    <row r="37" spans="2:12" x14ac:dyDescent="0.3">
      <c r="B37" s="3">
        <v>196</v>
      </c>
      <c r="C37" s="4">
        <v>0.52</v>
      </c>
      <c r="D37" s="5"/>
      <c r="E37" s="5"/>
      <c r="F37" s="5"/>
    </row>
    <row r="38" spans="2:12" x14ac:dyDescent="0.3">
      <c r="B38" s="3">
        <v>197</v>
      </c>
      <c r="C38" s="4"/>
      <c r="D38" s="5"/>
      <c r="E38" s="5"/>
      <c r="F38" s="5"/>
      <c r="J38">
        <v>4</v>
      </c>
    </row>
    <row r="39" spans="2:12" x14ac:dyDescent="0.3">
      <c r="B39" s="3">
        <v>198</v>
      </c>
      <c r="C39" s="4"/>
      <c r="D39" s="5"/>
      <c r="E39" s="5">
        <v>2.9</v>
      </c>
      <c r="F39" s="5"/>
      <c r="L39">
        <v>0.75</v>
      </c>
    </row>
    <row r="40" spans="2:12" x14ac:dyDescent="0.3">
      <c r="B40" s="3">
        <v>199</v>
      </c>
      <c r="C40" s="4"/>
      <c r="D40" s="5"/>
      <c r="E40" s="5"/>
      <c r="F40" s="5">
        <v>2.21</v>
      </c>
    </row>
    <row r="41" spans="2:12" x14ac:dyDescent="0.3">
      <c r="B41" s="3">
        <v>200</v>
      </c>
      <c r="C41" s="4"/>
      <c r="D41" s="5"/>
      <c r="E41" s="5"/>
      <c r="F41" s="5"/>
      <c r="K41">
        <v>2.78</v>
      </c>
    </row>
    <row r="42" spans="2:12" x14ac:dyDescent="0.3">
      <c r="B42" s="3">
        <v>205</v>
      </c>
      <c r="C42" s="4"/>
      <c r="D42" s="5"/>
      <c r="E42" s="5">
        <v>1.58</v>
      </c>
      <c r="F42" s="5"/>
    </row>
    <row r="43" spans="2:12" x14ac:dyDescent="0.3">
      <c r="B43" s="3">
        <v>206</v>
      </c>
      <c r="C43" s="4"/>
      <c r="D43" s="5"/>
      <c r="E43" s="5"/>
      <c r="F43" s="5">
        <v>4.5199999999999996</v>
      </c>
    </row>
    <row r="44" spans="2:12" x14ac:dyDescent="0.3">
      <c r="B44" s="3">
        <v>208</v>
      </c>
      <c r="C44" s="4"/>
      <c r="D44" s="5"/>
      <c r="E44" s="5"/>
      <c r="F44" s="5"/>
      <c r="K44">
        <v>5.09</v>
      </c>
    </row>
    <row r="45" spans="2:12" x14ac:dyDescent="0.3">
      <c r="B45" s="3">
        <v>209</v>
      </c>
      <c r="C45" s="4">
        <v>0.84</v>
      </c>
      <c r="D45" s="5">
        <v>5.24</v>
      </c>
      <c r="E45" s="5"/>
      <c r="F45" s="5"/>
    </row>
    <row r="46" spans="2:12" x14ac:dyDescent="0.3">
      <c r="B46" s="3">
        <v>211</v>
      </c>
      <c r="C46" s="4"/>
      <c r="D46" s="5"/>
      <c r="E46" s="5"/>
      <c r="F46" s="5"/>
      <c r="J46">
        <v>4.68</v>
      </c>
    </row>
    <row r="47" spans="2:12" x14ac:dyDescent="0.3">
      <c r="B47" s="3">
        <v>212</v>
      </c>
      <c r="C47" s="4"/>
      <c r="D47" s="5"/>
      <c r="E47" s="5"/>
      <c r="F47" s="5"/>
      <c r="L47">
        <v>0.95</v>
      </c>
    </row>
    <row r="48" spans="2:12" x14ac:dyDescent="0.3">
      <c r="B48" s="3">
        <v>213</v>
      </c>
      <c r="C48" s="4"/>
      <c r="D48" s="5"/>
      <c r="E48" s="5">
        <v>1.19</v>
      </c>
      <c r="F48" s="5">
        <v>6.06</v>
      </c>
    </row>
    <row r="49" spans="2:12" x14ac:dyDescent="0.3">
      <c r="B49" s="3">
        <v>214</v>
      </c>
      <c r="C49" s="4"/>
      <c r="D49" s="5"/>
      <c r="E49" s="5"/>
      <c r="F49" s="5"/>
      <c r="K49">
        <v>4.43</v>
      </c>
    </row>
    <row r="50" spans="2:12" x14ac:dyDescent="0.3">
      <c r="B50" s="3">
        <v>219</v>
      </c>
      <c r="C50" s="4"/>
      <c r="D50" s="5"/>
      <c r="E50" s="5">
        <v>0.16</v>
      </c>
      <c r="F50" s="13">
        <v>4.9400000000000004</v>
      </c>
    </row>
    <row r="51" spans="2:12" x14ac:dyDescent="0.3">
      <c r="B51" s="3">
        <v>221</v>
      </c>
      <c r="C51" s="4"/>
      <c r="D51" s="5"/>
      <c r="E51" s="5"/>
      <c r="F51" s="13"/>
      <c r="K51">
        <v>4.46</v>
      </c>
    </row>
    <row r="52" spans="2:12" x14ac:dyDescent="0.3">
      <c r="B52" s="3">
        <v>223</v>
      </c>
      <c r="C52" s="4"/>
      <c r="D52" s="5">
        <v>1.46</v>
      </c>
      <c r="E52" s="5"/>
      <c r="F52" s="5"/>
    </row>
    <row r="53" spans="2:12" x14ac:dyDescent="0.3">
      <c r="B53" s="3">
        <v>224</v>
      </c>
      <c r="C53" s="2">
        <v>0.49</v>
      </c>
      <c r="D53" s="5"/>
      <c r="E53" s="5"/>
      <c r="F53" s="5"/>
    </row>
    <row r="54" spans="2:12" x14ac:dyDescent="0.3">
      <c r="B54" s="3">
        <v>226</v>
      </c>
      <c r="C54" s="2"/>
      <c r="D54" s="5"/>
      <c r="E54" s="5">
        <v>0.1</v>
      </c>
      <c r="F54" s="5"/>
      <c r="L54">
        <v>1.1299999999999999</v>
      </c>
    </row>
    <row r="55" spans="2:12" x14ac:dyDescent="0.3">
      <c r="B55" s="3">
        <v>227</v>
      </c>
      <c r="C55" s="2"/>
      <c r="D55" s="5"/>
      <c r="E55" s="5"/>
      <c r="F55" s="5">
        <v>5.44</v>
      </c>
      <c r="J55">
        <v>7.2</v>
      </c>
    </row>
    <row r="56" spans="2:12" x14ac:dyDescent="0.3">
      <c r="B56" s="3">
        <v>228</v>
      </c>
      <c r="C56" s="2"/>
      <c r="D56" s="5"/>
      <c r="E56" s="5"/>
      <c r="F56" s="5"/>
      <c r="K56">
        <v>2.87</v>
      </c>
    </row>
    <row r="57" spans="2:12" x14ac:dyDescent="0.3">
      <c r="B57" s="3">
        <v>233</v>
      </c>
      <c r="C57" s="2"/>
      <c r="D57" s="5"/>
      <c r="E57" s="5">
        <v>0.3</v>
      </c>
      <c r="F57" s="5">
        <v>4.4800000000000004</v>
      </c>
    </row>
    <row r="58" spans="2:12" x14ac:dyDescent="0.3">
      <c r="B58" s="7">
        <v>238</v>
      </c>
      <c r="C58" s="8"/>
      <c r="D58" s="9">
        <v>0.98</v>
      </c>
      <c r="E58" s="5"/>
      <c r="F58" s="5"/>
    </row>
    <row r="59" spans="2:12" x14ac:dyDescent="0.3">
      <c r="B59" s="7">
        <v>236</v>
      </c>
      <c r="C59" s="8"/>
      <c r="D59" s="9"/>
      <c r="E59" s="5"/>
      <c r="F59" s="5"/>
      <c r="K59">
        <v>3.16</v>
      </c>
    </row>
    <row r="60" spans="2:12" x14ac:dyDescent="0.3">
      <c r="B60" s="7">
        <v>240</v>
      </c>
      <c r="C60" s="8"/>
      <c r="D60" s="9"/>
      <c r="E60" s="5"/>
      <c r="F60" s="5">
        <v>6.19</v>
      </c>
    </row>
    <row r="61" spans="2:12" x14ac:dyDescent="0.3">
      <c r="B61" s="7">
        <v>242</v>
      </c>
      <c r="C61" s="8"/>
      <c r="D61" s="9"/>
      <c r="E61" s="5"/>
      <c r="F61" s="5"/>
      <c r="K61">
        <v>5.13</v>
      </c>
    </row>
    <row r="62" spans="2:12" x14ac:dyDescent="0.3">
      <c r="B62" s="7">
        <v>247</v>
      </c>
      <c r="C62" s="8"/>
      <c r="D62" s="9"/>
      <c r="E62" s="5"/>
      <c r="F62" s="13">
        <v>5.3</v>
      </c>
      <c r="K62">
        <v>4.97</v>
      </c>
    </row>
    <row r="63" spans="2:12" x14ac:dyDescent="0.3">
      <c r="B63" s="10">
        <v>250</v>
      </c>
      <c r="C63" s="8"/>
      <c r="D63" s="11">
        <v>4.49</v>
      </c>
      <c r="E63" s="5"/>
      <c r="F63" s="5"/>
    </row>
    <row r="64" spans="2:12" x14ac:dyDescent="0.3">
      <c r="B64" s="10">
        <v>264</v>
      </c>
      <c r="C64" s="8"/>
      <c r="D64" s="12">
        <v>0.45</v>
      </c>
      <c r="E64" s="5"/>
      <c r="F64" s="5"/>
    </row>
    <row r="66" spans="2:12" x14ac:dyDescent="0.3">
      <c r="B66" t="s">
        <v>6</v>
      </c>
      <c r="C66" s="14">
        <f>AVERAGE(C5:C64)</f>
        <v>0.876</v>
      </c>
      <c r="D66" s="14">
        <f t="shared" ref="D66:F66" si="0">AVERAGE(D5:D64)</f>
        <v>2.2055555555555553</v>
      </c>
      <c r="E66" s="14">
        <f t="shared" si="0"/>
        <v>2.577857142857142</v>
      </c>
      <c r="F66" s="14">
        <f t="shared" si="0"/>
        <v>2.9968749999999997</v>
      </c>
      <c r="J66" s="14">
        <f t="shared" ref="J66:L66" si="1">AVERAGE(J5:J64)</f>
        <v>3.67</v>
      </c>
      <c r="K66" s="14">
        <f t="shared" ref="K66" si="2">AVERAGE(K5:K64)</f>
        <v>3.6326666666666667</v>
      </c>
      <c r="L66" s="14">
        <f t="shared" si="1"/>
        <v>1.47</v>
      </c>
    </row>
    <row r="67" spans="2:12" x14ac:dyDescent="0.3">
      <c r="B67" t="s">
        <v>7</v>
      </c>
      <c r="C67" s="14">
        <f>MIN(C5:C64)</f>
        <v>0.27</v>
      </c>
      <c r="D67" s="14">
        <f t="shared" ref="D67:F67" si="3">MIN(D5:D64)</f>
        <v>0.08</v>
      </c>
      <c r="E67" s="14">
        <f t="shared" si="3"/>
        <v>0.1</v>
      </c>
      <c r="F67" s="14">
        <f t="shared" si="3"/>
        <v>0.61</v>
      </c>
      <c r="J67" s="14">
        <f t="shared" ref="J67:L67" si="4">MIN(J5:J64)</f>
        <v>2.13</v>
      </c>
      <c r="K67" s="14">
        <f t="shared" ref="K67" si="5">MIN(K5:K64)</f>
        <v>2.11</v>
      </c>
      <c r="L67" s="14">
        <f t="shared" si="4"/>
        <v>7.0000000000000007E-2</v>
      </c>
    </row>
    <row r="68" spans="2:12" x14ac:dyDescent="0.3">
      <c r="B68" t="s">
        <v>8</v>
      </c>
      <c r="C68" s="14">
        <f>MAX(C5:C64)</f>
        <v>2.2000000000000002</v>
      </c>
      <c r="D68" s="14">
        <f t="shared" ref="D68:F68" si="6">MAX(D5:D64)</f>
        <v>5.24</v>
      </c>
      <c r="E68" s="14">
        <f t="shared" si="6"/>
        <v>6.04</v>
      </c>
      <c r="F68" s="14">
        <f t="shared" si="6"/>
        <v>6.19</v>
      </c>
      <c r="J68" s="14">
        <f t="shared" ref="J68:L68" si="7">MAX(J5:J64)</f>
        <v>7.2</v>
      </c>
      <c r="K68" s="14">
        <f t="shared" ref="K68" si="8">MAX(K5:K64)</f>
        <v>5.13</v>
      </c>
      <c r="L68" s="14">
        <f t="shared" si="7"/>
        <v>5.28</v>
      </c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C024-BF1E-4909-8554-C5F25523561F}">
  <dimension ref="B2:K68"/>
  <sheetViews>
    <sheetView tabSelected="1" zoomScaleNormal="10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P65" sqref="P65"/>
    </sheetView>
  </sheetViews>
  <sheetFormatPr defaultRowHeight="14.4" x14ac:dyDescent="0.3"/>
  <sheetData>
    <row r="2" spans="2:11" x14ac:dyDescent="0.3">
      <c r="C2" s="16" t="s">
        <v>4</v>
      </c>
      <c r="D2" s="16"/>
      <c r="E2" s="16"/>
      <c r="F2" s="16"/>
    </row>
    <row r="3" spans="2:11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  <c r="I3" t="s">
        <v>9</v>
      </c>
      <c r="J3" t="s">
        <v>10</v>
      </c>
      <c r="K3" t="s">
        <v>11</v>
      </c>
    </row>
    <row r="4" spans="2:11" x14ac:dyDescent="0.3">
      <c r="B4">
        <v>127</v>
      </c>
      <c r="C4" s="15"/>
      <c r="D4" s="15"/>
      <c r="E4" s="15"/>
      <c r="F4" s="15"/>
      <c r="I4">
        <v>0.85</v>
      </c>
    </row>
    <row r="5" spans="2:11" x14ac:dyDescent="0.3">
      <c r="B5" s="3">
        <v>132</v>
      </c>
      <c r="C5" s="4">
        <v>0.79</v>
      </c>
      <c r="D5" s="5"/>
      <c r="E5" s="5"/>
      <c r="F5" s="5"/>
    </row>
    <row r="6" spans="2:11" x14ac:dyDescent="0.3">
      <c r="B6" s="3">
        <v>135</v>
      </c>
      <c r="C6" s="4"/>
      <c r="D6" s="5"/>
      <c r="E6" s="5"/>
      <c r="F6" s="5"/>
      <c r="K6">
        <v>0.59</v>
      </c>
    </row>
    <row r="7" spans="2:11" x14ac:dyDescent="0.3">
      <c r="B7" s="6">
        <v>139</v>
      </c>
      <c r="C7" s="4">
        <v>0.67</v>
      </c>
      <c r="D7" s="5"/>
      <c r="E7" s="5"/>
      <c r="F7" s="5"/>
    </row>
    <row r="8" spans="2:11" x14ac:dyDescent="0.3">
      <c r="B8" s="6">
        <v>141</v>
      </c>
      <c r="C8" s="4"/>
      <c r="D8" s="5"/>
      <c r="E8" s="5"/>
      <c r="F8" s="5"/>
      <c r="K8">
        <v>0</v>
      </c>
    </row>
    <row r="9" spans="2:11" x14ac:dyDescent="0.3">
      <c r="B9" s="6">
        <v>143</v>
      </c>
      <c r="C9" s="4"/>
      <c r="D9" s="5"/>
      <c r="E9" s="5"/>
      <c r="F9" s="5"/>
      <c r="I9">
        <v>0.35</v>
      </c>
    </row>
    <row r="10" spans="2:11" x14ac:dyDescent="0.3">
      <c r="B10" s="6">
        <v>142</v>
      </c>
      <c r="C10" s="4"/>
      <c r="D10" s="5"/>
      <c r="E10" s="5">
        <v>0.31</v>
      </c>
      <c r="F10" s="5"/>
    </row>
    <row r="11" spans="2:11" x14ac:dyDescent="0.3">
      <c r="B11" s="3">
        <v>148</v>
      </c>
      <c r="C11" s="4">
        <v>1.83</v>
      </c>
      <c r="D11" s="5"/>
      <c r="E11" s="5">
        <v>0</v>
      </c>
      <c r="F11" s="5"/>
      <c r="I11">
        <v>0.01</v>
      </c>
      <c r="K11">
        <v>0.01</v>
      </c>
    </row>
    <row r="12" spans="2:11" x14ac:dyDescent="0.3">
      <c r="B12" s="3">
        <v>155</v>
      </c>
      <c r="C12" s="4"/>
      <c r="D12" s="5"/>
      <c r="E12" s="5"/>
      <c r="F12" s="5"/>
      <c r="I12">
        <v>0.12</v>
      </c>
    </row>
    <row r="13" spans="2:11" x14ac:dyDescent="0.3">
      <c r="B13" s="3">
        <v>156</v>
      </c>
      <c r="C13" s="4">
        <v>1.02</v>
      </c>
      <c r="D13" s="5"/>
      <c r="E13" s="5">
        <v>0.02</v>
      </c>
      <c r="F13" s="13">
        <v>0.4</v>
      </c>
      <c r="K13">
        <v>1.1399999999999999</v>
      </c>
    </row>
    <row r="14" spans="2:11" x14ac:dyDescent="0.3">
      <c r="B14" s="3">
        <v>158</v>
      </c>
      <c r="C14" s="4"/>
      <c r="D14" s="5"/>
      <c r="E14" s="5"/>
      <c r="F14" s="13"/>
      <c r="J14">
        <v>0.28000000000000003</v>
      </c>
    </row>
    <row r="15" spans="2:11" x14ac:dyDescent="0.3">
      <c r="B15" s="3">
        <v>162</v>
      </c>
      <c r="C15" s="4">
        <v>2.08</v>
      </c>
      <c r="D15" s="5"/>
      <c r="E15" s="5"/>
      <c r="F15" s="5"/>
      <c r="J15">
        <v>0.14000000000000001</v>
      </c>
    </row>
    <row r="16" spans="2:11" x14ac:dyDescent="0.3">
      <c r="B16" s="3">
        <v>163</v>
      </c>
      <c r="C16" s="4"/>
      <c r="D16" s="5"/>
      <c r="E16" s="13">
        <v>0</v>
      </c>
      <c r="F16" s="5">
        <v>0.26</v>
      </c>
      <c r="I16">
        <v>0.52</v>
      </c>
    </row>
    <row r="17" spans="2:11" x14ac:dyDescent="0.3">
      <c r="B17" s="3">
        <v>164</v>
      </c>
      <c r="C17" s="4"/>
      <c r="D17" s="5"/>
      <c r="E17" s="13"/>
      <c r="F17" s="5"/>
      <c r="K17">
        <v>6.19</v>
      </c>
    </row>
    <row r="18" spans="2:11" x14ac:dyDescent="0.3">
      <c r="B18" s="3">
        <v>165</v>
      </c>
      <c r="C18" s="4"/>
      <c r="D18" s="5"/>
      <c r="E18" s="5"/>
      <c r="F18" s="5">
        <v>1.1599999999999999</v>
      </c>
    </row>
    <row r="19" spans="2:11" x14ac:dyDescent="0.3">
      <c r="B19" s="3">
        <v>166</v>
      </c>
      <c r="C19" s="4"/>
      <c r="D19" s="5"/>
      <c r="E19" s="5"/>
      <c r="F19" s="5"/>
      <c r="J19">
        <v>0.87</v>
      </c>
    </row>
    <row r="20" spans="2:11" x14ac:dyDescent="0.3">
      <c r="B20" s="3">
        <v>169</v>
      </c>
      <c r="C20" s="4"/>
      <c r="D20" s="5"/>
      <c r="E20" s="5"/>
      <c r="F20" s="13">
        <v>0.62</v>
      </c>
    </row>
    <row r="21" spans="2:11" x14ac:dyDescent="0.3">
      <c r="B21" s="3">
        <v>170</v>
      </c>
      <c r="C21" s="4">
        <v>5.19</v>
      </c>
      <c r="D21" s="5"/>
      <c r="E21" s="5">
        <v>0.02</v>
      </c>
      <c r="F21" s="5"/>
      <c r="I21">
        <v>0.46</v>
      </c>
    </row>
    <row r="22" spans="2:11" x14ac:dyDescent="0.3">
      <c r="B22" s="3">
        <v>172</v>
      </c>
      <c r="C22" s="4"/>
      <c r="D22" s="5"/>
      <c r="E22" s="5"/>
      <c r="F22" s="5"/>
      <c r="J22">
        <v>0.95</v>
      </c>
      <c r="K22">
        <v>4.46</v>
      </c>
    </row>
    <row r="23" spans="2:11" x14ac:dyDescent="0.3">
      <c r="B23" s="3">
        <v>173</v>
      </c>
      <c r="C23" s="4"/>
      <c r="D23" s="5">
        <v>2.57</v>
      </c>
      <c r="E23" s="5"/>
      <c r="F23" s="13">
        <v>0.7</v>
      </c>
    </row>
    <row r="24" spans="2:11" x14ac:dyDescent="0.3">
      <c r="B24" s="3">
        <v>177</v>
      </c>
      <c r="C24" s="4"/>
      <c r="D24" s="5"/>
      <c r="E24" s="5">
        <v>0</v>
      </c>
      <c r="F24" s="5"/>
    </row>
    <row r="25" spans="2:11" x14ac:dyDescent="0.3">
      <c r="B25" s="3">
        <v>178</v>
      </c>
      <c r="C25" s="4"/>
      <c r="D25" s="5"/>
      <c r="E25" s="5"/>
      <c r="F25" s="13">
        <v>1.87</v>
      </c>
    </row>
    <row r="26" spans="2:11" x14ac:dyDescent="0.3">
      <c r="B26" s="3">
        <v>179</v>
      </c>
      <c r="C26" s="4"/>
      <c r="D26" s="5"/>
      <c r="E26" s="5"/>
      <c r="F26" s="13"/>
      <c r="J26">
        <v>1.8</v>
      </c>
    </row>
    <row r="27" spans="2:11" x14ac:dyDescent="0.3">
      <c r="B27" s="3">
        <v>180</v>
      </c>
      <c r="C27" s="4"/>
      <c r="D27" s="5">
        <v>3.91</v>
      </c>
      <c r="E27" s="5"/>
      <c r="F27" s="5"/>
    </row>
    <row r="28" spans="2:11" x14ac:dyDescent="0.3">
      <c r="B28" s="3">
        <v>181</v>
      </c>
      <c r="C28" s="4">
        <v>3.35</v>
      </c>
      <c r="D28" s="5"/>
      <c r="E28" s="5"/>
      <c r="F28" s="5"/>
    </row>
    <row r="29" spans="2:11" x14ac:dyDescent="0.3">
      <c r="B29" s="3">
        <v>183</v>
      </c>
      <c r="C29" s="4"/>
      <c r="D29" s="5"/>
      <c r="E29" s="5"/>
      <c r="F29" s="5"/>
      <c r="I29">
        <v>1.2</v>
      </c>
    </row>
    <row r="30" spans="2:11" x14ac:dyDescent="0.3">
      <c r="B30" s="3">
        <v>184</v>
      </c>
      <c r="C30" s="4"/>
      <c r="D30" s="5"/>
      <c r="E30" s="5">
        <v>1.38</v>
      </c>
      <c r="F30" s="5"/>
      <c r="K30">
        <v>4.8</v>
      </c>
    </row>
    <row r="31" spans="2:11" x14ac:dyDescent="0.3">
      <c r="B31" s="3">
        <v>185</v>
      </c>
      <c r="C31" s="4"/>
      <c r="D31" s="5"/>
      <c r="E31" s="5"/>
      <c r="F31" s="5">
        <v>0.9</v>
      </c>
    </row>
    <row r="32" spans="2:11" x14ac:dyDescent="0.3">
      <c r="B32" s="3">
        <v>186</v>
      </c>
      <c r="C32" s="4"/>
      <c r="D32" s="5"/>
      <c r="E32" s="5"/>
      <c r="F32" s="5"/>
      <c r="J32">
        <v>0.79</v>
      </c>
    </row>
    <row r="33" spans="2:11" x14ac:dyDescent="0.3">
      <c r="B33" s="3">
        <v>189</v>
      </c>
      <c r="C33" s="4"/>
      <c r="D33" s="5">
        <v>6.56</v>
      </c>
      <c r="E33" s="5"/>
      <c r="F33" s="5"/>
    </row>
    <row r="34" spans="2:11" x14ac:dyDescent="0.3">
      <c r="B34" s="3">
        <v>191</v>
      </c>
      <c r="C34" s="4"/>
      <c r="D34" s="5"/>
      <c r="E34" s="5">
        <v>6.38</v>
      </c>
      <c r="F34" s="5">
        <v>1.02</v>
      </c>
    </row>
    <row r="35" spans="2:11" x14ac:dyDescent="0.3">
      <c r="B35" s="3">
        <v>194</v>
      </c>
      <c r="C35" s="4"/>
      <c r="D35" s="5"/>
      <c r="E35" s="5"/>
      <c r="F35" s="5"/>
      <c r="J35">
        <v>1.1100000000000001</v>
      </c>
    </row>
    <row r="36" spans="2:11" x14ac:dyDescent="0.3">
      <c r="B36" s="3">
        <v>195</v>
      </c>
      <c r="C36" s="4"/>
      <c r="D36" s="5">
        <v>3.42</v>
      </c>
      <c r="E36" s="5"/>
      <c r="F36" s="5"/>
    </row>
    <row r="37" spans="2:11" x14ac:dyDescent="0.3">
      <c r="B37" s="3">
        <v>196</v>
      </c>
      <c r="C37" s="4">
        <v>0.76</v>
      </c>
      <c r="D37" s="5"/>
      <c r="E37" s="5"/>
      <c r="F37" s="5"/>
    </row>
    <row r="38" spans="2:11" x14ac:dyDescent="0.3">
      <c r="B38" s="3">
        <v>197</v>
      </c>
      <c r="C38" s="4"/>
      <c r="D38" s="5"/>
      <c r="E38" s="5"/>
      <c r="F38" s="5"/>
      <c r="I38">
        <v>0.78</v>
      </c>
    </row>
    <row r="39" spans="2:11" x14ac:dyDescent="0.3">
      <c r="B39" s="3">
        <v>198</v>
      </c>
      <c r="C39" s="4"/>
      <c r="D39" s="5"/>
      <c r="E39" s="5">
        <v>3.74</v>
      </c>
      <c r="F39" s="5"/>
      <c r="K39">
        <v>1.55</v>
      </c>
    </row>
    <row r="40" spans="2:11" x14ac:dyDescent="0.3">
      <c r="B40" s="3">
        <v>199</v>
      </c>
      <c r="C40" s="4"/>
      <c r="D40" s="5"/>
      <c r="E40" s="5"/>
      <c r="F40" s="5">
        <v>4.49</v>
      </c>
    </row>
    <row r="41" spans="2:11" x14ac:dyDescent="0.3">
      <c r="B41" s="3">
        <v>200</v>
      </c>
      <c r="C41" s="4"/>
      <c r="D41" s="5"/>
      <c r="E41" s="5"/>
      <c r="F41" s="5"/>
      <c r="J41">
        <v>1.77</v>
      </c>
    </row>
    <row r="42" spans="2:11" x14ac:dyDescent="0.3">
      <c r="B42" s="3">
        <v>205</v>
      </c>
      <c r="C42" s="4"/>
      <c r="D42" s="5"/>
      <c r="E42" s="5">
        <v>0.61</v>
      </c>
      <c r="F42" s="5"/>
    </row>
    <row r="43" spans="2:11" x14ac:dyDescent="0.3">
      <c r="B43" s="3">
        <v>206</v>
      </c>
      <c r="C43" s="4"/>
      <c r="D43" s="5"/>
      <c r="E43" s="5"/>
      <c r="F43" s="5">
        <v>2.96</v>
      </c>
    </row>
    <row r="44" spans="2:11" x14ac:dyDescent="0.3">
      <c r="B44" s="3">
        <v>208</v>
      </c>
      <c r="C44" s="4"/>
      <c r="D44" s="5"/>
      <c r="E44" s="5"/>
      <c r="F44" s="5"/>
      <c r="J44">
        <v>3.13</v>
      </c>
    </row>
    <row r="45" spans="2:11" x14ac:dyDescent="0.3">
      <c r="B45" s="3">
        <v>209</v>
      </c>
      <c r="C45" s="4">
        <v>0.3</v>
      </c>
      <c r="D45" s="5">
        <v>3.26</v>
      </c>
      <c r="E45" s="5"/>
      <c r="F45" s="5"/>
    </row>
    <row r="46" spans="2:11" x14ac:dyDescent="0.3">
      <c r="B46" s="3">
        <v>211</v>
      </c>
      <c r="C46" s="4"/>
      <c r="D46" s="5"/>
      <c r="E46" s="5"/>
      <c r="F46" s="5"/>
      <c r="I46">
        <v>0.16</v>
      </c>
    </row>
    <row r="47" spans="2:11" x14ac:dyDescent="0.3">
      <c r="B47" s="3">
        <v>212</v>
      </c>
      <c r="C47" s="4"/>
      <c r="D47" s="5"/>
      <c r="E47" s="5"/>
      <c r="F47" s="5"/>
      <c r="K47">
        <v>0.93</v>
      </c>
    </row>
    <row r="48" spans="2:11" x14ac:dyDescent="0.3">
      <c r="B48" s="3">
        <v>213</v>
      </c>
      <c r="C48" s="4"/>
      <c r="D48" s="5"/>
      <c r="E48" s="5">
        <v>10.220000000000001</v>
      </c>
      <c r="F48" s="5">
        <v>1.57</v>
      </c>
    </row>
    <row r="49" spans="2:11" x14ac:dyDescent="0.3">
      <c r="B49" s="3">
        <v>214</v>
      </c>
      <c r="C49" s="4"/>
      <c r="D49" s="5"/>
      <c r="E49" s="5"/>
      <c r="F49" s="5"/>
      <c r="J49">
        <v>0.56999999999999995</v>
      </c>
    </row>
    <row r="50" spans="2:11" x14ac:dyDescent="0.3">
      <c r="B50" s="3">
        <v>219</v>
      </c>
      <c r="C50" s="4"/>
      <c r="D50" s="5"/>
      <c r="E50" s="5">
        <v>7.73</v>
      </c>
      <c r="F50" s="13">
        <v>0.63</v>
      </c>
    </row>
    <row r="51" spans="2:11" x14ac:dyDescent="0.3">
      <c r="B51" s="3">
        <v>221</v>
      </c>
      <c r="C51" s="4"/>
      <c r="D51" s="5"/>
      <c r="E51" s="5"/>
      <c r="F51" s="13"/>
      <c r="J51">
        <v>0.66</v>
      </c>
    </row>
    <row r="52" spans="2:11" x14ac:dyDescent="0.3">
      <c r="B52" s="3">
        <v>223</v>
      </c>
      <c r="C52" s="4"/>
      <c r="D52" s="5">
        <v>19.899999999999999</v>
      </c>
      <c r="E52" s="5"/>
      <c r="F52" s="5"/>
    </row>
    <row r="53" spans="2:11" x14ac:dyDescent="0.3">
      <c r="B53" s="3">
        <v>224</v>
      </c>
      <c r="C53" s="2">
        <v>3.2</v>
      </c>
      <c r="D53" s="5"/>
      <c r="E53" s="5"/>
      <c r="F53" s="5"/>
    </row>
    <row r="54" spans="2:11" x14ac:dyDescent="0.3">
      <c r="B54" s="3">
        <v>226</v>
      </c>
      <c r="C54" s="2"/>
      <c r="D54" s="5"/>
      <c r="E54" s="5">
        <v>27.79</v>
      </c>
      <c r="F54" s="5"/>
      <c r="K54">
        <v>0.37</v>
      </c>
    </row>
    <row r="55" spans="2:11" x14ac:dyDescent="0.3">
      <c r="B55" s="3">
        <v>227</v>
      </c>
      <c r="C55" s="2"/>
      <c r="D55" s="5"/>
      <c r="E55" s="5"/>
      <c r="F55" s="5">
        <v>3.29</v>
      </c>
      <c r="I55">
        <v>0.53</v>
      </c>
    </row>
    <row r="56" spans="2:11" x14ac:dyDescent="0.3">
      <c r="B56" s="3">
        <v>228</v>
      </c>
      <c r="C56" s="2"/>
      <c r="D56" s="5"/>
      <c r="E56" s="5"/>
      <c r="F56" s="5"/>
      <c r="J56">
        <v>1.04</v>
      </c>
    </row>
    <row r="57" spans="2:11" x14ac:dyDescent="0.3">
      <c r="B57" s="3">
        <v>233</v>
      </c>
      <c r="C57" s="2"/>
      <c r="D57" s="5"/>
      <c r="E57" s="5">
        <v>19.420000000000002</v>
      </c>
      <c r="F57" s="5">
        <v>0.64</v>
      </c>
    </row>
    <row r="58" spans="2:11" x14ac:dyDescent="0.3">
      <c r="B58" s="7">
        <v>238</v>
      </c>
      <c r="C58" s="8"/>
      <c r="D58" s="9">
        <v>11.25</v>
      </c>
      <c r="E58" s="5"/>
      <c r="F58" s="5"/>
    </row>
    <row r="59" spans="2:11" x14ac:dyDescent="0.3">
      <c r="B59" s="7">
        <v>236</v>
      </c>
      <c r="C59" s="8"/>
      <c r="D59" s="9"/>
      <c r="E59" s="5"/>
      <c r="F59" s="5"/>
      <c r="J59">
        <v>0.11</v>
      </c>
    </row>
    <row r="60" spans="2:11" x14ac:dyDescent="0.3">
      <c r="B60" s="7">
        <v>240</v>
      </c>
      <c r="C60" s="8"/>
      <c r="D60" s="9"/>
      <c r="E60" s="5"/>
      <c r="F60" s="5">
        <v>0.28000000000000003</v>
      </c>
    </row>
    <row r="61" spans="2:11" x14ac:dyDescent="0.3">
      <c r="B61" s="7">
        <v>242</v>
      </c>
      <c r="C61" s="8"/>
      <c r="D61" s="9"/>
      <c r="E61" s="5"/>
      <c r="F61" s="5"/>
      <c r="J61">
        <v>0.83</v>
      </c>
    </row>
    <row r="62" spans="2:11" x14ac:dyDescent="0.3">
      <c r="B62" s="7">
        <v>247</v>
      </c>
      <c r="C62" s="8"/>
      <c r="D62" s="9"/>
      <c r="E62" s="5"/>
      <c r="F62" s="13">
        <v>0.19</v>
      </c>
      <c r="J62">
        <v>0.87</v>
      </c>
    </row>
    <row r="63" spans="2:11" x14ac:dyDescent="0.3">
      <c r="B63" s="10">
        <v>250</v>
      </c>
      <c r="C63" s="8"/>
      <c r="D63" s="11">
        <v>10.42</v>
      </c>
      <c r="E63" s="5"/>
      <c r="F63" s="5"/>
    </row>
    <row r="64" spans="2:11" x14ac:dyDescent="0.3">
      <c r="B64" s="10">
        <v>264</v>
      </c>
      <c r="C64" s="8"/>
      <c r="D64" s="12">
        <v>10.29</v>
      </c>
      <c r="E64" s="5"/>
      <c r="F64" s="5"/>
    </row>
    <row r="66" spans="2:11" x14ac:dyDescent="0.3">
      <c r="B66" t="s">
        <v>6</v>
      </c>
      <c r="C66" s="14">
        <f>AVERAGE(C5:C64)</f>
        <v>1.919</v>
      </c>
      <c r="D66" s="14">
        <f t="shared" ref="D66:F66" si="0">AVERAGE(D5:D64)</f>
        <v>7.9533333333333331</v>
      </c>
      <c r="E66" s="14">
        <f t="shared" si="0"/>
        <v>5.5442857142857145</v>
      </c>
      <c r="F66" s="14">
        <f t="shared" si="0"/>
        <v>1.31125</v>
      </c>
      <c r="I66" s="14">
        <f t="shared" ref="I66:K66" si="1">AVERAGE(I5:I64)</f>
        <v>0.45888888888888896</v>
      </c>
      <c r="J66" s="14">
        <f t="shared" ref="J66" si="2">AVERAGE(J5:J64)</f>
        <v>0.99466666666666659</v>
      </c>
      <c r="K66" s="14">
        <f t="shared" si="1"/>
        <v>2.0040000000000004</v>
      </c>
    </row>
    <row r="67" spans="2:11" x14ac:dyDescent="0.3">
      <c r="B67" t="s">
        <v>7</v>
      </c>
      <c r="C67" s="14">
        <f>MIN(C5:C64)</f>
        <v>0.3</v>
      </c>
      <c r="D67" s="14">
        <f t="shared" ref="D67:F67" si="3">MIN(D5:D64)</f>
        <v>2.57</v>
      </c>
      <c r="E67" s="14">
        <f t="shared" si="3"/>
        <v>0</v>
      </c>
      <c r="F67" s="14">
        <f t="shared" si="3"/>
        <v>0.19</v>
      </c>
      <c r="I67" s="14">
        <f t="shared" ref="I67:K67" si="4">MIN(I5:I64)</f>
        <v>0.01</v>
      </c>
      <c r="J67" s="14">
        <f t="shared" ref="J67" si="5">MIN(J5:J64)</f>
        <v>0.11</v>
      </c>
      <c r="K67" s="14">
        <f t="shared" si="4"/>
        <v>0</v>
      </c>
    </row>
    <row r="68" spans="2:11" x14ac:dyDescent="0.3">
      <c r="B68" t="s">
        <v>8</v>
      </c>
      <c r="C68" s="14">
        <f>MAX(C5:C64)</f>
        <v>5.19</v>
      </c>
      <c r="D68" s="14">
        <f t="shared" ref="D68:F68" si="6">MAX(D5:D64)</f>
        <v>19.899999999999999</v>
      </c>
      <c r="E68" s="14">
        <f t="shared" si="6"/>
        <v>27.79</v>
      </c>
      <c r="F68" s="14">
        <f t="shared" si="6"/>
        <v>4.49</v>
      </c>
      <c r="I68" s="14">
        <f t="shared" ref="I68:K68" si="7">MAX(I5:I64)</f>
        <v>1.2</v>
      </c>
      <c r="J68" s="14">
        <f t="shared" ref="J68" si="8">MAX(J5:J64)</f>
        <v>3.13</v>
      </c>
      <c r="K68" s="14">
        <f t="shared" si="7"/>
        <v>6.19</v>
      </c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Blue greens</vt:lpstr>
      <vt:lpstr>Cryptophytes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</cp:lastModifiedBy>
  <dcterms:created xsi:type="dcterms:W3CDTF">2021-11-17T16:08:00Z</dcterms:created>
  <dcterms:modified xsi:type="dcterms:W3CDTF">2022-06-08T16:28:47Z</dcterms:modified>
</cp:coreProperties>
</file>