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4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chultz43\Desktop\C3143 Ecosystem modeling of Mesocosms\Documentation\"/>
    </mc:Choice>
  </mc:AlternateContent>
  <xr:revisionPtr revIDLastSave="0" documentId="13_ncr:1_{E1E01777-F8C6-4D04-B65A-AB7AB65173FF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Source_Animals" sheetId="3" r:id="rId1"/>
    <sheet name="Source_Plants" sheetId="1" r:id="rId2"/>
    <sheet name="Table 1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2" l="1"/>
  <c r="C28" i="2"/>
  <c r="C27" i="2"/>
  <c r="C26" i="2"/>
  <c r="C25" i="2"/>
  <c r="C24" i="2"/>
  <c r="C23" i="2"/>
  <c r="C22" i="2"/>
  <c r="C21" i="2"/>
  <c r="C20" i="2"/>
  <c r="C19" i="2"/>
  <c r="C18" i="2"/>
  <c r="C8" i="2"/>
  <c r="C9" i="2"/>
  <c r="C10" i="2"/>
  <c r="C11" i="2"/>
  <c r="C12" i="2"/>
  <c r="C13" i="2"/>
  <c r="C14" i="2"/>
  <c r="C15" i="2"/>
  <c r="C7" i="2"/>
  <c r="C3" i="2"/>
  <c r="C4" i="2"/>
  <c r="C5" i="2"/>
  <c r="C2" i="2"/>
</calcChain>
</file>

<file path=xl/sharedStrings.xml><?xml version="1.0" encoding="utf-8"?>
<sst xmlns="http://schemas.openxmlformats.org/spreadsheetml/2006/main" count="152" uniqueCount="81">
  <si>
    <t>Chemical name</t>
  </si>
  <si>
    <t>Animal name</t>
  </si>
  <si>
    <t>LC50 (ug/L)</t>
  </si>
  <si>
    <t>LC50 exp. time (h)</t>
  </si>
  <si>
    <t>LC50 comment</t>
  </si>
  <si>
    <t>K2 Elim. rate const (1/d)</t>
  </si>
  <si>
    <t>K1 Uptake const (L/kg d)</t>
  </si>
  <si>
    <t>BCF (L/kg)</t>
  </si>
  <si>
    <t>Biotrnsfm. rate (1/d)</t>
  </si>
  <si>
    <t>EC50 growth (ug/L)</t>
  </si>
  <si>
    <t>Growth exp. (h)</t>
  </si>
  <si>
    <t>EC50 repro (ug/L)</t>
  </si>
  <si>
    <t>Repro. exp. time(h)</t>
  </si>
  <si>
    <t>EC50 comment</t>
  </si>
  <si>
    <t>Ave. wet wt. (g)</t>
  </si>
  <si>
    <t>Lipid Frac</t>
  </si>
  <si>
    <t>Drift Threshold (ug/L)</t>
  </si>
  <si>
    <t>Drift Comment</t>
  </si>
  <si>
    <t>LC50 slope</t>
  </si>
  <si>
    <t>EC50 growth slope</t>
  </si>
  <si>
    <t>EC50 repro slope</t>
  </si>
  <si>
    <t>Azoxystrobin</t>
  </si>
  <si>
    <t>Gastropod</t>
  </si>
  <si>
    <t>Farrelly et al, 1995i - Lymnae Stanalis Assumed 48 Hour</t>
  </si>
  <si>
    <t>Odonata</t>
  </si>
  <si>
    <t>Farrelly et al, 1995f - Ischnura elegans</t>
  </si>
  <si>
    <t>CladoceranPhyt</t>
  </si>
  <si>
    <t>Web Ice Tool Surrogate for Daphnia Magna and Pulex. Assumed 48 hr</t>
  </si>
  <si>
    <t>CladoceranSmall</t>
  </si>
  <si>
    <t>Web Ice Tool Surrogate for Cladocera. Assumed 48 hr</t>
  </si>
  <si>
    <t>Calanoida</t>
  </si>
  <si>
    <t>Farrelly E, Kearson Jr LL, Rapley JH and Harner MJ 1995a - Macrocyclops fuscus</t>
  </si>
  <si>
    <t>Cyclopidae</t>
  </si>
  <si>
    <t>Daphnidae</t>
  </si>
  <si>
    <t>Web Ice Tool ran for Daphnia Magna and Pulex. Assumed 48 hr</t>
  </si>
  <si>
    <t>Simocephalus</t>
  </si>
  <si>
    <t>Web Ice Tool Surrogate for Daphnia Magna and Pulex</t>
  </si>
  <si>
    <t>Keratella</t>
  </si>
  <si>
    <t>EFSA Journal, 2010 8(4):1542; Farrelly et al, 1995h - Brachionus calyciforus</t>
  </si>
  <si>
    <t>RotiferBranch</t>
  </si>
  <si>
    <t>Asellus</t>
  </si>
  <si>
    <t>Farrelly et al, 1995c - Asellus aquaticus</t>
  </si>
  <si>
    <t>Chaoborus</t>
  </si>
  <si>
    <t>Farrelly E, Kearson Jr LL, Rapley JH and Hamer MJ, 1995e - Chaoborus crystallinus</t>
  </si>
  <si>
    <t>ChironomidOther</t>
  </si>
  <si>
    <t>Farrelly E, Kearson Jr LL, Rapley JH and Hamer MJ, 1995b - Chironomus riparius</t>
  </si>
  <si>
    <t>Cloeon</t>
  </si>
  <si>
    <t>Farrelly E, Kearson Jr LL, Rapley JH and Hamer MJ, 1995g - Cloeon dipterum</t>
  </si>
  <si>
    <t>Hirudinea</t>
  </si>
  <si>
    <t>Web Ice Tool Surrogate for Oligochaeta</t>
  </si>
  <si>
    <t>Notonecta</t>
  </si>
  <si>
    <t>Rapley et al, 1995c - Notonecta glauca</t>
  </si>
  <si>
    <t>Oligochaeta</t>
  </si>
  <si>
    <t>Web Ice Tool Surrogate ran for Oligochaeta</t>
  </si>
  <si>
    <t>Tanypodinae</t>
  </si>
  <si>
    <t>Gammarus</t>
  </si>
  <si>
    <t>Farrelly E, Kearson Jr. LL, Rapley JH, Hamer MJ, 1995b - Gammarus pulex</t>
  </si>
  <si>
    <t>Plant name</t>
  </si>
  <si>
    <t>EC50 photo (ug/L)</t>
  </si>
  <si>
    <t>EC50 exp. time (h)</t>
  </si>
  <si>
    <t>EC50 dislodge (ug/L)</t>
  </si>
  <si>
    <t>K1 Uptake Const (L/kg d)</t>
  </si>
  <si>
    <t>EC50 photo slope</t>
  </si>
  <si>
    <t>Phyto Greens</t>
  </si>
  <si>
    <t>Smyth DV, Kent SJ, Sankey SA, Shearing JM, 1994 - Selenastrum.</t>
  </si>
  <si>
    <t>Peri Greens</t>
  </si>
  <si>
    <t>Smyth DV, Kent SJ, Sankey SA, Shearing JM, 1994 - Selenastrum</t>
  </si>
  <si>
    <t>Phyto BlueGreen</t>
  </si>
  <si>
    <t>Smyth DV, Kent SJ, Sankey SA, Shearing JM, 1994 - Anabaena. Recalculated EC50 (See EFSA 2010)</t>
  </si>
  <si>
    <t>Peri BlueGreen</t>
  </si>
  <si>
    <t>Smyth DV, Kent SJ, Sankey SA, Shearing JM, 1994 - Anabaena. Recalculated EC50 (See EFSA 2010</t>
  </si>
  <si>
    <t>Phyto Diatom</t>
  </si>
  <si>
    <t>Smyth DV, Sankey SA, Kent SJ, Stanley RD, 1994 - Navicula. Recalculated EC50 (See EFSA 2010)</t>
  </si>
  <si>
    <t>Peri Diatom</t>
  </si>
  <si>
    <t>Phyto Crypto</t>
  </si>
  <si>
    <t>Chara</t>
  </si>
  <si>
    <t>Smyth DV, Kent SJ, Sankey SA, Stanley RD, 1993. - Lemna gibba</t>
  </si>
  <si>
    <t>Myriophyllum</t>
  </si>
  <si>
    <t>Species Name</t>
  </si>
  <si>
    <t>Provided EC/LC50</t>
  </si>
  <si>
    <t>Applied EC/LC50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</si>
</sst>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"/>
  <sheetViews>
    <sheetView workbookViewId="0">
      <pane xSplit="1" ySplit="1" topLeftCell="B2" activePane="bottomRight" state="frozen"/>
      <selection pane="bottomRight" activeCell="B8" sqref="B8:E8"/>
      <selection pane="bottomLeft" activeCell="A2" sqref="A2"/>
      <selection pane="topRight" activeCell="B1" sqref="B1"/>
    </sheetView>
  </sheetViews>
  <sheetFormatPr defaultRowHeight="15"/>
  <cols>
    <col min="1" max="1" width="14.7109375" bestFit="1" customWidth="1"/>
    <col min="2" max="2" width="16.7109375" bestFit="1" customWidth="1"/>
    <col min="3" max="3" width="10.7109375" bestFit="1" customWidth="1"/>
    <col min="4" max="4" width="17" bestFit="1" customWidth="1"/>
    <col min="5" max="5" width="73.28515625" bestFit="1" customWidth="1"/>
    <col min="6" max="6" width="22.42578125" bestFit="1" customWidth="1"/>
    <col min="7" max="7" width="22.7109375" bestFit="1" customWidth="1"/>
    <col min="8" max="8" width="9.85546875" bestFit="1" customWidth="1"/>
    <col min="9" max="9" width="19.42578125" bestFit="1" customWidth="1"/>
    <col min="10" max="10" width="17.85546875" bestFit="1" customWidth="1"/>
    <col min="11" max="11" width="15.140625" bestFit="1" customWidth="1"/>
    <col min="12" max="12" width="16.28515625" bestFit="1" customWidth="1"/>
    <col min="13" max="13" width="18.5703125" bestFit="1" customWidth="1"/>
    <col min="14" max="14" width="14.140625" bestFit="1" customWidth="1"/>
    <col min="15" max="15" width="15.140625" bestFit="1" customWidth="1"/>
    <col min="16" max="16" width="9.28515625" bestFit="1" customWidth="1"/>
    <col min="17" max="17" width="20.28515625" bestFit="1" customWidth="1"/>
    <col min="18" max="18" width="14.28515625" bestFit="1" customWidth="1"/>
    <col min="19" max="19" width="10.28515625" bestFit="1" customWidth="1"/>
    <col min="20" max="20" width="17.42578125" bestFit="1" customWidth="1"/>
    <col min="21" max="21" width="15.85546875" bestFit="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21</v>
      </c>
      <c r="B2" t="s">
        <v>22</v>
      </c>
      <c r="C2">
        <v>4000</v>
      </c>
      <c r="D2">
        <v>48</v>
      </c>
      <c r="E2" t="s">
        <v>23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O2">
        <v>0</v>
      </c>
      <c r="P2">
        <v>0</v>
      </c>
      <c r="Q2">
        <v>0</v>
      </c>
      <c r="S2">
        <v>0</v>
      </c>
      <c r="T2">
        <v>0</v>
      </c>
      <c r="U2">
        <v>0</v>
      </c>
    </row>
    <row r="3" spans="1:21">
      <c r="A3" s="1" t="s">
        <v>21</v>
      </c>
      <c r="B3" t="s">
        <v>24</v>
      </c>
      <c r="C3">
        <v>4000</v>
      </c>
      <c r="D3">
        <v>48</v>
      </c>
      <c r="E3" t="s">
        <v>25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O3">
        <v>0</v>
      </c>
      <c r="P3">
        <v>0</v>
      </c>
      <c r="Q3">
        <v>0</v>
      </c>
      <c r="S3">
        <v>0</v>
      </c>
      <c r="T3">
        <v>0</v>
      </c>
      <c r="U3">
        <v>0</v>
      </c>
    </row>
    <row r="4" spans="1:21">
      <c r="A4" s="1" t="s">
        <v>21</v>
      </c>
      <c r="B4" t="s">
        <v>26</v>
      </c>
      <c r="C4">
        <v>207</v>
      </c>
      <c r="D4">
        <v>48</v>
      </c>
      <c r="E4" t="s">
        <v>27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O4">
        <v>0</v>
      </c>
      <c r="P4">
        <v>0.03</v>
      </c>
      <c r="Q4">
        <v>0</v>
      </c>
      <c r="S4">
        <v>0</v>
      </c>
      <c r="T4">
        <v>0</v>
      </c>
      <c r="U4">
        <v>0</v>
      </c>
    </row>
    <row r="5" spans="1:21">
      <c r="A5" s="1" t="s">
        <v>21</v>
      </c>
      <c r="B5" t="s">
        <v>28</v>
      </c>
      <c r="C5">
        <v>87</v>
      </c>
      <c r="D5">
        <v>48</v>
      </c>
      <c r="E5" t="s">
        <v>29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O5">
        <v>0</v>
      </c>
      <c r="P5">
        <v>0.03</v>
      </c>
      <c r="Q5">
        <v>0</v>
      </c>
      <c r="S5">
        <v>0</v>
      </c>
      <c r="T5">
        <v>0</v>
      </c>
      <c r="U5">
        <v>0</v>
      </c>
    </row>
    <row r="6" spans="1:21">
      <c r="A6" s="1" t="s">
        <v>21</v>
      </c>
      <c r="B6" t="s">
        <v>30</v>
      </c>
      <c r="C6">
        <v>130</v>
      </c>
      <c r="D6">
        <v>48</v>
      </c>
      <c r="E6" t="s">
        <v>31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O6">
        <v>0</v>
      </c>
      <c r="P6">
        <v>0</v>
      </c>
      <c r="Q6">
        <v>0</v>
      </c>
      <c r="S6">
        <v>0</v>
      </c>
      <c r="T6">
        <v>0</v>
      </c>
      <c r="U6">
        <v>0</v>
      </c>
    </row>
    <row r="7" spans="1:21">
      <c r="A7" s="1" t="s">
        <v>21</v>
      </c>
      <c r="B7" t="s">
        <v>32</v>
      </c>
      <c r="C7">
        <v>9.5500000000000007</v>
      </c>
      <c r="D7">
        <v>48</v>
      </c>
      <c r="E7" t="s">
        <v>31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O7">
        <v>0</v>
      </c>
      <c r="P7">
        <v>0.1</v>
      </c>
      <c r="Q7">
        <v>0</v>
      </c>
      <c r="S7">
        <v>0</v>
      </c>
      <c r="T7">
        <v>0</v>
      </c>
      <c r="U7">
        <v>0</v>
      </c>
    </row>
    <row r="8" spans="1:21">
      <c r="A8" s="1" t="s">
        <v>21</v>
      </c>
      <c r="B8" t="s">
        <v>33</v>
      </c>
      <c r="C8">
        <v>35.67</v>
      </c>
      <c r="D8">
        <v>48</v>
      </c>
      <c r="E8" t="s">
        <v>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O8">
        <v>0</v>
      </c>
      <c r="P8">
        <v>0</v>
      </c>
      <c r="Q8">
        <v>0</v>
      </c>
      <c r="S8">
        <v>0</v>
      </c>
      <c r="T8">
        <v>0</v>
      </c>
      <c r="U8">
        <v>0</v>
      </c>
    </row>
    <row r="9" spans="1:21">
      <c r="A9" s="1" t="s">
        <v>21</v>
      </c>
      <c r="B9" t="s">
        <v>35</v>
      </c>
      <c r="C9">
        <v>238</v>
      </c>
      <c r="D9">
        <v>48</v>
      </c>
      <c r="E9" t="s">
        <v>36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O9">
        <v>0</v>
      </c>
      <c r="P9">
        <v>0.03</v>
      </c>
      <c r="Q9">
        <v>0</v>
      </c>
      <c r="S9">
        <v>0</v>
      </c>
      <c r="T9">
        <v>0</v>
      </c>
      <c r="U9">
        <v>0</v>
      </c>
    </row>
    <row r="10" spans="1:21">
      <c r="A10" s="1" t="s">
        <v>21</v>
      </c>
      <c r="B10" t="s">
        <v>37</v>
      </c>
      <c r="C10">
        <v>4000</v>
      </c>
      <c r="D10">
        <v>48</v>
      </c>
      <c r="E10" t="s">
        <v>38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O10">
        <v>0</v>
      </c>
      <c r="P10">
        <v>0</v>
      </c>
      <c r="Q10">
        <v>0</v>
      </c>
      <c r="S10">
        <v>0</v>
      </c>
      <c r="T10">
        <v>0</v>
      </c>
      <c r="U10">
        <v>0</v>
      </c>
    </row>
    <row r="11" spans="1:21">
      <c r="A11" s="1" t="s">
        <v>21</v>
      </c>
      <c r="B11" t="s">
        <v>39</v>
      </c>
      <c r="C11">
        <v>4000</v>
      </c>
      <c r="D11">
        <v>48</v>
      </c>
      <c r="E11" t="s">
        <v>38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O11">
        <v>0</v>
      </c>
      <c r="P11">
        <v>0.03</v>
      </c>
      <c r="Q11">
        <v>0</v>
      </c>
      <c r="S11">
        <v>0</v>
      </c>
      <c r="T11">
        <v>0</v>
      </c>
      <c r="U11">
        <v>0</v>
      </c>
    </row>
    <row r="12" spans="1:21">
      <c r="A12" s="1" t="s">
        <v>21</v>
      </c>
      <c r="B12" t="s">
        <v>40</v>
      </c>
      <c r="C12">
        <v>4000</v>
      </c>
      <c r="D12">
        <v>48</v>
      </c>
      <c r="E12" t="s">
        <v>41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O12">
        <v>0</v>
      </c>
      <c r="P12">
        <v>0.05</v>
      </c>
      <c r="Q12">
        <v>0</v>
      </c>
      <c r="S12">
        <v>0</v>
      </c>
      <c r="T12">
        <v>0</v>
      </c>
      <c r="U12">
        <v>0</v>
      </c>
    </row>
    <row r="13" spans="1:21">
      <c r="A13" s="1" t="s">
        <v>21</v>
      </c>
      <c r="B13" t="s">
        <v>42</v>
      </c>
      <c r="C13">
        <v>1600</v>
      </c>
      <c r="D13">
        <v>48</v>
      </c>
      <c r="E13" t="s">
        <v>43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O13">
        <v>0</v>
      </c>
      <c r="P13">
        <v>0</v>
      </c>
      <c r="Q13">
        <v>0</v>
      </c>
      <c r="S13">
        <v>0</v>
      </c>
      <c r="T13">
        <v>0</v>
      </c>
      <c r="U13">
        <v>0</v>
      </c>
    </row>
    <row r="14" spans="1:21">
      <c r="A14" s="1" t="s">
        <v>21</v>
      </c>
      <c r="B14" t="s">
        <v>44</v>
      </c>
      <c r="C14">
        <v>210</v>
      </c>
      <c r="D14">
        <v>48</v>
      </c>
      <c r="E14" t="s">
        <v>45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O14">
        <v>0</v>
      </c>
      <c r="P14">
        <v>0</v>
      </c>
      <c r="Q14">
        <v>0</v>
      </c>
      <c r="S14">
        <v>0</v>
      </c>
      <c r="T14">
        <v>0</v>
      </c>
      <c r="U14">
        <v>0</v>
      </c>
    </row>
    <row r="15" spans="1:21">
      <c r="A15" s="1" t="s">
        <v>21</v>
      </c>
      <c r="B15" t="s">
        <v>46</v>
      </c>
      <c r="C15">
        <v>3200</v>
      </c>
      <c r="D15">
        <v>48</v>
      </c>
      <c r="E15" t="s">
        <v>47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O15">
        <v>0</v>
      </c>
      <c r="P15">
        <v>0</v>
      </c>
      <c r="Q15">
        <v>0</v>
      </c>
      <c r="S15">
        <v>0</v>
      </c>
      <c r="T15">
        <v>0</v>
      </c>
      <c r="U15">
        <v>0</v>
      </c>
    </row>
    <row r="16" spans="1:21">
      <c r="A16" s="1" t="s">
        <v>21</v>
      </c>
      <c r="B16" t="s">
        <v>48</v>
      </c>
      <c r="C16">
        <v>4528</v>
      </c>
      <c r="D16">
        <v>48</v>
      </c>
      <c r="E16" t="s">
        <v>49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O16">
        <v>0</v>
      </c>
      <c r="P16">
        <v>0</v>
      </c>
      <c r="Q16">
        <v>0</v>
      </c>
      <c r="S16">
        <v>0</v>
      </c>
      <c r="T16">
        <v>0</v>
      </c>
      <c r="U16">
        <v>0</v>
      </c>
    </row>
    <row r="17" spans="1:21">
      <c r="A17" s="1" t="s">
        <v>21</v>
      </c>
      <c r="B17" t="s">
        <v>50</v>
      </c>
      <c r="C17">
        <v>4000</v>
      </c>
      <c r="D17">
        <v>48</v>
      </c>
      <c r="E17" t="s">
        <v>51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O17">
        <v>0</v>
      </c>
      <c r="P17">
        <v>0.03</v>
      </c>
      <c r="Q17">
        <v>0</v>
      </c>
      <c r="S17">
        <v>0</v>
      </c>
      <c r="T17">
        <v>0</v>
      </c>
      <c r="U17">
        <v>0</v>
      </c>
    </row>
    <row r="18" spans="1:21">
      <c r="A18" s="1" t="s">
        <v>21</v>
      </c>
      <c r="B18" t="s">
        <v>52</v>
      </c>
      <c r="C18">
        <v>4528</v>
      </c>
      <c r="D18">
        <v>48</v>
      </c>
      <c r="E18" t="s">
        <v>53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O18">
        <v>0</v>
      </c>
      <c r="P18">
        <v>0</v>
      </c>
      <c r="Q18">
        <v>0</v>
      </c>
      <c r="S18">
        <v>0</v>
      </c>
      <c r="T18">
        <v>0</v>
      </c>
      <c r="U18">
        <v>0</v>
      </c>
    </row>
    <row r="19" spans="1:21">
      <c r="A19" s="1" t="s">
        <v>21</v>
      </c>
      <c r="B19" t="s">
        <v>54</v>
      </c>
      <c r="C19">
        <v>210</v>
      </c>
      <c r="D19">
        <v>48</v>
      </c>
      <c r="E19" t="s">
        <v>45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O19">
        <v>0</v>
      </c>
      <c r="P19">
        <v>0</v>
      </c>
      <c r="Q19">
        <v>0</v>
      </c>
      <c r="S19">
        <v>0</v>
      </c>
      <c r="T19">
        <v>0</v>
      </c>
      <c r="U19">
        <v>0</v>
      </c>
    </row>
    <row r="20" spans="1:21">
      <c r="A20" s="1" t="s">
        <v>21</v>
      </c>
      <c r="B20" t="s">
        <v>55</v>
      </c>
      <c r="C20">
        <v>350</v>
      </c>
      <c r="D20">
        <v>48</v>
      </c>
      <c r="E20" t="s">
        <v>56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O20">
        <v>0</v>
      </c>
      <c r="P20">
        <v>0.05</v>
      </c>
      <c r="Q20">
        <v>0</v>
      </c>
      <c r="S20">
        <v>0</v>
      </c>
      <c r="T20">
        <v>0</v>
      </c>
      <c r="U20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"/>
  <sheetViews>
    <sheetView workbookViewId="0">
      <pane xSplit="1" ySplit="1" topLeftCell="B2" activePane="bottomRight" state="frozen"/>
      <selection pane="bottomRight" activeCell="D38" sqref="D38"/>
      <selection pane="bottomLeft" activeCell="A2" sqref="A2"/>
      <selection pane="topRight" activeCell="B1" sqref="B1"/>
    </sheetView>
  </sheetViews>
  <sheetFormatPr defaultRowHeight="15"/>
  <cols>
    <col min="1" max="1" width="14.7109375" bestFit="1" customWidth="1"/>
    <col min="2" max="2" width="16.140625" bestFit="1" customWidth="1"/>
    <col min="3" max="3" width="16.7109375" bestFit="1" customWidth="1"/>
    <col min="4" max="4" width="17.28515625" bestFit="1" customWidth="1"/>
    <col min="5" max="5" width="19.140625" bestFit="1" customWidth="1"/>
    <col min="6" max="6" width="87.7109375" bestFit="1" customWidth="1"/>
    <col min="7" max="7" width="22.42578125" bestFit="1" customWidth="1"/>
    <col min="8" max="8" width="23" bestFit="1" customWidth="1"/>
    <col min="9" max="9" width="9.85546875" bestFit="1" customWidth="1"/>
    <col min="10" max="10" width="19.42578125" bestFit="1" customWidth="1"/>
    <col min="11" max="11" width="10.7109375" bestFit="1" customWidth="1"/>
    <col min="12" max="12" width="17" bestFit="1" customWidth="1"/>
    <col min="13" max="13" width="14" bestFit="1" customWidth="1"/>
    <col min="14" max="14" width="9.28515625" bestFit="1" customWidth="1"/>
    <col min="15" max="15" width="10.28515625" bestFit="1" customWidth="1"/>
    <col min="16" max="16" width="16.28515625" bestFit="1" customWidth="1"/>
  </cols>
  <sheetData>
    <row r="1" spans="1:16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13</v>
      </c>
      <c r="G1" s="1" t="s">
        <v>5</v>
      </c>
      <c r="H1" s="1" t="s">
        <v>61</v>
      </c>
      <c r="I1" s="1" t="s">
        <v>7</v>
      </c>
      <c r="J1" s="1" t="s">
        <v>8</v>
      </c>
      <c r="K1" s="1" t="s">
        <v>2</v>
      </c>
      <c r="L1" s="1" t="s">
        <v>3</v>
      </c>
      <c r="M1" s="1" t="s">
        <v>4</v>
      </c>
      <c r="N1" s="1" t="s">
        <v>15</v>
      </c>
      <c r="O1" s="1" t="s">
        <v>18</v>
      </c>
      <c r="P1" s="1" t="s">
        <v>62</v>
      </c>
    </row>
    <row r="2" spans="1:16">
      <c r="A2" s="1" t="s">
        <v>21</v>
      </c>
      <c r="B2" t="s">
        <v>63</v>
      </c>
      <c r="C2">
        <v>120</v>
      </c>
      <c r="D2">
        <v>120</v>
      </c>
      <c r="E2">
        <v>0</v>
      </c>
      <c r="F2" t="s">
        <v>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N2">
        <v>0</v>
      </c>
      <c r="O2">
        <v>0</v>
      </c>
      <c r="P2">
        <v>0</v>
      </c>
    </row>
    <row r="3" spans="1:16">
      <c r="A3" s="1" t="s">
        <v>21</v>
      </c>
      <c r="B3" t="s">
        <v>65</v>
      </c>
      <c r="C3">
        <v>120</v>
      </c>
      <c r="D3">
        <v>120</v>
      </c>
      <c r="E3">
        <v>0</v>
      </c>
      <c r="F3" t="s">
        <v>66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N3">
        <v>0</v>
      </c>
      <c r="O3">
        <v>0</v>
      </c>
      <c r="P3">
        <v>0</v>
      </c>
    </row>
    <row r="4" spans="1:16">
      <c r="A4" s="1" t="s">
        <v>21</v>
      </c>
      <c r="B4" t="s">
        <v>67</v>
      </c>
      <c r="C4">
        <v>9500</v>
      </c>
      <c r="D4">
        <v>120</v>
      </c>
      <c r="E4">
        <v>0</v>
      </c>
      <c r="F4" t="s">
        <v>68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N4">
        <v>0</v>
      </c>
      <c r="O4">
        <v>0</v>
      </c>
      <c r="P4">
        <v>0</v>
      </c>
    </row>
    <row r="5" spans="1:16">
      <c r="A5" s="1" t="s">
        <v>21</v>
      </c>
      <c r="B5" t="s">
        <v>69</v>
      </c>
      <c r="C5">
        <v>9500</v>
      </c>
      <c r="D5">
        <v>120</v>
      </c>
      <c r="E5">
        <v>0</v>
      </c>
      <c r="F5" t="s">
        <v>70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N5">
        <v>0</v>
      </c>
      <c r="O5">
        <v>0</v>
      </c>
      <c r="P5">
        <v>0</v>
      </c>
    </row>
    <row r="6" spans="1:16">
      <c r="A6" s="1" t="s">
        <v>21</v>
      </c>
      <c r="B6" t="s">
        <v>71</v>
      </c>
      <c r="C6">
        <v>31.9</v>
      </c>
      <c r="D6">
        <v>120</v>
      </c>
      <c r="E6">
        <v>0</v>
      </c>
      <c r="F6" t="s">
        <v>72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N6">
        <v>0</v>
      </c>
      <c r="O6">
        <v>0</v>
      </c>
      <c r="P6">
        <v>0</v>
      </c>
    </row>
    <row r="7" spans="1:16">
      <c r="A7" s="1" t="s">
        <v>21</v>
      </c>
      <c r="B7" t="s">
        <v>73</v>
      </c>
      <c r="C7">
        <v>120</v>
      </c>
      <c r="D7">
        <v>120</v>
      </c>
      <c r="E7">
        <v>0</v>
      </c>
      <c r="F7" t="s">
        <v>72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N7">
        <v>0</v>
      </c>
      <c r="O7">
        <v>0</v>
      </c>
      <c r="P7">
        <v>0</v>
      </c>
    </row>
    <row r="8" spans="1:16">
      <c r="A8" s="1" t="s">
        <v>21</v>
      </c>
      <c r="B8" t="s">
        <v>74</v>
      </c>
      <c r="C8">
        <v>120</v>
      </c>
      <c r="D8">
        <v>120</v>
      </c>
      <c r="E8">
        <v>0</v>
      </c>
      <c r="F8" t="s">
        <v>66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N8">
        <v>0</v>
      </c>
      <c r="O8">
        <v>0</v>
      </c>
      <c r="P8">
        <v>0</v>
      </c>
    </row>
    <row r="9" spans="1:16">
      <c r="A9" s="1" t="s">
        <v>21</v>
      </c>
      <c r="B9" t="s">
        <v>75</v>
      </c>
      <c r="C9">
        <v>3200</v>
      </c>
      <c r="D9">
        <v>336</v>
      </c>
      <c r="E9">
        <v>0</v>
      </c>
      <c r="F9" t="s">
        <v>76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N9">
        <v>0</v>
      </c>
      <c r="O9">
        <v>0</v>
      </c>
      <c r="P9">
        <v>0</v>
      </c>
    </row>
    <row r="10" spans="1:16">
      <c r="A10" s="1" t="s">
        <v>21</v>
      </c>
      <c r="B10" t="s">
        <v>77</v>
      </c>
      <c r="C10">
        <v>3200</v>
      </c>
      <c r="D10">
        <v>336</v>
      </c>
      <c r="E10">
        <v>0</v>
      </c>
      <c r="F10" t="s">
        <v>76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N10">
        <v>0</v>
      </c>
      <c r="O10">
        <v>0</v>
      </c>
      <c r="P10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9"/>
  <sheetViews>
    <sheetView tabSelected="1" workbookViewId="0">
      <selection activeCell="E13" sqref="E13"/>
    </sheetView>
  </sheetViews>
  <sheetFormatPr defaultRowHeight="15"/>
  <cols>
    <col min="1" max="2" width="16.7109375" customWidth="1"/>
    <col min="3" max="3" width="16.7109375" style="2" customWidth="1"/>
  </cols>
  <sheetData>
    <row r="1" spans="1:3" ht="21" customHeight="1">
      <c r="A1" s="4" t="s">
        <v>78</v>
      </c>
      <c r="B1" s="4" t="s">
        <v>79</v>
      </c>
      <c r="C1" s="4" t="s">
        <v>80</v>
      </c>
    </row>
    <row r="2" spans="1:3">
      <c r="A2" t="s">
        <v>63</v>
      </c>
      <c r="B2" s="2">
        <v>120</v>
      </c>
      <c r="C2" s="2">
        <f>B2</f>
        <v>120</v>
      </c>
    </row>
    <row r="3" spans="1:3">
      <c r="A3" t="s">
        <v>65</v>
      </c>
      <c r="B3" s="2">
        <v>120</v>
      </c>
      <c r="C3" s="2">
        <f t="shared" ref="C3:C15" si="0">B3</f>
        <v>120</v>
      </c>
    </row>
    <row r="4" spans="1:3">
      <c r="A4" t="s">
        <v>67</v>
      </c>
      <c r="B4" s="2">
        <v>9500</v>
      </c>
      <c r="C4" s="2">
        <f t="shared" si="0"/>
        <v>9500</v>
      </c>
    </row>
    <row r="5" spans="1:3">
      <c r="A5" t="s">
        <v>69</v>
      </c>
      <c r="B5" s="2">
        <v>9500</v>
      </c>
      <c r="C5" s="2">
        <f t="shared" si="0"/>
        <v>9500</v>
      </c>
    </row>
    <row r="6" spans="1:3">
      <c r="A6" t="s">
        <v>71</v>
      </c>
      <c r="B6" s="3">
        <v>14</v>
      </c>
      <c r="C6" s="3">
        <v>31.9</v>
      </c>
    </row>
    <row r="7" spans="1:3">
      <c r="A7" t="s">
        <v>73</v>
      </c>
      <c r="B7" s="2">
        <v>120</v>
      </c>
      <c r="C7" s="2">
        <f t="shared" si="0"/>
        <v>120</v>
      </c>
    </row>
    <row r="8" spans="1:3">
      <c r="A8" t="s">
        <v>74</v>
      </c>
      <c r="B8" s="2">
        <v>120</v>
      </c>
      <c r="C8" s="2">
        <f t="shared" si="0"/>
        <v>120</v>
      </c>
    </row>
    <row r="9" spans="1:3">
      <c r="A9" t="s">
        <v>75</v>
      </c>
      <c r="B9" s="2">
        <v>3200</v>
      </c>
      <c r="C9" s="2">
        <f t="shared" si="0"/>
        <v>3200</v>
      </c>
    </row>
    <row r="10" spans="1:3">
      <c r="A10" t="s">
        <v>77</v>
      </c>
      <c r="B10" s="2">
        <v>3200</v>
      </c>
      <c r="C10" s="2">
        <f t="shared" si="0"/>
        <v>3200</v>
      </c>
    </row>
    <row r="11" spans="1:3">
      <c r="A11" t="s">
        <v>22</v>
      </c>
      <c r="B11" s="2">
        <v>4000</v>
      </c>
      <c r="C11" s="2">
        <f t="shared" si="0"/>
        <v>4000</v>
      </c>
    </row>
    <row r="12" spans="1:3">
      <c r="A12" t="s">
        <v>24</v>
      </c>
      <c r="B12" s="2">
        <v>4000</v>
      </c>
      <c r="C12" s="2">
        <f t="shared" si="0"/>
        <v>4000</v>
      </c>
    </row>
    <row r="13" spans="1:3">
      <c r="A13" t="s">
        <v>26</v>
      </c>
      <c r="B13" s="2">
        <v>207</v>
      </c>
      <c r="C13" s="2">
        <f t="shared" si="0"/>
        <v>207</v>
      </c>
    </row>
    <row r="14" spans="1:3">
      <c r="A14" t="s">
        <v>28</v>
      </c>
      <c r="B14" s="2">
        <v>87</v>
      </c>
      <c r="C14" s="2">
        <f t="shared" si="0"/>
        <v>87</v>
      </c>
    </row>
    <row r="15" spans="1:3">
      <c r="A15" t="s">
        <v>30</v>
      </c>
      <c r="B15" s="2">
        <v>130</v>
      </c>
      <c r="C15" s="2">
        <f t="shared" si="0"/>
        <v>130</v>
      </c>
    </row>
    <row r="16" spans="1:3">
      <c r="A16" t="s">
        <v>32</v>
      </c>
      <c r="B16" s="3">
        <v>130</v>
      </c>
      <c r="C16" s="3">
        <v>9.5500000000000007</v>
      </c>
    </row>
    <row r="17" spans="1:3">
      <c r="A17" t="s">
        <v>33</v>
      </c>
      <c r="B17" s="3">
        <v>87</v>
      </c>
      <c r="C17" s="3">
        <v>35.67</v>
      </c>
    </row>
    <row r="18" spans="1:3">
      <c r="A18" t="s">
        <v>35</v>
      </c>
      <c r="B18" s="2">
        <v>238</v>
      </c>
      <c r="C18" s="2">
        <f t="shared" ref="C18:C29" si="1">B18</f>
        <v>238</v>
      </c>
    </row>
    <row r="19" spans="1:3">
      <c r="A19" t="s">
        <v>37</v>
      </c>
      <c r="B19" s="2">
        <v>4000</v>
      </c>
      <c r="C19" s="2">
        <f t="shared" si="1"/>
        <v>4000</v>
      </c>
    </row>
    <row r="20" spans="1:3">
      <c r="A20" t="s">
        <v>39</v>
      </c>
      <c r="B20" s="2">
        <v>4000</v>
      </c>
      <c r="C20" s="2">
        <f t="shared" si="1"/>
        <v>4000</v>
      </c>
    </row>
    <row r="21" spans="1:3">
      <c r="A21" t="s">
        <v>40</v>
      </c>
      <c r="B21" s="2">
        <v>4000</v>
      </c>
      <c r="C21" s="2">
        <f t="shared" si="1"/>
        <v>4000</v>
      </c>
    </row>
    <row r="22" spans="1:3">
      <c r="A22" t="s">
        <v>42</v>
      </c>
      <c r="B22" s="2">
        <v>1600</v>
      </c>
      <c r="C22" s="2">
        <f t="shared" si="1"/>
        <v>1600</v>
      </c>
    </row>
    <row r="23" spans="1:3">
      <c r="A23" t="s">
        <v>44</v>
      </c>
      <c r="B23" s="2">
        <v>210</v>
      </c>
      <c r="C23" s="2">
        <f t="shared" si="1"/>
        <v>210</v>
      </c>
    </row>
    <row r="24" spans="1:3">
      <c r="A24" t="s">
        <v>46</v>
      </c>
      <c r="B24" s="2">
        <v>3200</v>
      </c>
      <c r="C24" s="2">
        <f t="shared" si="1"/>
        <v>3200</v>
      </c>
    </row>
    <row r="25" spans="1:3">
      <c r="A25" t="s">
        <v>48</v>
      </c>
      <c r="B25" s="2">
        <v>4528</v>
      </c>
      <c r="C25" s="2">
        <f t="shared" si="1"/>
        <v>4528</v>
      </c>
    </row>
    <row r="26" spans="1:3">
      <c r="A26" t="s">
        <v>50</v>
      </c>
      <c r="B26" s="2">
        <v>4000</v>
      </c>
      <c r="C26" s="2">
        <f t="shared" si="1"/>
        <v>4000</v>
      </c>
    </row>
    <row r="27" spans="1:3">
      <c r="A27" t="s">
        <v>52</v>
      </c>
      <c r="B27" s="2">
        <v>4528</v>
      </c>
      <c r="C27" s="2">
        <f t="shared" si="1"/>
        <v>4528</v>
      </c>
    </row>
    <row r="28" spans="1:3">
      <c r="A28" t="s">
        <v>54</v>
      </c>
      <c r="B28" s="2">
        <v>210</v>
      </c>
      <c r="C28" s="2">
        <f t="shared" si="1"/>
        <v>210</v>
      </c>
    </row>
    <row r="29" spans="1:3">
      <c r="A29" t="s">
        <v>55</v>
      </c>
      <c r="B29" s="2">
        <v>350</v>
      </c>
      <c r="C29" s="2">
        <f t="shared" si="1"/>
        <v>350</v>
      </c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a40d87b-c72c-4c40-aa8f-f17293a06cf8" xsi:nil="true"/>
    <lcf76f155ced4ddcb4097134ff3c332f xmlns="ac4ce1b8-1b9c-4c67-9997-6a09534f034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7AF7B9F1FC240A6875F947483EA07" ma:contentTypeVersion="15" ma:contentTypeDescription="Create a new document." ma:contentTypeScope="" ma:versionID="40f972364507ac95f4489fefba6a19c2">
  <xsd:schema xmlns:xsd="http://www.w3.org/2001/XMLSchema" xmlns:xs="http://www.w3.org/2001/XMLSchema" xmlns:p="http://schemas.microsoft.com/office/2006/metadata/properties" xmlns:ns2="ac4ce1b8-1b9c-4c67-9997-6a09534f0343" xmlns:ns3="8a40d87b-c72c-4c40-aa8f-f17293a06cf8" targetNamespace="http://schemas.microsoft.com/office/2006/metadata/properties" ma:root="true" ma:fieldsID="01dac2384098b29500e6ba4c01a508ac" ns2:_="" ns3:_="">
    <xsd:import namespace="ac4ce1b8-1b9c-4c67-9997-6a09534f0343"/>
    <xsd:import namespace="8a40d87b-c72c-4c40-aa8f-f17293a06c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4ce1b8-1b9c-4c67-9997-6a09534f0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045b586b-fecb-4896-8ea8-413c682afb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40d87b-c72c-4c40-aa8f-f17293a06cf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e589cdf4-7483-4f30-9f07-1b47ca50471f}" ma:internalName="TaxCatchAll" ma:showField="CatchAllData" ma:web="8a40d87b-c72c-4c40-aa8f-f17293a06c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3DC78E-79F5-47EF-BCB7-1B0ED4357D59}"/>
</file>

<file path=customXml/itemProps2.xml><?xml version="1.0" encoding="utf-8"?>
<ds:datastoreItem xmlns:ds="http://schemas.openxmlformats.org/officeDocument/2006/customXml" ds:itemID="{662144DA-188E-4A4F-9E94-4409416655B5}"/>
</file>

<file path=customXml/itemProps3.xml><?xml version="1.0" encoding="utf-8"?>
<ds:datastoreItem xmlns:ds="http://schemas.openxmlformats.org/officeDocument/2006/customXml" ds:itemID="{965CAEDA-F035-49B0-AC97-0BB944D2AA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Conner Schultz</dc:creator>
  <cp:keywords/>
  <dc:description/>
  <cp:lastModifiedBy>Chiara Accolla</cp:lastModifiedBy>
  <cp:revision/>
  <dcterms:created xsi:type="dcterms:W3CDTF">2022-10-27T18:02:16Z</dcterms:created>
  <dcterms:modified xsi:type="dcterms:W3CDTF">2023-04-14T14:51:04Z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0x010100DC87AF7B9F1FC240A6875F947483EA07</vt:lpwstr>
  </property>
  <property fmtid="{D5CDD505-2E9C-101B-9397-08002B2CF9AE}" pid="3" name="MediaServiceImageTags">
    <vt:lpwstr/>
  </property>
</Properties>
</file>