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Validation-ASM\"/>
    </mc:Choice>
  </mc:AlternateContent>
  <xr:revisionPtr revIDLastSave="0" documentId="13_ncr:1_{99D2F5F8-E215-4A48-8846-A4B146EA8722}" xr6:coauthVersionLast="47" xr6:coauthVersionMax="47" xr10:uidLastSave="{00000000-0000-0000-0000-000000000000}"/>
  <bookViews>
    <workbookView xWindow="35550" yWindow="3285" windowWidth="20850" windowHeight="10920" xr2:uid="{25742E95-71A2-47F4-BADB-F3B141FE90A1}"/>
  </bookViews>
  <sheets>
    <sheet name="Macroinvertebrates" sheetId="1" r:id="rId1"/>
    <sheet name="Zooplankton" sheetId="2" r:id="rId2"/>
    <sheet name="Phytoplankton" sheetId="3" r:id="rId3"/>
    <sheet name="Periphyt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8" i="4" s="1"/>
  <c r="G3" i="4" s="1"/>
  <c r="H7" i="3"/>
  <c r="H8" i="3"/>
  <c r="G3" i="3" s="1"/>
  <c r="K3" i="2"/>
  <c r="M7" i="2"/>
  <c r="M8" i="2"/>
  <c r="K3" i="1"/>
  <c r="M8" i="1"/>
  <c r="M7" i="1"/>
</calcChain>
</file>

<file path=xl/sharedStrings.xml><?xml version="1.0" encoding="utf-8"?>
<sst xmlns="http://schemas.openxmlformats.org/spreadsheetml/2006/main" count="231" uniqueCount="62">
  <si>
    <t>CALIBRATION CRITERIA</t>
  </si>
  <si>
    <t>ARE THE CRITERIA FULFILLED?</t>
  </si>
  <si>
    <t>CASM</t>
  </si>
  <si>
    <t>Species group</t>
  </si>
  <si>
    <t xml:space="preserve">Earliest peak date </t>
  </si>
  <si>
    <t>Latest peak date</t>
  </si>
  <si>
    <t>Minimum peak abundance (ind/sample)</t>
  </si>
  <si>
    <t>Maximum peak abundance (ind/sample)</t>
  </si>
  <si>
    <t>Minimum abundance (ind/sample)</t>
  </si>
  <si>
    <t>Maximum abundance (ind/sample)</t>
  </si>
  <si>
    <t xml:space="preserve"> Peak date and abundance</t>
  </si>
  <si>
    <t>Minimum abundance  (ind/sample)</t>
  </si>
  <si>
    <t>% study within the range</t>
  </si>
  <si>
    <t>Summary of CASM Results</t>
  </si>
  <si>
    <t>Asellus</t>
  </si>
  <si>
    <t>nd</t>
  </si>
  <si>
    <t>Y</t>
  </si>
  <si>
    <t>green+yellow:14a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</si>
  <si>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</si>
  <si>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</si>
  <si>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N</t>
  </si>
  <si>
    <t>green+yellow:16a</t>
  </si>
  <si>
    <t>Chironomidae</t>
  </si>
  <si>
    <t>Y/N</t>
  </si>
  <si>
    <t>green+yellow:18c</t>
  </si>
  <si>
    <t>Cloeon</t>
  </si>
  <si>
    <t>green+yellow:19b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</si>
  <si>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</si>
  <si>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</si>
  <si>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total comparisons</t>
  </si>
  <si>
    <t>Gastropoda</t>
  </si>
  <si>
    <t>% in range</t>
  </si>
  <si>
    <t>Hirudinea</t>
  </si>
  <si>
    <t>Nepomorpha</t>
  </si>
  <si>
    <t>N/A</t>
  </si>
  <si>
    <t>Odonata</t>
  </si>
  <si>
    <t>Oligochaeta</t>
  </si>
  <si>
    <t>Tanypodinae</t>
  </si>
  <si>
    <t>ARE THE CRITERIA FULFILLED? (Y/N)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</si>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</sst>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2" borderId="7" xfId="0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 wrapText="1"/>
    </xf>
    <xf numFmtId="16" fontId="2" fillId="0" borderId="7" xfId="0" applyNumberFormat="1" applyFont="1" applyBorder="1" applyAlignment="1">
      <alignment horizontal="right" vertical="center" wrapText="1"/>
    </xf>
    <xf numFmtId="16" fontId="0" fillId="0" borderId="3" xfId="0" applyNumberFormat="1" applyBorder="1" applyAlignment="1">
      <alignment horizontal="right" vertical="center" wrapText="1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16" fontId="0" fillId="0" borderId="7" xfId="0" applyNumberForma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" fontId="5" fillId="5" borderId="7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Y14"/>
  <sheetViews>
    <sheetView tabSelected="1" workbookViewId="0">
      <pane ySplit="1" topLeftCell="A6" activePane="bottomLeft" state="frozen"/>
      <selection pane="bottomLeft" sqref="A1:K13"/>
    </sheetView>
  </sheetViews>
  <sheetFormatPr defaultColWidth="14.6640625" defaultRowHeight="14.4" x14ac:dyDescent="0.3"/>
  <cols>
    <col min="14" max="14" width="17.33203125" customWidth="1"/>
  </cols>
  <sheetData>
    <row r="1" spans="1:25" s="9" customFormat="1" ht="24.9" customHeight="1" thickBot="1" x14ac:dyDescent="0.35">
      <c r="B1" s="36" t="s">
        <v>0</v>
      </c>
      <c r="C1" s="37"/>
      <c r="D1" s="37"/>
      <c r="E1" s="37"/>
      <c r="F1" s="37"/>
      <c r="G1" s="38"/>
      <c r="H1" s="36" t="s">
        <v>1</v>
      </c>
      <c r="I1" s="37"/>
      <c r="J1" s="38"/>
      <c r="K1" s="26" t="s">
        <v>2</v>
      </c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s="1" customFormat="1" ht="66" customHeight="1" thickBot="1" x14ac:dyDescent="0.35">
      <c r="A2" s="7" t="s">
        <v>3</v>
      </c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4" t="s">
        <v>10</v>
      </c>
      <c r="I2" s="5" t="s">
        <v>11</v>
      </c>
      <c r="J2" s="6" t="s">
        <v>9</v>
      </c>
      <c r="K2" s="6" t="s">
        <v>12</v>
      </c>
      <c r="L2" s="3"/>
      <c r="M2" s="3"/>
      <c r="N2" s="3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3">
      <c r="A3" s="8" t="s">
        <v>14</v>
      </c>
      <c r="B3" s="14" t="s">
        <v>15</v>
      </c>
      <c r="C3" s="14" t="s">
        <v>15</v>
      </c>
      <c r="D3" s="14" t="s">
        <v>15</v>
      </c>
      <c r="E3" s="14" t="s">
        <v>15</v>
      </c>
      <c r="F3" s="14">
        <v>0.8</v>
      </c>
      <c r="G3" s="14">
        <v>121.9</v>
      </c>
      <c r="H3" s="15"/>
      <c r="I3" s="28" t="s">
        <v>16</v>
      </c>
      <c r="J3" s="28" t="s">
        <v>16</v>
      </c>
      <c r="K3" s="27">
        <f>M8</f>
        <v>88.194444444444443</v>
      </c>
      <c r="M3" s="33">
        <v>34</v>
      </c>
      <c r="N3" s="32" t="s">
        <v>17</v>
      </c>
    </row>
    <row r="4" spans="1:25" ht="30" customHeight="1" x14ac:dyDescent="0.3">
      <c r="A4" s="16" t="s">
        <v>18</v>
      </c>
      <c r="B4" s="17" t="s">
        <v>19</v>
      </c>
      <c r="C4" s="18">
        <v>44773</v>
      </c>
      <c r="D4" s="17">
        <v>88.3</v>
      </c>
      <c r="E4" s="17">
        <v>184.2</v>
      </c>
      <c r="F4" s="17">
        <v>10.6</v>
      </c>
      <c r="G4" s="17">
        <v>167</v>
      </c>
      <c r="H4" s="30" t="s">
        <v>20</v>
      </c>
      <c r="I4" s="28" t="s">
        <v>16</v>
      </c>
      <c r="J4" s="28" t="s">
        <v>16</v>
      </c>
      <c r="M4" s="33">
        <v>34</v>
      </c>
      <c r="N4" s="32" t="s">
        <v>21</v>
      </c>
    </row>
    <row r="5" spans="1:25" ht="30" customHeight="1" x14ac:dyDescent="0.3">
      <c r="A5" s="12" t="s">
        <v>22</v>
      </c>
      <c r="B5" s="13" t="s">
        <v>15</v>
      </c>
      <c r="C5" s="13" t="s">
        <v>15</v>
      </c>
      <c r="D5" s="13" t="s">
        <v>15</v>
      </c>
      <c r="E5" s="13" t="s">
        <v>15</v>
      </c>
      <c r="F5" s="13">
        <v>0</v>
      </c>
      <c r="G5" s="13">
        <v>11.1</v>
      </c>
      <c r="H5" s="20"/>
      <c r="I5" s="28" t="s">
        <v>16</v>
      </c>
      <c r="J5" s="29" t="s">
        <v>23</v>
      </c>
      <c r="M5" s="33">
        <v>30</v>
      </c>
      <c r="N5" s="32" t="s">
        <v>24</v>
      </c>
    </row>
    <row r="6" spans="1:25" ht="30" customHeight="1" x14ac:dyDescent="0.3">
      <c r="A6" s="12" t="s">
        <v>25</v>
      </c>
      <c r="B6" s="13" t="s">
        <v>15</v>
      </c>
      <c r="C6" s="13" t="s">
        <v>15</v>
      </c>
      <c r="D6" s="13" t="s">
        <v>15</v>
      </c>
      <c r="E6" s="13" t="s">
        <v>15</v>
      </c>
      <c r="F6" s="13">
        <v>1</v>
      </c>
      <c r="G6" s="13">
        <v>82.4</v>
      </c>
      <c r="H6" s="20"/>
      <c r="I6" s="29" t="s">
        <v>23</v>
      </c>
      <c r="J6" s="29" t="s">
        <v>23</v>
      </c>
      <c r="M6" s="33">
        <v>29</v>
      </c>
      <c r="N6" s="32" t="s">
        <v>26</v>
      </c>
    </row>
    <row r="7" spans="1:25" ht="30" customHeight="1" x14ac:dyDescent="0.3">
      <c r="A7" s="12" t="s">
        <v>27</v>
      </c>
      <c r="B7" s="13" t="s">
        <v>28</v>
      </c>
      <c r="C7" s="19">
        <v>44769</v>
      </c>
      <c r="D7" s="13">
        <v>2.8</v>
      </c>
      <c r="E7" s="13">
        <v>15.6</v>
      </c>
      <c r="F7" s="13">
        <v>0</v>
      </c>
      <c r="G7" s="13">
        <v>15.1</v>
      </c>
      <c r="H7" s="28" t="s">
        <v>16</v>
      </c>
      <c r="I7" s="29" t="s">
        <v>23</v>
      </c>
      <c r="J7" s="29" t="s">
        <v>23</v>
      </c>
      <c r="M7" s="33">
        <f>36*4</f>
        <v>144</v>
      </c>
      <c r="N7" s="32" t="s">
        <v>29</v>
      </c>
    </row>
    <row r="8" spans="1:25" ht="30" customHeight="1" x14ac:dyDescent="0.3">
      <c r="A8" s="12" t="s">
        <v>30</v>
      </c>
      <c r="B8" s="13" t="s">
        <v>15</v>
      </c>
      <c r="C8" s="13" t="s">
        <v>15</v>
      </c>
      <c r="D8" s="13" t="s">
        <v>15</v>
      </c>
      <c r="E8" s="13" t="s">
        <v>15</v>
      </c>
      <c r="F8" s="13">
        <v>7.9</v>
      </c>
      <c r="G8" s="13">
        <v>107.4</v>
      </c>
      <c r="H8" s="20"/>
      <c r="I8" s="29" t="s">
        <v>23</v>
      </c>
      <c r="J8" s="28" t="s">
        <v>16</v>
      </c>
      <c r="M8" s="34">
        <f>SUM(M3:M6)/M7*100</f>
        <v>88.194444444444443</v>
      </c>
      <c r="N8" s="32" t="s">
        <v>31</v>
      </c>
    </row>
    <row r="9" spans="1:25" ht="30" customHeight="1" x14ac:dyDescent="0.3">
      <c r="A9" s="12" t="s">
        <v>32</v>
      </c>
      <c r="B9" s="13" t="s">
        <v>15</v>
      </c>
      <c r="C9" s="13" t="s">
        <v>15</v>
      </c>
      <c r="D9" s="13" t="s">
        <v>15</v>
      </c>
      <c r="E9" s="13" t="s">
        <v>15</v>
      </c>
      <c r="F9" s="13">
        <v>0</v>
      </c>
      <c r="G9" s="13">
        <v>12</v>
      </c>
      <c r="H9" s="20"/>
      <c r="I9" s="28" t="s">
        <v>16</v>
      </c>
      <c r="J9" s="28" t="s">
        <v>16</v>
      </c>
    </row>
    <row r="10" spans="1:25" ht="30" customHeight="1" x14ac:dyDescent="0.3">
      <c r="A10" s="12" t="s">
        <v>33</v>
      </c>
      <c r="B10" s="13" t="s">
        <v>15</v>
      </c>
      <c r="C10" s="13" t="s">
        <v>15</v>
      </c>
      <c r="D10" s="13" t="s">
        <v>15</v>
      </c>
      <c r="E10" s="13" t="s">
        <v>15</v>
      </c>
      <c r="F10" s="13">
        <v>0.2</v>
      </c>
      <c r="G10" s="13">
        <v>4</v>
      </c>
      <c r="H10" s="20"/>
      <c r="I10" s="31" t="s">
        <v>34</v>
      </c>
      <c r="J10" s="31" t="s">
        <v>34</v>
      </c>
    </row>
    <row r="11" spans="1:25" ht="30" customHeight="1" x14ac:dyDescent="0.3">
      <c r="A11" s="12" t="s">
        <v>35</v>
      </c>
      <c r="B11" s="13" t="s">
        <v>15</v>
      </c>
      <c r="C11" s="13" t="s">
        <v>15</v>
      </c>
      <c r="D11" s="13" t="s">
        <v>15</v>
      </c>
      <c r="E11" s="13" t="s">
        <v>15</v>
      </c>
      <c r="F11" s="13">
        <v>1</v>
      </c>
      <c r="G11" s="13">
        <v>28.2</v>
      </c>
      <c r="H11" s="20"/>
      <c r="I11" s="29" t="s">
        <v>23</v>
      </c>
      <c r="J11" s="28" t="s">
        <v>16</v>
      </c>
    </row>
    <row r="12" spans="1:25" ht="30" customHeight="1" x14ac:dyDescent="0.3">
      <c r="A12" s="12" t="s">
        <v>36</v>
      </c>
      <c r="B12" s="13" t="s">
        <v>15</v>
      </c>
      <c r="C12" s="13" t="s">
        <v>15</v>
      </c>
      <c r="D12" s="13" t="s">
        <v>15</v>
      </c>
      <c r="E12" s="13" t="s">
        <v>15</v>
      </c>
      <c r="F12" s="13">
        <v>0.6</v>
      </c>
      <c r="G12" s="13">
        <v>36.1</v>
      </c>
      <c r="H12" s="20"/>
      <c r="I12" s="30" t="s">
        <v>20</v>
      </c>
      <c r="J12" s="29" t="s">
        <v>23</v>
      </c>
    </row>
    <row r="13" spans="1:25" ht="30" customHeight="1" x14ac:dyDescent="0.3">
      <c r="A13" s="12" t="s">
        <v>37</v>
      </c>
      <c r="B13" s="13" t="s">
        <v>28</v>
      </c>
      <c r="C13" s="19">
        <v>44753</v>
      </c>
      <c r="D13" s="13">
        <v>1.4</v>
      </c>
      <c r="E13" s="13">
        <v>15</v>
      </c>
      <c r="F13" s="13">
        <v>0</v>
      </c>
      <c r="G13" s="13">
        <v>14.5</v>
      </c>
      <c r="H13" s="30" t="s">
        <v>20</v>
      </c>
      <c r="I13" s="28" t="s">
        <v>16</v>
      </c>
      <c r="J13" s="28" t="s">
        <v>16</v>
      </c>
    </row>
    <row r="14" spans="1:25" x14ac:dyDescent="0.3">
      <c r="H14" s="9"/>
      <c r="I14" s="9"/>
      <c r="J14" s="9"/>
    </row>
  </sheetData>
  <mergeCells count="4">
    <mergeCell ref="P1:T1"/>
    <mergeCell ref="U1:Y1"/>
    <mergeCell ref="B1:G1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AA11"/>
  <sheetViews>
    <sheetView workbookViewId="0">
      <selection activeCell="A2" sqref="A2:K11"/>
    </sheetView>
  </sheetViews>
  <sheetFormatPr defaultColWidth="14.6640625" defaultRowHeight="14.4" x14ac:dyDescent="0.3"/>
  <cols>
    <col min="1" max="1" width="22.5546875" customWidth="1"/>
    <col min="14" max="14" width="17.5546875" customWidth="1"/>
  </cols>
  <sheetData>
    <row r="1" spans="1:27" s="9" customFormat="1" ht="24.9" customHeight="1" thickBot="1" x14ac:dyDescent="0.35">
      <c r="B1" s="36" t="s">
        <v>0</v>
      </c>
      <c r="C1" s="37"/>
      <c r="D1" s="37"/>
      <c r="E1" s="37"/>
      <c r="F1" s="37"/>
      <c r="G1" s="38"/>
      <c r="H1" s="39" t="s">
        <v>38</v>
      </c>
      <c r="I1" s="40"/>
      <c r="J1" s="41"/>
      <c r="K1" s="26" t="s">
        <v>2</v>
      </c>
    </row>
    <row r="2" spans="1:27" ht="66" customHeight="1" thickBot="1" x14ac:dyDescent="0.35">
      <c r="A2" s="11" t="s">
        <v>3</v>
      </c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6" t="s">
        <v>9</v>
      </c>
      <c r="K2" s="6" t="s">
        <v>12</v>
      </c>
      <c r="L2" s="3"/>
      <c r="M2" s="3"/>
      <c r="N2" s="3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 x14ac:dyDescent="0.3">
      <c r="A3" s="12" t="s">
        <v>39</v>
      </c>
      <c r="B3" s="24">
        <v>44761</v>
      </c>
      <c r="C3" s="14" t="s">
        <v>40</v>
      </c>
      <c r="D3" s="14">
        <v>0.3</v>
      </c>
      <c r="E3" s="14">
        <v>27.5</v>
      </c>
      <c r="F3" s="17">
        <v>0</v>
      </c>
      <c r="G3" s="17">
        <v>24.2</v>
      </c>
      <c r="H3" s="28" t="s">
        <v>16</v>
      </c>
      <c r="I3" s="28" t="s">
        <v>16</v>
      </c>
      <c r="J3" s="29" t="s">
        <v>23</v>
      </c>
      <c r="K3" s="27">
        <f>M8</f>
        <v>71.212121212121218</v>
      </c>
      <c r="M3" s="33">
        <v>26</v>
      </c>
      <c r="N3" s="32" t="s">
        <v>17</v>
      </c>
    </row>
    <row r="4" spans="1:27" ht="30" customHeight="1" x14ac:dyDescent="0.3">
      <c r="A4" s="12" t="s">
        <v>41</v>
      </c>
      <c r="B4" s="13" t="s">
        <v>15</v>
      </c>
      <c r="C4" s="13" t="s">
        <v>15</v>
      </c>
      <c r="D4" s="13" t="s">
        <v>15</v>
      </c>
      <c r="E4" s="13" t="s">
        <v>15</v>
      </c>
      <c r="F4" s="21">
        <v>0</v>
      </c>
      <c r="G4" s="21">
        <v>83.4</v>
      </c>
      <c r="H4" s="20"/>
      <c r="I4" s="28" t="s">
        <v>16</v>
      </c>
      <c r="J4" s="29" t="s">
        <v>23</v>
      </c>
      <c r="M4" s="33">
        <v>26</v>
      </c>
      <c r="N4" s="32" t="s">
        <v>21</v>
      </c>
    </row>
    <row r="5" spans="1:27" ht="30" customHeight="1" x14ac:dyDescent="0.3">
      <c r="A5" s="12" t="s">
        <v>42</v>
      </c>
      <c r="B5" s="13" t="s">
        <v>15</v>
      </c>
      <c r="C5" s="13" t="s">
        <v>15</v>
      </c>
      <c r="D5" s="13" t="s">
        <v>15</v>
      </c>
      <c r="E5" s="13" t="s">
        <v>15</v>
      </c>
      <c r="F5" s="21">
        <v>0</v>
      </c>
      <c r="G5" s="21">
        <v>13.8</v>
      </c>
      <c r="H5" s="20"/>
      <c r="I5" s="28" t="s">
        <v>16</v>
      </c>
      <c r="J5" s="29" t="s">
        <v>23</v>
      </c>
      <c r="M5" s="33">
        <v>22</v>
      </c>
      <c r="N5" s="32" t="s">
        <v>24</v>
      </c>
    </row>
    <row r="6" spans="1:27" ht="30" customHeight="1" x14ac:dyDescent="0.3">
      <c r="A6" s="12" t="s">
        <v>43</v>
      </c>
      <c r="B6" s="13" t="s">
        <v>15</v>
      </c>
      <c r="C6" s="13" t="s">
        <v>15</v>
      </c>
      <c r="D6" s="13" t="s">
        <v>15</v>
      </c>
      <c r="E6" s="13" t="s">
        <v>15</v>
      </c>
      <c r="F6" s="21">
        <v>6.5</v>
      </c>
      <c r="G6" s="21">
        <v>143.1</v>
      </c>
      <c r="H6" s="20"/>
      <c r="I6" s="28" t="s">
        <v>16</v>
      </c>
      <c r="J6" s="29" t="s">
        <v>23</v>
      </c>
      <c r="M6" s="33">
        <v>20</v>
      </c>
      <c r="N6" s="32" t="s">
        <v>26</v>
      </c>
    </row>
    <row r="7" spans="1:27" ht="30" customHeight="1" x14ac:dyDescent="0.3">
      <c r="A7" s="12" t="s">
        <v>44</v>
      </c>
      <c r="B7" s="19">
        <v>44754</v>
      </c>
      <c r="C7" s="13" t="s">
        <v>40</v>
      </c>
      <c r="D7" s="13">
        <v>6</v>
      </c>
      <c r="E7" s="13">
        <v>55.3</v>
      </c>
      <c r="F7" s="21">
        <v>0</v>
      </c>
      <c r="G7" s="21">
        <v>45.1</v>
      </c>
      <c r="H7" s="28" t="s">
        <v>16</v>
      </c>
      <c r="I7" s="28" t="s">
        <v>16</v>
      </c>
      <c r="J7" s="28" t="s">
        <v>16</v>
      </c>
      <c r="M7" s="33">
        <f>33*4</f>
        <v>132</v>
      </c>
      <c r="N7" s="32" t="s">
        <v>29</v>
      </c>
    </row>
    <row r="8" spans="1:27" ht="30" customHeight="1" x14ac:dyDescent="0.3">
      <c r="A8" s="12" t="s">
        <v>45</v>
      </c>
      <c r="B8" s="13" t="s">
        <v>15</v>
      </c>
      <c r="C8" s="13" t="s">
        <v>15</v>
      </c>
      <c r="D8" s="13" t="s">
        <v>15</v>
      </c>
      <c r="E8" s="13" t="s">
        <v>15</v>
      </c>
      <c r="F8" s="21">
        <v>17.7</v>
      </c>
      <c r="G8" s="21">
        <v>700.7</v>
      </c>
      <c r="H8" s="20"/>
      <c r="I8" s="30" t="s">
        <v>20</v>
      </c>
      <c r="J8" s="28" t="s">
        <v>16</v>
      </c>
      <c r="M8" s="34">
        <f>SUM(M3:M6)/M7*100</f>
        <v>71.212121212121218</v>
      </c>
      <c r="N8" s="32" t="s">
        <v>31</v>
      </c>
    </row>
    <row r="9" spans="1:27" ht="30" customHeight="1" x14ac:dyDescent="0.3">
      <c r="A9" s="12" t="s">
        <v>46</v>
      </c>
      <c r="B9" s="13" t="s">
        <v>15</v>
      </c>
      <c r="C9" s="13" t="s">
        <v>15</v>
      </c>
      <c r="D9" s="13" t="s">
        <v>15</v>
      </c>
      <c r="E9" s="13" t="s">
        <v>15</v>
      </c>
      <c r="F9" s="21">
        <v>1.2</v>
      </c>
      <c r="G9" s="21">
        <v>634.9</v>
      </c>
      <c r="H9" s="20"/>
      <c r="I9" s="30" t="s">
        <v>20</v>
      </c>
      <c r="J9" s="28" t="s">
        <v>16</v>
      </c>
    </row>
    <row r="10" spans="1:27" ht="30" customHeight="1" x14ac:dyDescent="0.3">
      <c r="A10" s="12" t="s">
        <v>47</v>
      </c>
      <c r="B10" s="13" t="s">
        <v>28</v>
      </c>
      <c r="C10" s="19">
        <v>44746</v>
      </c>
      <c r="D10" s="13">
        <v>96.6</v>
      </c>
      <c r="E10" s="13">
        <v>1902.2</v>
      </c>
      <c r="F10" s="21">
        <v>7.5</v>
      </c>
      <c r="G10" s="21">
        <v>1484.9</v>
      </c>
      <c r="H10" s="30" t="s">
        <v>20</v>
      </c>
      <c r="I10" s="30" t="s">
        <v>20</v>
      </c>
      <c r="J10" s="29" t="s">
        <v>23</v>
      </c>
    </row>
    <row r="11" spans="1:27" ht="30" customHeight="1" x14ac:dyDescent="0.3">
      <c r="A11" s="12" t="s">
        <v>48</v>
      </c>
      <c r="B11" s="13" t="s">
        <v>15</v>
      </c>
      <c r="C11" s="13" t="s">
        <v>15</v>
      </c>
      <c r="D11" s="13" t="s">
        <v>15</v>
      </c>
      <c r="E11" s="13" t="s">
        <v>15</v>
      </c>
      <c r="F11" s="21">
        <v>0.1</v>
      </c>
      <c r="G11" s="21">
        <v>16.2</v>
      </c>
      <c r="H11" s="20"/>
      <c r="I11" s="28" t="s">
        <v>16</v>
      </c>
      <c r="J11" s="28" t="s">
        <v>16</v>
      </c>
    </row>
  </sheetData>
  <mergeCells count="2">
    <mergeCell ref="B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K8"/>
  <sheetViews>
    <sheetView workbookViewId="0">
      <selection activeCell="B11" sqref="B11"/>
    </sheetView>
  </sheetViews>
  <sheetFormatPr defaultColWidth="14.6640625" defaultRowHeight="14.4" x14ac:dyDescent="0.3"/>
  <cols>
    <col min="1" max="1" width="28.109375" customWidth="1"/>
    <col min="5" max="5" width="15.5546875" customWidth="1"/>
  </cols>
  <sheetData>
    <row r="1" spans="1:11" s="22" customFormat="1" ht="24.9" customHeight="1" thickBot="1" x14ac:dyDescent="0.35">
      <c r="B1" s="42" t="s">
        <v>0</v>
      </c>
      <c r="C1" s="43"/>
      <c r="D1" s="39" t="s">
        <v>38</v>
      </c>
      <c r="E1" s="40"/>
      <c r="F1" s="41"/>
      <c r="G1" s="26" t="s">
        <v>2</v>
      </c>
    </row>
    <row r="2" spans="1:11" ht="66" customHeight="1" thickBot="1" x14ac:dyDescent="0.35">
      <c r="A2" s="23" t="s">
        <v>3</v>
      </c>
      <c r="B2" s="25" t="s">
        <v>49</v>
      </c>
      <c r="C2" s="10" t="s">
        <v>50</v>
      </c>
      <c r="D2" s="4" t="s">
        <v>10</v>
      </c>
      <c r="E2" s="25" t="s">
        <v>49</v>
      </c>
      <c r="F2" s="10" t="s">
        <v>50</v>
      </c>
      <c r="G2" s="6" t="s">
        <v>12</v>
      </c>
      <c r="H2" s="3"/>
      <c r="I2" s="3" t="s">
        <v>13</v>
      </c>
      <c r="J2" s="2"/>
      <c r="K2" s="2"/>
    </row>
    <row r="3" spans="1:11" ht="30" customHeight="1" x14ac:dyDescent="0.3">
      <c r="A3" s="12" t="s">
        <v>51</v>
      </c>
      <c r="B3" s="17">
        <v>0.1</v>
      </c>
      <c r="C3" s="17">
        <v>5.88</v>
      </c>
      <c r="D3" s="20"/>
      <c r="E3" s="30" t="s">
        <v>20</v>
      </c>
      <c r="F3" s="29" t="s">
        <v>23</v>
      </c>
      <c r="G3" s="27">
        <f>H8</f>
        <v>10</v>
      </c>
      <c r="H3" s="33">
        <v>2</v>
      </c>
      <c r="I3" s="32" t="s">
        <v>17</v>
      </c>
    </row>
    <row r="4" spans="1:11" ht="30" customHeight="1" x14ac:dyDescent="0.3">
      <c r="A4" s="12" t="s">
        <v>52</v>
      </c>
      <c r="B4" s="21">
        <v>0</v>
      </c>
      <c r="C4" s="21">
        <v>22.35</v>
      </c>
      <c r="D4" s="20"/>
      <c r="E4" s="28" t="s">
        <v>16</v>
      </c>
      <c r="F4" s="29" t="s">
        <v>23</v>
      </c>
      <c r="H4" s="33">
        <v>1</v>
      </c>
      <c r="I4" s="32" t="s">
        <v>21</v>
      </c>
    </row>
    <row r="5" spans="1:11" ht="30" customHeight="1" x14ac:dyDescent="0.3">
      <c r="A5" s="12" t="s">
        <v>53</v>
      </c>
      <c r="B5" s="21">
        <v>0.49</v>
      </c>
      <c r="C5" s="13">
        <v>6.68</v>
      </c>
      <c r="D5" s="20"/>
      <c r="E5" s="30" t="s">
        <v>20</v>
      </c>
      <c r="F5" s="29" t="s">
        <v>23</v>
      </c>
      <c r="H5" s="33">
        <v>1</v>
      </c>
      <c r="I5" s="32" t="s">
        <v>24</v>
      </c>
    </row>
    <row r="6" spans="1:11" ht="30" customHeight="1" x14ac:dyDescent="0.3">
      <c r="A6" s="12" t="s">
        <v>54</v>
      </c>
      <c r="B6" s="21">
        <v>0.14000000000000001</v>
      </c>
      <c r="C6" s="21">
        <v>6.09</v>
      </c>
      <c r="D6" s="20"/>
      <c r="E6" s="30" t="s">
        <v>20</v>
      </c>
      <c r="F6" s="29" t="s">
        <v>23</v>
      </c>
      <c r="H6" s="33">
        <v>0</v>
      </c>
      <c r="I6" s="32" t="s">
        <v>26</v>
      </c>
    </row>
    <row r="7" spans="1:11" ht="30" customHeight="1" x14ac:dyDescent="0.3">
      <c r="A7" s="12" t="s">
        <v>55</v>
      </c>
      <c r="B7" s="21">
        <v>0.73</v>
      </c>
      <c r="C7" s="21">
        <v>41</v>
      </c>
      <c r="D7" s="20"/>
      <c r="E7" s="30" t="s">
        <v>20</v>
      </c>
      <c r="F7" s="30" t="s">
        <v>20</v>
      </c>
      <c r="H7" s="33">
        <f>10*4</f>
        <v>40</v>
      </c>
      <c r="I7" s="32" t="s">
        <v>29</v>
      </c>
    </row>
    <row r="8" spans="1:11" x14ac:dyDescent="0.3">
      <c r="H8" s="34">
        <f>SUM(H3:H6)/H7*100</f>
        <v>10</v>
      </c>
      <c r="I8" s="32" t="s">
        <v>31</v>
      </c>
    </row>
  </sheetData>
  <mergeCells count="2"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M8"/>
  <sheetViews>
    <sheetView workbookViewId="0">
      <selection sqref="A1:G6"/>
    </sheetView>
  </sheetViews>
  <sheetFormatPr defaultColWidth="14.6640625" defaultRowHeight="14.4" x14ac:dyDescent="0.3"/>
  <cols>
    <col min="1" max="1" width="24" customWidth="1"/>
  </cols>
  <sheetData>
    <row r="1" spans="1:13" s="9" customFormat="1" ht="24.9" customHeight="1" thickBot="1" x14ac:dyDescent="0.35">
      <c r="A1" s="22"/>
      <c r="B1" s="42" t="s">
        <v>0</v>
      </c>
      <c r="C1" s="43"/>
      <c r="D1" s="39" t="s">
        <v>38</v>
      </c>
      <c r="E1" s="40"/>
      <c r="F1" s="41"/>
      <c r="G1" s="26" t="s">
        <v>2</v>
      </c>
      <c r="H1" s="22"/>
      <c r="I1" s="22"/>
      <c r="J1" s="44"/>
      <c r="K1" s="44"/>
      <c r="L1" s="35"/>
      <c r="M1" s="35"/>
    </row>
    <row r="2" spans="1:13" ht="66" customHeight="1" thickBot="1" x14ac:dyDescent="0.35">
      <c r="A2" s="23" t="s">
        <v>3</v>
      </c>
      <c r="B2" s="25" t="s">
        <v>56</v>
      </c>
      <c r="C2" s="10" t="s">
        <v>57</v>
      </c>
      <c r="D2" s="4" t="s">
        <v>10</v>
      </c>
      <c r="E2" s="25" t="s">
        <v>56</v>
      </c>
      <c r="F2" s="10" t="s">
        <v>57</v>
      </c>
      <c r="G2" s="6" t="s">
        <v>12</v>
      </c>
      <c r="H2" s="3"/>
      <c r="I2" s="3" t="s">
        <v>13</v>
      </c>
      <c r="J2" s="2"/>
      <c r="K2" s="2"/>
      <c r="L2" s="2"/>
      <c r="M2" s="2"/>
    </row>
    <row r="3" spans="1:13" ht="30" customHeight="1" x14ac:dyDescent="0.3">
      <c r="A3" s="12" t="s">
        <v>58</v>
      </c>
      <c r="B3" s="14">
        <v>0.12</v>
      </c>
      <c r="C3" s="14">
        <v>14.82</v>
      </c>
      <c r="D3" s="20"/>
      <c r="E3" s="30" t="s">
        <v>20</v>
      </c>
      <c r="F3" s="30" t="s">
        <v>20</v>
      </c>
      <c r="G3" s="27">
        <f>H8</f>
        <v>12.5</v>
      </c>
      <c r="H3" s="33">
        <v>2</v>
      </c>
      <c r="I3" s="32" t="s">
        <v>17</v>
      </c>
    </row>
    <row r="4" spans="1:13" ht="30" customHeight="1" x14ac:dyDescent="0.3">
      <c r="A4" s="12" t="s">
        <v>59</v>
      </c>
      <c r="B4" s="13">
        <v>0.41</v>
      </c>
      <c r="C4" s="13">
        <v>20.81</v>
      </c>
      <c r="D4" s="20"/>
      <c r="E4" s="30" t="s">
        <v>20</v>
      </c>
      <c r="F4" s="29" t="s">
        <v>23</v>
      </c>
      <c r="H4" s="33">
        <v>1</v>
      </c>
      <c r="I4" s="32" t="s">
        <v>21</v>
      </c>
    </row>
    <row r="5" spans="1:13" ht="30" customHeight="1" x14ac:dyDescent="0.3">
      <c r="A5" s="12" t="s">
        <v>60</v>
      </c>
      <c r="B5" s="13">
        <v>0.24</v>
      </c>
      <c r="C5" s="13">
        <v>9.43</v>
      </c>
      <c r="D5" s="20"/>
      <c r="E5" s="30" t="s">
        <v>20</v>
      </c>
      <c r="F5" s="30" t="s">
        <v>20</v>
      </c>
      <c r="H5" s="33">
        <v>1</v>
      </c>
      <c r="I5" s="32" t="s">
        <v>24</v>
      </c>
    </row>
    <row r="6" spans="1:13" ht="30" customHeight="1" x14ac:dyDescent="0.3">
      <c r="A6" s="12" t="s">
        <v>61</v>
      </c>
      <c r="B6" s="13">
        <v>0.77</v>
      </c>
      <c r="C6" s="13">
        <v>45.06</v>
      </c>
      <c r="D6" s="20"/>
      <c r="E6" s="30" t="s">
        <v>20</v>
      </c>
      <c r="F6" s="29" t="s">
        <v>23</v>
      </c>
      <c r="H6" s="33">
        <v>0</v>
      </c>
      <c r="I6" s="32" t="s">
        <v>26</v>
      </c>
    </row>
    <row r="7" spans="1:13" x14ac:dyDescent="0.3">
      <c r="H7" s="33">
        <f>8*4</f>
        <v>32</v>
      </c>
      <c r="I7" s="32" t="s">
        <v>29</v>
      </c>
    </row>
    <row r="8" spans="1:13" x14ac:dyDescent="0.3">
      <c r="H8" s="34">
        <f>SUM(H3:H6)/H7*100</f>
        <v>12.5</v>
      </c>
      <c r="I8" s="32" t="s">
        <v>31</v>
      </c>
    </row>
  </sheetData>
  <mergeCells count="4">
    <mergeCell ref="L1:M1"/>
    <mergeCell ref="B1:C1"/>
    <mergeCell ref="J1:K1"/>
    <mergeCell ref="D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9" ma:contentTypeDescription="Create a new document." ma:contentTypeScope="" ma:versionID="e70be3d8be502fb3e557a9cf2fa9255a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4202574f86a96e2ffc201694441f954d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224B2F-0347-4590-8653-688D75D49A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6A604-627A-4FD6-A29B-D0E55074D2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ECC0C-6D6F-4795-BBC9-4AFB4797681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Steve</cp:lastModifiedBy>
  <cp:revision/>
  <dcterms:created xsi:type="dcterms:W3CDTF">2022-02-02T18:59:30Z</dcterms:created>
  <dcterms:modified xsi:type="dcterms:W3CDTF">2022-06-27T13:47:38Z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