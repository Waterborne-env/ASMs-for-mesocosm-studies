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yngenta_WB-ASM\MesocosmData\Control-Combined\"/>
    </mc:Choice>
  </mc:AlternateContent>
  <xr:revisionPtr revIDLastSave="0" documentId="13_ncr:1_{7DDA610E-3025-4606-986C-448B038922F4}" xr6:coauthVersionLast="47" xr6:coauthVersionMax="47" xr10:uidLastSave="{00000000-0000-0000-0000-000000000000}"/>
  <bookViews>
    <workbookView xWindow="31335" yWindow="2505" windowWidth="19695" windowHeight="9270" activeTab="4" xr2:uid="{671650E4-2EB2-4150-B833-7BEA6BE58CDB}"/>
  </bookViews>
  <sheets>
    <sheet name="Macrophytes" sheetId="4" r:id="rId1"/>
    <sheet name="Periphyton" sheetId="1" r:id="rId2"/>
    <sheet name="Phytoplankton" sheetId="2" r:id="rId3"/>
    <sheet name="Zooplankton" sheetId="3" r:id="rId4"/>
    <sheet name="MacroInverts" sheetId="5" r:id="rId5"/>
  </sheets>
  <calcPr calcId="18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8" i="4" l="1"/>
  <c r="F17" i="4"/>
  <c r="F16" i="4"/>
  <c r="E18" i="4"/>
  <c r="D18" i="4"/>
  <c r="E17" i="4"/>
  <c r="D17" i="4"/>
  <c r="E16" i="4"/>
  <c r="D16" i="4"/>
  <c r="C18" i="4"/>
  <c r="C17" i="4"/>
  <c r="C16" i="4"/>
</calcChain>
</file>

<file path=xl/sharedStrings.xml><?xml version="1.0" encoding="utf-8"?>
<sst xmlns="http://schemas.openxmlformats.org/spreadsheetml/2006/main" count="328" uniqueCount="49">
  <si>
    <t>14-a</t>
  </si>
  <si>
    <t>16-a</t>
  </si>
  <si>
    <t>18-c</t>
  </si>
  <si>
    <t>19-b</t>
  </si>
  <si>
    <t>Periphyon, ug Chlor/185.5 cm2</t>
  </si>
  <si>
    <t>Mean</t>
  </si>
  <si>
    <t>Min</t>
  </si>
  <si>
    <t>Max</t>
  </si>
  <si>
    <t>Diatoms</t>
  </si>
  <si>
    <t>Bl greens</t>
  </si>
  <si>
    <t>Cryptoph</t>
  </si>
  <si>
    <t>Greens</t>
  </si>
  <si>
    <t>Model</t>
  </si>
  <si>
    <t>Model:data comparisons</t>
  </si>
  <si>
    <t>Phytoplakton, ug Chlor/L</t>
  </si>
  <si>
    <t>calibration</t>
  </si>
  <si>
    <t>Daphnia longispina</t>
  </si>
  <si>
    <t>Daphnia spp</t>
  </si>
  <si>
    <t>Chydoris sphaericus</t>
  </si>
  <si>
    <t>Cyclopoids</t>
  </si>
  <si>
    <t>Hexartha</t>
  </si>
  <si>
    <t>Keratella</t>
  </si>
  <si>
    <t>Nauplii</t>
  </si>
  <si>
    <t>Polyartha</t>
  </si>
  <si>
    <t>Simocephalus spp</t>
  </si>
  <si>
    <t>Synchaeta spp</t>
  </si>
  <si>
    <t>No/Liter</t>
  </si>
  <si>
    <t>M. spicatum</t>
  </si>
  <si>
    <t>Percent cover</t>
  </si>
  <si>
    <t>Chara globularis</t>
  </si>
  <si>
    <t>Total</t>
  </si>
  <si>
    <t>No/Sampler</t>
  </si>
  <si>
    <t>Aeshnidae - dragonfly</t>
  </si>
  <si>
    <t>Aeshna cy. - dragonfly</t>
  </si>
  <si>
    <t>Anisoptera - dragonfly</t>
  </si>
  <si>
    <t>Asellus</t>
  </si>
  <si>
    <t>Chaoborus lrv</t>
  </si>
  <si>
    <t>Chironomidae - lrv</t>
  </si>
  <si>
    <t>Cloeon spp</t>
  </si>
  <si>
    <t>Coenagrionidae - odonates</t>
  </si>
  <si>
    <t>Gammarus pulex</t>
  </si>
  <si>
    <t>Haemopsis - leech</t>
  </si>
  <si>
    <t>Helobdella - leech</t>
  </si>
  <si>
    <t>Lymnaea - snail</t>
  </si>
  <si>
    <t>Planorbis -snail</t>
  </si>
  <si>
    <t>Tanypodinae</t>
  </si>
  <si>
    <t>Tubifex spp - oligochaetes</t>
  </si>
  <si>
    <t>Zygoptera - damselflies</t>
  </si>
  <si>
    <t>rev-01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</si>
</sst>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[$-409]d\-mmm\-yy;@"/>
    <numFmt numFmtId="166" formatCode="0.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/>
    <xf numFmtId="166" fontId="0" fillId="0" borderId="0" xfId="0" applyNumberFormat="1"/>
    <xf numFmtId="2" fontId="0" fillId="0" borderId="0" xfId="0" applyNumberFormat="1" applyAlignment="1">
      <alignment horizontal="center"/>
    </xf>
    <xf numFmtId="2" fontId="0" fillId="0" borderId="0" xfId="0" applyNumberFormat="1"/>
    <xf numFmtId="2" fontId="0" fillId="2" borderId="0" xfId="0" applyNumberFormat="1" applyFill="1"/>
    <xf numFmtId="2" fontId="0" fillId="0" borderId="0" xfId="0" applyNumberFormat="1" applyFill="1"/>
    <xf numFmtId="2" fontId="0" fillId="0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4E945-A9DB-41F2-BA32-6B10CCDA441C}">
  <dimension ref="B1:I23"/>
  <sheetViews>
    <sheetView topLeftCell="A3" workbookViewId="0">
      <selection activeCell="L13" sqref="L13"/>
    </sheetView>
  </sheetViews>
  <sheetFormatPr defaultRowHeight="14.4" x14ac:dyDescent="0.3"/>
  <cols>
    <col min="2" max="2" width="14.5546875" customWidth="1"/>
    <col min="7" max="7" width="11.5546875" style="6" customWidth="1"/>
    <col min="9" max="9" width="8.88671875" style="6"/>
  </cols>
  <sheetData>
    <row r="1" spans="2:9" x14ac:dyDescent="0.3">
      <c r="B1" s="3">
        <v>44592</v>
      </c>
    </row>
    <row r="2" spans="2:9" x14ac:dyDescent="0.3">
      <c r="B2" t="s">
        <v>13</v>
      </c>
    </row>
    <row r="4" spans="2:9" x14ac:dyDescent="0.3">
      <c r="C4" s="2" t="s">
        <v>28</v>
      </c>
      <c r="D4" s="2"/>
      <c r="E4" s="2"/>
      <c r="F4" s="2"/>
      <c r="G4" s="5" t="s">
        <v>12</v>
      </c>
    </row>
    <row r="5" spans="2:9" x14ac:dyDescent="0.3">
      <c r="B5" t="s">
        <v>27</v>
      </c>
      <c r="C5" s="1" t="s">
        <v>0</v>
      </c>
      <c r="D5" s="1" t="s">
        <v>1</v>
      </c>
      <c r="E5" s="1" t="s">
        <v>2</v>
      </c>
      <c r="F5" s="1" t="s">
        <v>3</v>
      </c>
      <c r="G5" s="5" t="s">
        <v>15</v>
      </c>
      <c r="I5" s="5" t="s">
        <v>48</v>
      </c>
    </row>
    <row r="6" spans="2:9" x14ac:dyDescent="0.3">
      <c r="B6" t="s">
        <v>5</v>
      </c>
      <c r="C6" s="5">
        <v>8.6533333333333324</v>
      </c>
      <c r="D6" s="5">
        <v>42.496666666666663</v>
      </c>
      <c r="E6" s="5">
        <v>33.61999999999999</v>
      </c>
      <c r="F6" s="5">
        <v>21.330000000000002</v>
      </c>
      <c r="G6" s="6">
        <v>17.911394632075467</v>
      </c>
      <c r="I6" s="6">
        <v>29.119464302459015</v>
      </c>
    </row>
    <row r="7" spans="2:9" x14ac:dyDescent="0.3">
      <c r="B7" t="s">
        <v>6</v>
      </c>
      <c r="C7" s="5">
        <v>3.7000000000000006</v>
      </c>
      <c r="D7" s="5">
        <v>29.716666666666669</v>
      </c>
      <c r="E7" s="5">
        <v>17.239999999999998</v>
      </c>
      <c r="F7" s="5">
        <v>1.7</v>
      </c>
      <c r="G7" s="6">
        <v>4.2712998000000004</v>
      </c>
      <c r="I7" s="6">
        <v>6.9711293999999997</v>
      </c>
    </row>
    <row r="8" spans="2:9" x14ac:dyDescent="0.3">
      <c r="B8" t="s">
        <v>7</v>
      </c>
      <c r="C8" s="5">
        <v>21.733333333333334</v>
      </c>
      <c r="D8" s="5">
        <v>55.65</v>
      </c>
      <c r="E8" s="5">
        <v>49.8</v>
      </c>
      <c r="F8" s="5">
        <v>47.15</v>
      </c>
      <c r="G8" s="6">
        <v>55.939152</v>
      </c>
      <c r="I8" s="6">
        <v>72.779617000000002</v>
      </c>
    </row>
    <row r="10" spans="2:9" x14ac:dyDescent="0.3">
      <c r="B10" t="s">
        <v>29</v>
      </c>
      <c r="C10" s="1" t="s">
        <v>0</v>
      </c>
      <c r="D10" s="1" t="s">
        <v>1</v>
      </c>
      <c r="E10" s="1" t="s">
        <v>2</v>
      </c>
      <c r="F10" s="1" t="s">
        <v>3</v>
      </c>
    </row>
    <row r="11" spans="2:9" x14ac:dyDescent="0.3">
      <c r="B11" t="s">
        <v>5</v>
      </c>
      <c r="C11" s="5">
        <v>19.774000000000001</v>
      </c>
      <c r="D11" s="5">
        <v>10.266666666666666</v>
      </c>
      <c r="E11" s="5">
        <v>7.1280000000000001</v>
      </c>
      <c r="F11" s="5">
        <v>36.339999999999996</v>
      </c>
      <c r="G11" s="7">
        <v>6.0409332999999945</v>
      </c>
      <c r="I11" s="6">
        <v>5.9348164844262223</v>
      </c>
    </row>
    <row r="12" spans="2:9" x14ac:dyDescent="0.3">
      <c r="B12" t="s">
        <v>6</v>
      </c>
      <c r="C12" s="5">
        <v>6.4</v>
      </c>
      <c r="D12" s="5">
        <v>3.2166666666666668</v>
      </c>
      <c r="E12" s="5">
        <v>4.2</v>
      </c>
      <c r="F12" s="5">
        <v>17</v>
      </c>
      <c r="G12" s="6">
        <v>3.5480999999999998</v>
      </c>
      <c r="I12" s="6">
        <v>3.5480999999999998</v>
      </c>
    </row>
    <row r="13" spans="2:9" x14ac:dyDescent="0.3">
      <c r="B13" t="s">
        <v>7</v>
      </c>
      <c r="C13" s="5">
        <v>33.1</v>
      </c>
      <c r="D13" s="5">
        <v>15.383333333333333</v>
      </c>
      <c r="E13" s="5">
        <v>10.040000000000001</v>
      </c>
      <c r="F13" s="5">
        <v>48.3</v>
      </c>
      <c r="G13" s="6">
        <v>10.056900000000001</v>
      </c>
      <c r="I13" s="6">
        <v>10.056900000000001</v>
      </c>
    </row>
    <row r="15" spans="2:9" x14ac:dyDescent="0.3">
      <c r="B15" t="s">
        <v>30</v>
      </c>
      <c r="C15" s="1" t="s">
        <v>0</v>
      </c>
      <c r="D15" s="1" t="s">
        <v>1</v>
      </c>
      <c r="E15" s="1" t="s">
        <v>2</v>
      </c>
      <c r="F15" s="1" t="s">
        <v>3</v>
      </c>
    </row>
    <row r="16" spans="2:9" x14ac:dyDescent="0.3">
      <c r="B16" t="s">
        <v>5</v>
      </c>
      <c r="C16" s="5">
        <f>C6+C11</f>
        <v>28.427333333333333</v>
      </c>
      <c r="D16" s="5">
        <f t="shared" ref="D16:E16" si="0">D6+D11</f>
        <v>52.763333333333328</v>
      </c>
      <c r="E16" s="5">
        <f t="shared" si="0"/>
        <v>40.74799999999999</v>
      </c>
      <c r="F16" s="5">
        <f t="shared" ref="F16" si="1">F6+F11</f>
        <v>57.67</v>
      </c>
      <c r="G16" s="6">
        <v>23.952328039622632</v>
      </c>
      <c r="I16" s="6">
        <v>35.054280901639338</v>
      </c>
    </row>
    <row r="17" spans="2:9" x14ac:dyDescent="0.3">
      <c r="B17" t="s">
        <v>6</v>
      </c>
      <c r="C17" s="5">
        <f t="shared" ref="C17:E18" si="2">C7+C12</f>
        <v>10.100000000000001</v>
      </c>
      <c r="D17" s="5">
        <f t="shared" si="2"/>
        <v>32.933333333333337</v>
      </c>
      <c r="E17" s="5">
        <f t="shared" si="2"/>
        <v>21.439999999999998</v>
      </c>
      <c r="F17" s="5">
        <f t="shared" ref="F17" si="3">F7+F12</f>
        <v>18.7</v>
      </c>
      <c r="G17" s="6">
        <v>7.8193998000000002</v>
      </c>
      <c r="I17" s="6">
        <v>10.51923</v>
      </c>
    </row>
    <row r="18" spans="2:9" x14ac:dyDescent="0.3">
      <c r="B18" t="s">
        <v>7</v>
      </c>
      <c r="C18" s="5">
        <f t="shared" si="2"/>
        <v>54.833333333333336</v>
      </c>
      <c r="D18" s="5">
        <f t="shared" si="2"/>
        <v>71.033333333333331</v>
      </c>
      <c r="E18" s="5">
        <f t="shared" si="2"/>
        <v>59.839999999999996</v>
      </c>
      <c r="F18" s="5">
        <f t="shared" ref="F18" si="4">F8+F13</f>
        <v>95.449999999999989</v>
      </c>
      <c r="G18" s="6">
        <v>62.864502000000002</v>
      </c>
      <c r="I18" s="6">
        <v>78.711860999999999</v>
      </c>
    </row>
    <row r="20" spans="2:9" x14ac:dyDescent="0.3">
      <c r="C20" s="1"/>
      <c r="D20" s="1"/>
      <c r="E20" s="1"/>
      <c r="F20" s="1"/>
    </row>
    <row r="21" spans="2:9" x14ac:dyDescent="0.3">
      <c r="C21" s="5"/>
      <c r="D21" s="5"/>
      <c r="E21" s="5"/>
      <c r="F21" s="5"/>
    </row>
    <row r="22" spans="2:9" x14ac:dyDescent="0.3">
      <c r="C22" s="5"/>
      <c r="D22" s="5"/>
      <c r="E22" s="5"/>
      <c r="F22" s="5"/>
    </row>
    <row r="23" spans="2:9" x14ac:dyDescent="0.3">
      <c r="C23" s="5"/>
      <c r="D23" s="5"/>
      <c r="E23" s="5"/>
      <c r="F23" s="5"/>
    </row>
  </sheetData>
  <mergeCells count="1">
    <mergeCell ref="C4:F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BE77A-20DF-4A36-ACF1-05E1398271F0}">
  <dimension ref="B1:I23"/>
  <sheetViews>
    <sheetView topLeftCell="A3" workbookViewId="0">
      <selection activeCell="L20" sqref="L20"/>
    </sheetView>
  </sheetViews>
  <sheetFormatPr defaultRowHeight="14.4" x14ac:dyDescent="0.3"/>
  <cols>
    <col min="2" max="2" width="9.5546875" bestFit="1" customWidth="1"/>
    <col min="7" max="7" width="11.5546875" style="6" customWidth="1"/>
    <col min="9" max="9" width="8.88671875" style="6"/>
  </cols>
  <sheetData>
    <row r="1" spans="2:9" x14ac:dyDescent="0.3">
      <c r="B1" s="3">
        <v>44592</v>
      </c>
    </row>
    <row r="2" spans="2:9" x14ac:dyDescent="0.3">
      <c r="B2" t="s">
        <v>13</v>
      </c>
    </row>
    <row r="4" spans="2:9" x14ac:dyDescent="0.3">
      <c r="C4" s="2" t="s">
        <v>4</v>
      </c>
      <c r="D4" s="2"/>
      <c r="E4" s="2"/>
      <c r="F4" s="2"/>
      <c r="G4" s="5" t="s">
        <v>12</v>
      </c>
    </row>
    <row r="5" spans="2:9" x14ac:dyDescent="0.3">
      <c r="B5" t="s">
        <v>8</v>
      </c>
      <c r="C5" s="1" t="s">
        <v>0</v>
      </c>
      <c r="D5" s="1" t="s">
        <v>1</v>
      </c>
      <c r="E5" s="1" t="s">
        <v>2</v>
      </c>
      <c r="F5" s="1" t="s">
        <v>3</v>
      </c>
      <c r="G5" s="5" t="s">
        <v>15</v>
      </c>
      <c r="I5" s="5" t="s">
        <v>48</v>
      </c>
    </row>
    <row r="6" spans="2:9" x14ac:dyDescent="0.3">
      <c r="B6" t="s">
        <v>5</v>
      </c>
      <c r="C6" s="5">
        <v>3.2628571428571433</v>
      </c>
      <c r="D6" s="5">
        <v>7.137142857142857</v>
      </c>
      <c r="E6" s="5">
        <v>3.6920000000000002</v>
      </c>
      <c r="F6" s="5">
        <v>3.8725239583333333</v>
      </c>
      <c r="G6" s="6">
        <v>1.159780363924527</v>
      </c>
      <c r="I6" s="6">
        <v>2.4625907366147612</v>
      </c>
    </row>
    <row r="7" spans="2:9" x14ac:dyDescent="0.3">
      <c r="B7" t="s">
        <v>6</v>
      </c>
      <c r="C7" s="5">
        <v>1.76</v>
      </c>
      <c r="D7" s="5">
        <v>3.34</v>
      </c>
      <c r="E7" s="5">
        <v>0.97</v>
      </c>
      <c r="F7" s="5">
        <v>1.8695833333333336</v>
      </c>
      <c r="G7" s="6">
        <v>6.1214998E-2</v>
      </c>
      <c r="I7" s="6">
        <v>1.8549999000000001E-2</v>
      </c>
    </row>
    <row r="8" spans="2:9" x14ac:dyDescent="0.3">
      <c r="B8" t="s">
        <v>7</v>
      </c>
      <c r="C8" s="5">
        <v>5.22</v>
      </c>
      <c r="D8" s="5">
        <v>10</v>
      </c>
      <c r="E8" s="5">
        <v>7.58</v>
      </c>
      <c r="F8" s="5">
        <v>8.5166666666666657</v>
      </c>
      <c r="G8" s="6">
        <v>20.895416000000001</v>
      </c>
      <c r="I8" s="6">
        <v>64.760840999999999</v>
      </c>
    </row>
    <row r="10" spans="2:9" x14ac:dyDescent="0.3">
      <c r="B10" t="s">
        <v>11</v>
      </c>
      <c r="C10" s="1" t="s">
        <v>0</v>
      </c>
      <c r="D10" s="1" t="s">
        <v>1</v>
      </c>
      <c r="E10" s="1" t="s">
        <v>2</v>
      </c>
      <c r="F10" s="1" t="s">
        <v>3</v>
      </c>
    </row>
    <row r="11" spans="2:9" x14ac:dyDescent="0.3">
      <c r="B11" t="s">
        <v>5</v>
      </c>
      <c r="C11" s="5">
        <v>4.3500000000000005</v>
      </c>
      <c r="D11" s="5">
        <v>10.397142857142857</v>
      </c>
      <c r="E11" s="5">
        <v>2.3800000000000003</v>
      </c>
      <c r="F11" s="5">
        <v>8.6159999999999979</v>
      </c>
      <c r="G11" s="6">
        <v>2.5854908231132061</v>
      </c>
      <c r="I11" s="6">
        <v>1.5821806401147478</v>
      </c>
    </row>
    <row r="12" spans="2:9" x14ac:dyDescent="0.3">
      <c r="B12" t="s">
        <v>6</v>
      </c>
      <c r="C12" s="5">
        <v>1.1299999999999999</v>
      </c>
      <c r="D12" s="5">
        <v>7.8</v>
      </c>
      <c r="E12" s="5">
        <v>0.39</v>
      </c>
      <c r="F12" s="5">
        <v>3.91</v>
      </c>
      <c r="G12" s="6">
        <v>6.1214998E-2</v>
      </c>
      <c r="I12" s="6">
        <v>1.8549999000000001E-2</v>
      </c>
    </row>
    <row r="13" spans="2:9" x14ac:dyDescent="0.3">
      <c r="B13" t="s">
        <v>7</v>
      </c>
      <c r="C13" s="5">
        <v>9.2899999999999991</v>
      </c>
      <c r="D13" s="5">
        <v>15.59</v>
      </c>
      <c r="E13" s="5">
        <v>4.82</v>
      </c>
      <c r="F13" s="5">
        <v>18.45</v>
      </c>
      <c r="G13" s="6">
        <v>37.274676999999997</v>
      </c>
      <c r="I13" s="6">
        <v>37.596584</v>
      </c>
    </row>
    <row r="15" spans="2:9" x14ac:dyDescent="0.3">
      <c r="B15" t="s">
        <v>9</v>
      </c>
      <c r="C15" s="1" t="s">
        <v>0</v>
      </c>
      <c r="D15" s="1" t="s">
        <v>1</v>
      </c>
      <c r="E15" s="1" t="s">
        <v>2</v>
      </c>
      <c r="F15" s="1" t="s">
        <v>3</v>
      </c>
    </row>
    <row r="16" spans="2:9" x14ac:dyDescent="0.3">
      <c r="B16" t="s">
        <v>5</v>
      </c>
      <c r="C16" s="5">
        <v>1.0857142857142856</v>
      </c>
      <c r="D16" s="5">
        <v>5.9828571428571422</v>
      </c>
      <c r="E16" s="5">
        <v>0.5139999999999999</v>
      </c>
      <c r="F16" s="5">
        <v>4.7106249999999994</v>
      </c>
      <c r="G16" s="6">
        <v>1.1521844717924521</v>
      </c>
      <c r="I16" s="6">
        <v>5.6485518196721471E-2</v>
      </c>
    </row>
    <row r="17" spans="2:9" x14ac:dyDescent="0.3">
      <c r="B17" t="s">
        <v>6</v>
      </c>
      <c r="C17" s="5">
        <v>0.3</v>
      </c>
      <c r="D17" s="5">
        <v>1.68</v>
      </c>
      <c r="E17" s="5">
        <v>7.0000000000000007E-2</v>
      </c>
      <c r="F17" s="5">
        <v>1.05</v>
      </c>
      <c r="G17" s="6">
        <v>6.1214998E-2</v>
      </c>
      <c r="I17" s="6">
        <v>1.8549999000000001E-2</v>
      </c>
    </row>
    <row r="18" spans="2:9" x14ac:dyDescent="0.3">
      <c r="B18" t="s">
        <v>7</v>
      </c>
      <c r="C18" s="5">
        <v>2.66</v>
      </c>
      <c r="D18" s="5">
        <v>18.16</v>
      </c>
      <c r="E18" s="5">
        <v>1.19</v>
      </c>
      <c r="F18" s="5">
        <v>11.22</v>
      </c>
      <c r="G18" s="6">
        <v>10.977475</v>
      </c>
      <c r="I18" s="6">
        <v>0.27381411</v>
      </c>
    </row>
    <row r="20" spans="2:9" x14ac:dyDescent="0.3">
      <c r="B20" t="s">
        <v>10</v>
      </c>
      <c r="C20" s="1" t="s">
        <v>0</v>
      </c>
      <c r="D20" s="1" t="s">
        <v>1</v>
      </c>
      <c r="E20" s="1" t="s">
        <v>2</v>
      </c>
      <c r="F20" s="1" t="s">
        <v>3</v>
      </c>
    </row>
    <row r="21" spans="2:9" x14ac:dyDescent="0.3">
      <c r="B21" t="s">
        <v>5</v>
      </c>
      <c r="C21" s="5">
        <v>0.87571428571428578</v>
      </c>
      <c r="D21" s="5">
        <v>2.6657142857142859</v>
      </c>
      <c r="E21" s="5">
        <v>1.468</v>
      </c>
      <c r="F21" s="5">
        <v>1.5168750000000002</v>
      </c>
      <c r="G21" s="7">
        <v>44.357556619830248</v>
      </c>
      <c r="I21" s="6">
        <v>7.2997876844262094E-2</v>
      </c>
    </row>
    <row r="22" spans="2:9" x14ac:dyDescent="0.3">
      <c r="B22" t="s">
        <v>6</v>
      </c>
      <c r="C22" s="5">
        <v>0.41</v>
      </c>
      <c r="D22" s="5">
        <v>0.28000000000000003</v>
      </c>
      <c r="E22" s="5">
        <v>0.39</v>
      </c>
      <c r="F22" s="5">
        <v>0.14000000000000001</v>
      </c>
      <c r="G22" s="7">
        <v>6.1214998E-2</v>
      </c>
      <c r="I22" s="6">
        <v>1.8549999000000001E-2</v>
      </c>
    </row>
    <row r="23" spans="2:9" x14ac:dyDescent="0.3">
      <c r="B23" t="s">
        <v>7</v>
      </c>
      <c r="C23" s="5">
        <v>1.32</v>
      </c>
      <c r="D23" s="5">
        <v>8.1300000000000008</v>
      </c>
      <c r="E23" s="5">
        <v>3.84</v>
      </c>
      <c r="F23" s="5">
        <v>6.05</v>
      </c>
      <c r="G23" s="7">
        <v>755.10364000000004</v>
      </c>
      <c r="I23" s="6">
        <v>0.69842660000000001</v>
      </c>
    </row>
  </sheetData>
  <mergeCells count="1">
    <mergeCell ref="C4:F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CC742-F84D-4C84-9AE6-5199299F1D69}">
  <dimension ref="B1:I23"/>
  <sheetViews>
    <sheetView topLeftCell="A4" workbookViewId="0">
      <selection activeCell="R16" sqref="R16"/>
    </sheetView>
  </sheetViews>
  <sheetFormatPr defaultRowHeight="14.4" x14ac:dyDescent="0.3"/>
  <cols>
    <col min="2" max="2" width="9.5546875" bestFit="1" customWidth="1"/>
    <col min="7" max="7" width="10" style="6" customWidth="1"/>
    <col min="9" max="9" width="8.88671875" style="6"/>
  </cols>
  <sheetData>
    <row r="1" spans="2:9" x14ac:dyDescent="0.3">
      <c r="B1" s="3">
        <v>44592</v>
      </c>
    </row>
    <row r="2" spans="2:9" x14ac:dyDescent="0.3">
      <c r="B2" t="s">
        <v>13</v>
      </c>
    </row>
    <row r="4" spans="2:9" x14ac:dyDescent="0.3">
      <c r="C4" s="2" t="s">
        <v>14</v>
      </c>
      <c r="D4" s="2"/>
      <c r="E4" s="2"/>
      <c r="F4" s="2"/>
      <c r="G4" s="5" t="s">
        <v>12</v>
      </c>
    </row>
    <row r="5" spans="2:9" x14ac:dyDescent="0.3">
      <c r="B5" t="s">
        <v>8</v>
      </c>
      <c r="C5" s="1" t="s">
        <v>0</v>
      </c>
      <c r="D5" s="1" t="s">
        <v>1</v>
      </c>
      <c r="E5" s="1" t="s">
        <v>2</v>
      </c>
      <c r="F5" s="1" t="s">
        <v>3</v>
      </c>
      <c r="G5" s="5" t="s">
        <v>15</v>
      </c>
      <c r="I5" s="5" t="s">
        <v>48</v>
      </c>
    </row>
    <row r="6" spans="2:9" x14ac:dyDescent="0.3">
      <c r="B6" t="s">
        <v>5</v>
      </c>
      <c r="C6" s="5">
        <v>1.4616666666666664</v>
      </c>
      <c r="D6" s="5">
        <v>3.8770370370370366</v>
      </c>
      <c r="E6" s="5">
        <v>3.0214285714285714</v>
      </c>
      <c r="F6" s="5">
        <v>2.0262500000000001</v>
      </c>
      <c r="G6" s="6">
        <v>6.0332350226660383</v>
      </c>
      <c r="I6" s="6">
        <v>21.314621470770508</v>
      </c>
    </row>
    <row r="7" spans="2:9" x14ac:dyDescent="0.3">
      <c r="B7" t="s">
        <v>6</v>
      </c>
      <c r="C7" s="5">
        <v>0.66999999999999993</v>
      </c>
      <c r="D7" s="5">
        <v>2.5</v>
      </c>
      <c r="E7" s="5">
        <v>1.1499999999999999</v>
      </c>
      <c r="F7" s="5">
        <v>0.49</v>
      </c>
      <c r="G7" s="4">
        <v>3.3000002000000001E-3</v>
      </c>
      <c r="I7" s="6">
        <v>1E-3</v>
      </c>
    </row>
    <row r="8" spans="2:9" x14ac:dyDescent="0.3">
      <c r="B8" t="s">
        <v>7</v>
      </c>
      <c r="C8" s="5">
        <v>2.8200000000000003</v>
      </c>
      <c r="D8" s="5">
        <v>6.72</v>
      </c>
      <c r="E8" s="5">
        <v>7.02</v>
      </c>
      <c r="F8" s="5">
        <v>3.55</v>
      </c>
      <c r="G8" s="6">
        <v>126.54197000000001</v>
      </c>
      <c r="I8" s="6">
        <v>130.71494999999999</v>
      </c>
    </row>
    <row r="10" spans="2:9" x14ac:dyDescent="0.3">
      <c r="B10" t="s">
        <v>11</v>
      </c>
      <c r="C10" s="1" t="s">
        <v>0</v>
      </c>
      <c r="D10" s="1" t="s">
        <v>1</v>
      </c>
      <c r="E10" s="1" t="s">
        <v>2</v>
      </c>
      <c r="F10" s="1" t="s">
        <v>3</v>
      </c>
    </row>
    <row r="11" spans="2:9" x14ac:dyDescent="0.3">
      <c r="B11" t="s">
        <v>5</v>
      </c>
      <c r="C11" s="5">
        <v>1.919</v>
      </c>
      <c r="D11" s="5">
        <v>7.9533333333333331</v>
      </c>
      <c r="E11" s="5">
        <v>5.5442857142857145</v>
      </c>
      <c r="F11" s="5">
        <v>1.31125</v>
      </c>
      <c r="G11" s="7">
        <v>32.238894602769811</v>
      </c>
      <c r="I11" s="6">
        <v>6.447396119852459</v>
      </c>
    </row>
    <row r="12" spans="2:9" x14ac:dyDescent="0.3">
      <c r="B12" t="s">
        <v>6</v>
      </c>
      <c r="C12" s="5">
        <v>0.3</v>
      </c>
      <c r="D12" s="5">
        <v>2.57</v>
      </c>
      <c r="E12" s="5">
        <v>0</v>
      </c>
      <c r="F12" s="5">
        <v>0.19</v>
      </c>
      <c r="G12" s="4">
        <v>3.3000002000000001E-3</v>
      </c>
      <c r="I12" s="6">
        <v>1E-3</v>
      </c>
    </row>
    <row r="13" spans="2:9" x14ac:dyDescent="0.3">
      <c r="B13" t="s">
        <v>7</v>
      </c>
      <c r="C13" s="5">
        <v>5.19</v>
      </c>
      <c r="D13" s="5">
        <v>19.899999999999999</v>
      </c>
      <c r="E13" s="5">
        <v>27.79</v>
      </c>
      <c r="F13" s="5">
        <v>4.49</v>
      </c>
      <c r="G13" s="7">
        <v>409.07175000000001</v>
      </c>
      <c r="I13" s="6">
        <v>49.703437999999998</v>
      </c>
    </row>
    <row r="15" spans="2:9" x14ac:dyDescent="0.3">
      <c r="B15" t="s">
        <v>9</v>
      </c>
      <c r="C15" s="1" t="s">
        <v>0</v>
      </c>
      <c r="D15" s="1" t="s">
        <v>1</v>
      </c>
      <c r="E15" s="1" t="s">
        <v>2</v>
      </c>
      <c r="F15" s="1" t="s">
        <v>3</v>
      </c>
    </row>
    <row r="16" spans="2:9" x14ac:dyDescent="0.3">
      <c r="B16" t="s">
        <v>5</v>
      </c>
      <c r="C16" s="5">
        <v>0.43888888888888888</v>
      </c>
      <c r="D16" s="5">
        <v>3.048888888888889</v>
      </c>
      <c r="E16" s="5">
        <v>2.5</v>
      </c>
      <c r="F16" s="5">
        <v>1.3979999999999999</v>
      </c>
      <c r="G16" s="7">
        <v>9.408859131662263</v>
      </c>
      <c r="I16" s="6">
        <v>5.7337845848918052</v>
      </c>
    </row>
    <row r="17" spans="2:9" x14ac:dyDescent="0.3">
      <c r="B17" t="s">
        <v>6</v>
      </c>
      <c r="C17" s="5">
        <v>0.08</v>
      </c>
      <c r="D17" s="5">
        <v>0.88</v>
      </c>
      <c r="E17" s="5">
        <v>0.86</v>
      </c>
      <c r="F17" s="5">
        <v>0.28000000000000003</v>
      </c>
      <c r="G17" s="4">
        <v>3.3000002000000001E-3</v>
      </c>
      <c r="I17" s="6">
        <v>1E-3</v>
      </c>
    </row>
    <row r="18" spans="2:9" x14ac:dyDescent="0.3">
      <c r="B18" t="s">
        <v>7</v>
      </c>
      <c r="C18" s="5">
        <v>0.73</v>
      </c>
      <c r="D18" s="5">
        <v>6.08</v>
      </c>
      <c r="E18" s="5">
        <v>6.34</v>
      </c>
      <c r="F18" s="5">
        <v>2.93</v>
      </c>
      <c r="G18" s="7">
        <v>99.329230999999993</v>
      </c>
      <c r="I18" s="6">
        <v>72.012703000000002</v>
      </c>
    </row>
    <row r="20" spans="2:9" x14ac:dyDescent="0.3">
      <c r="B20" t="s">
        <v>10</v>
      </c>
      <c r="C20" s="1" t="s">
        <v>0</v>
      </c>
      <c r="D20" s="1" t="s">
        <v>1</v>
      </c>
      <c r="E20" s="1" t="s">
        <v>2</v>
      </c>
      <c r="F20" s="1" t="s">
        <v>3</v>
      </c>
    </row>
    <row r="21" spans="2:9" x14ac:dyDescent="0.3">
      <c r="B21" t="s">
        <v>5</v>
      </c>
      <c r="C21" s="5">
        <v>0.876</v>
      </c>
      <c r="D21" s="5">
        <v>2.2055555555555553</v>
      </c>
      <c r="E21" s="5">
        <v>2.577857142857142</v>
      </c>
      <c r="F21" s="5">
        <v>2.9968749999999997</v>
      </c>
      <c r="G21" s="6">
        <v>3.9694061378320753</v>
      </c>
      <c r="I21" s="6">
        <v>0.86328663842622999</v>
      </c>
    </row>
    <row r="22" spans="2:9" x14ac:dyDescent="0.3">
      <c r="B22" t="s">
        <v>6</v>
      </c>
      <c r="C22" s="5">
        <v>0.27</v>
      </c>
      <c r="D22" s="5">
        <v>0.08</v>
      </c>
      <c r="E22" s="5">
        <v>0.1</v>
      </c>
      <c r="F22" s="5">
        <v>0.61</v>
      </c>
      <c r="G22" s="4">
        <v>3.3000002000000001E-3</v>
      </c>
      <c r="I22" s="6">
        <v>1E-3</v>
      </c>
    </row>
    <row r="23" spans="2:9" x14ac:dyDescent="0.3">
      <c r="B23" t="s">
        <v>7</v>
      </c>
      <c r="C23" s="5">
        <v>2.2000000000000002</v>
      </c>
      <c r="D23" s="5">
        <v>5.24</v>
      </c>
      <c r="E23" s="5">
        <v>6.04</v>
      </c>
      <c r="F23" s="5">
        <v>6.19</v>
      </c>
      <c r="G23" s="7">
        <v>41.225937000000002</v>
      </c>
      <c r="I23" s="6">
        <v>5.7794961999999996</v>
      </c>
    </row>
  </sheetData>
  <mergeCells count="1">
    <mergeCell ref="C4:F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EF251-F3C7-4D88-A000-E64B6720FF9E}">
  <dimension ref="B1:V26"/>
  <sheetViews>
    <sheetView topLeftCell="D5" workbookViewId="0">
      <selection activeCell="W13" sqref="W13"/>
    </sheetView>
  </sheetViews>
  <sheetFormatPr defaultRowHeight="14.4" x14ac:dyDescent="0.3"/>
  <cols>
    <col min="2" max="2" width="9.5546875" bestFit="1" customWidth="1"/>
    <col min="7" max="7" width="10" style="6" customWidth="1"/>
    <col min="8" max="8" width="10" style="8" customWidth="1"/>
    <col min="14" max="14" width="8.88671875" style="6"/>
    <col min="15" max="15" width="8.88671875" style="8"/>
    <col min="21" max="22" width="8.88671875" style="6"/>
  </cols>
  <sheetData>
    <row r="1" spans="2:22" x14ac:dyDescent="0.3">
      <c r="B1" s="3">
        <v>44592</v>
      </c>
    </row>
    <row r="2" spans="2:22" x14ac:dyDescent="0.3">
      <c r="B2" t="s">
        <v>13</v>
      </c>
      <c r="E2" t="s">
        <v>26</v>
      </c>
    </row>
    <row r="4" spans="2:22" x14ac:dyDescent="0.3">
      <c r="C4" s="2" t="s">
        <v>16</v>
      </c>
      <c r="D4" s="2"/>
      <c r="E4" s="2"/>
      <c r="F4" s="2"/>
      <c r="G4" s="5" t="s">
        <v>12</v>
      </c>
      <c r="H4" s="9"/>
      <c r="J4" s="2" t="s">
        <v>17</v>
      </c>
      <c r="K4" s="2"/>
      <c r="L4" s="2"/>
      <c r="M4" s="2"/>
      <c r="N4" s="5" t="s">
        <v>12</v>
      </c>
      <c r="O4" s="9"/>
      <c r="Q4" s="2" t="s">
        <v>18</v>
      </c>
      <c r="R4" s="2"/>
      <c r="S4" s="2"/>
      <c r="T4" s="2"/>
      <c r="U4" s="5" t="s">
        <v>12</v>
      </c>
    </row>
    <row r="5" spans="2:22" x14ac:dyDescent="0.3">
      <c r="C5" s="1" t="s">
        <v>0</v>
      </c>
      <c r="D5" s="1" t="s">
        <v>1</v>
      </c>
      <c r="E5" s="1" t="s">
        <v>2</v>
      </c>
      <c r="F5" s="1" t="s">
        <v>3</v>
      </c>
      <c r="G5" s="5" t="s">
        <v>15</v>
      </c>
      <c r="H5" s="9" t="s">
        <v>48</v>
      </c>
      <c r="J5" s="1" t="s">
        <v>0</v>
      </c>
      <c r="K5" s="1" t="s">
        <v>1</v>
      </c>
      <c r="L5" s="1" t="s">
        <v>2</v>
      </c>
      <c r="M5" s="1" t="s">
        <v>3</v>
      </c>
      <c r="N5" s="5" t="s">
        <v>15</v>
      </c>
      <c r="O5" s="9" t="s">
        <v>48</v>
      </c>
      <c r="Q5" s="1" t="s">
        <v>0</v>
      </c>
      <c r="R5" s="1" t="s">
        <v>1</v>
      </c>
      <c r="S5" s="1" t="s">
        <v>2</v>
      </c>
      <c r="T5" s="1" t="s">
        <v>3</v>
      </c>
      <c r="U5" s="5" t="s">
        <v>15</v>
      </c>
      <c r="V5" s="5" t="s">
        <v>48</v>
      </c>
    </row>
    <row r="6" spans="2:22" x14ac:dyDescent="0.3">
      <c r="B6" t="s">
        <v>5</v>
      </c>
      <c r="C6" s="5">
        <v>5.0647666666666664</v>
      </c>
      <c r="D6" s="5">
        <v>3.4550456998775791</v>
      </c>
      <c r="E6" s="5">
        <v>6.9705000000000013</v>
      </c>
      <c r="F6" s="5">
        <v>1.9433333333333334</v>
      </c>
      <c r="G6" s="7">
        <v>15.861293562264152</v>
      </c>
      <c r="H6" s="8">
        <v>4.4902866303278692</v>
      </c>
      <c r="J6" s="5">
        <v>1.4616666666666664</v>
      </c>
      <c r="K6" s="5">
        <v>3.226956878217544</v>
      </c>
      <c r="L6" s="5">
        <v>13.713999999999999</v>
      </c>
      <c r="M6" s="5">
        <v>5.7745833333333332</v>
      </c>
      <c r="N6" s="6">
        <v>9.4398871773584911</v>
      </c>
      <c r="O6" s="8">
        <v>2.0664840712295089</v>
      </c>
      <c r="Q6" s="5">
        <v>4.5831333333333335</v>
      </c>
      <c r="R6" s="5">
        <v>6.4949232479609478</v>
      </c>
      <c r="S6" s="5">
        <v>14.215166666666669</v>
      </c>
      <c r="T6" s="5">
        <v>2.5960416666666672</v>
      </c>
      <c r="U6" s="7">
        <v>2.004902710943397</v>
      </c>
      <c r="V6" s="6">
        <v>5.9054611482786887</v>
      </c>
    </row>
    <row r="7" spans="2:22" x14ac:dyDescent="0.3">
      <c r="B7" t="s">
        <v>6</v>
      </c>
      <c r="C7" s="5">
        <v>0</v>
      </c>
      <c r="D7" s="5">
        <v>0.36833333333333335</v>
      </c>
      <c r="E7" s="5">
        <v>0.71399999999999997</v>
      </c>
      <c r="F7" s="5">
        <v>0.31666666666666665</v>
      </c>
      <c r="G7" s="6">
        <v>1.5</v>
      </c>
      <c r="H7" s="8">
        <v>1.5</v>
      </c>
      <c r="J7" s="5">
        <v>0.66999999999999993</v>
      </c>
      <c r="K7" s="5">
        <v>0.51500000000000001</v>
      </c>
      <c r="L7" s="5">
        <v>2.8000000000000004E-2</v>
      </c>
      <c r="M7" s="5">
        <v>1.0233333333333332</v>
      </c>
      <c r="N7" s="6">
        <v>1.9846944</v>
      </c>
      <c r="O7" s="8">
        <v>0.40000004</v>
      </c>
      <c r="Q7" s="5">
        <v>0.58333333333333337</v>
      </c>
      <c r="R7" s="5">
        <v>1.0945426091427244</v>
      </c>
      <c r="S7" s="5">
        <v>2.5159999999999996</v>
      </c>
      <c r="T7" s="5">
        <v>0.93666666666666665</v>
      </c>
      <c r="U7" s="6">
        <v>0.20000002</v>
      </c>
      <c r="V7" s="6">
        <v>0.20000002</v>
      </c>
    </row>
    <row r="8" spans="2:22" x14ac:dyDescent="0.3">
      <c r="B8" t="s">
        <v>7</v>
      </c>
      <c r="C8" s="5">
        <v>11.556666666666667</v>
      </c>
      <c r="D8" s="5">
        <v>15.99</v>
      </c>
      <c r="E8" s="5">
        <v>15.984</v>
      </c>
      <c r="F8" s="5">
        <v>5.9849999999999994</v>
      </c>
      <c r="G8" s="7">
        <v>181.7654</v>
      </c>
      <c r="H8" s="8">
        <v>14.682518</v>
      </c>
      <c r="J8" s="5">
        <v>2.8200000000000003</v>
      </c>
      <c r="K8" s="5">
        <v>7.3616666666666672</v>
      </c>
      <c r="L8" s="5">
        <v>32.950000000000003</v>
      </c>
      <c r="M8" s="5">
        <v>15.765000000000001</v>
      </c>
      <c r="N8" s="7">
        <v>97.946640000000002</v>
      </c>
      <c r="O8" s="8">
        <v>9.0822582000000001</v>
      </c>
      <c r="Q8" s="5">
        <v>25.931666666666668</v>
      </c>
      <c r="R8" s="5">
        <v>17.728333333333335</v>
      </c>
      <c r="S8" s="5">
        <v>27.580000000000002</v>
      </c>
      <c r="T8" s="5">
        <v>9.2933333333333348</v>
      </c>
      <c r="U8" s="6">
        <v>24.355764000000001</v>
      </c>
      <c r="V8" s="6">
        <v>29.8855</v>
      </c>
    </row>
    <row r="10" spans="2:22" x14ac:dyDescent="0.3">
      <c r="C10" s="2" t="s">
        <v>19</v>
      </c>
      <c r="D10" s="2"/>
      <c r="E10" s="2"/>
      <c r="F10" s="2"/>
      <c r="G10" s="5" t="s">
        <v>12</v>
      </c>
      <c r="H10" s="9"/>
      <c r="J10" s="2" t="s">
        <v>20</v>
      </c>
      <c r="K10" s="2"/>
      <c r="L10" s="2"/>
      <c r="M10" s="2"/>
      <c r="N10" s="5" t="s">
        <v>12</v>
      </c>
      <c r="O10" s="9"/>
      <c r="Q10" s="2" t="s">
        <v>21</v>
      </c>
      <c r="R10" s="2"/>
      <c r="S10" s="2"/>
      <c r="T10" s="2"/>
      <c r="U10" s="5" t="s">
        <v>12</v>
      </c>
    </row>
    <row r="11" spans="2:22" x14ac:dyDescent="0.3">
      <c r="C11" s="1" t="s">
        <v>0</v>
      </c>
      <c r="D11" s="1" t="s">
        <v>1</v>
      </c>
      <c r="E11" s="1" t="s">
        <v>2</v>
      </c>
      <c r="F11" s="1" t="s">
        <v>3</v>
      </c>
      <c r="G11" s="5" t="s">
        <v>15</v>
      </c>
      <c r="H11" s="9"/>
      <c r="J11" s="1" t="s">
        <v>0</v>
      </c>
      <c r="K11" s="1" t="s">
        <v>1</v>
      </c>
      <c r="L11" s="1" t="s">
        <v>2</v>
      </c>
      <c r="M11" s="1" t="s">
        <v>3</v>
      </c>
      <c r="N11" s="5" t="s">
        <v>15</v>
      </c>
      <c r="O11" s="9"/>
      <c r="Q11" s="1" t="s">
        <v>0</v>
      </c>
      <c r="R11" s="1" t="s">
        <v>1</v>
      </c>
      <c r="S11" s="1" t="s">
        <v>2</v>
      </c>
      <c r="T11" s="1" t="s">
        <v>3</v>
      </c>
      <c r="U11" s="5" t="s">
        <v>15</v>
      </c>
    </row>
    <row r="12" spans="2:22" x14ac:dyDescent="0.3">
      <c r="B12" t="s">
        <v>5</v>
      </c>
      <c r="C12" s="5">
        <v>39.025333333333336</v>
      </c>
      <c r="D12" s="5">
        <v>20.391729236897579</v>
      </c>
      <c r="E12" s="5">
        <v>29.561999999999998</v>
      </c>
      <c r="F12" s="5">
        <v>22.907083333333329</v>
      </c>
      <c r="G12" s="7">
        <v>113.86893877358492</v>
      </c>
      <c r="H12" s="8">
        <v>4.6673307373770463</v>
      </c>
      <c r="J12" s="5">
        <v>5.6801666666666666</v>
      </c>
      <c r="K12" s="5">
        <v>0.25685708934416779</v>
      </c>
      <c r="L12" s="5">
        <v>0.49750000000000005</v>
      </c>
      <c r="M12" s="5">
        <v>9.267444444444445</v>
      </c>
      <c r="Q12" s="5">
        <v>361.4693666666667</v>
      </c>
      <c r="R12" s="5">
        <v>232.00373752858721</v>
      </c>
      <c r="S12" s="5">
        <v>672.33100000000002</v>
      </c>
      <c r="T12" s="5">
        <v>210.95645833333336</v>
      </c>
      <c r="U12" s="7">
        <v>35.163503616981139</v>
      </c>
    </row>
    <row r="13" spans="2:22" x14ac:dyDescent="0.3">
      <c r="B13" t="s">
        <v>6</v>
      </c>
      <c r="C13" s="5">
        <v>4.5366666666666662</v>
      </c>
      <c r="D13" s="5">
        <v>8.1397277539697317</v>
      </c>
      <c r="E13" s="5">
        <v>7.1419999999999986</v>
      </c>
      <c r="F13" s="5">
        <v>6.4083333333333332</v>
      </c>
      <c r="G13" s="7">
        <v>1.0984919</v>
      </c>
      <c r="H13" s="8">
        <v>0.20000002</v>
      </c>
      <c r="J13" s="5">
        <v>0</v>
      </c>
      <c r="K13" s="5">
        <v>0</v>
      </c>
      <c r="L13" s="5">
        <v>0</v>
      </c>
      <c r="M13" s="5">
        <v>0</v>
      </c>
      <c r="Q13" s="5">
        <v>126.07000000000001</v>
      </c>
      <c r="R13" s="5">
        <v>0.5099999999999999</v>
      </c>
      <c r="S13" s="5">
        <v>212.56400000000002</v>
      </c>
      <c r="T13" s="5">
        <v>73.051666666666662</v>
      </c>
      <c r="U13" s="7">
        <v>3.0125492</v>
      </c>
    </row>
    <row r="14" spans="2:22" x14ac:dyDescent="0.3">
      <c r="B14" t="s">
        <v>7</v>
      </c>
      <c r="C14" s="5">
        <v>94.821666666666673</v>
      </c>
      <c r="D14" s="5">
        <v>61.608333333333334</v>
      </c>
      <c r="E14" s="5">
        <v>77.298000000000002</v>
      </c>
      <c r="F14" s="5">
        <v>63.784999999999989</v>
      </c>
      <c r="G14" s="7">
        <v>577.99255000000005</v>
      </c>
      <c r="H14" s="8">
        <v>23.586252000000002</v>
      </c>
      <c r="J14" s="5">
        <v>47.581666666666671</v>
      </c>
      <c r="K14" s="5">
        <v>1.4400000000000002</v>
      </c>
      <c r="L14" s="5">
        <v>3.85</v>
      </c>
      <c r="M14" s="5">
        <v>30.89</v>
      </c>
      <c r="Q14" s="5">
        <v>607.35</v>
      </c>
      <c r="R14" s="5">
        <v>993.41666666666663</v>
      </c>
      <c r="S14" s="5">
        <v>1901.8340000000001</v>
      </c>
      <c r="T14" s="5">
        <v>556.62833333333333</v>
      </c>
      <c r="U14" s="8">
        <v>628.97748000000001</v>
      </c>
    </row>
    <row r="16" spans="2:22" x14ac:dyDescent="0.3">
      <c r="C16" s="2" t="s">
        <v>22</v>
      </c>
      <c r="D16" s="2"/>
      <c r="E16" s="2"/>
      <c r="F16" s="2"/>
      <c r="G16" s="5" t="s">
        <v>12</v>
      </c>
      <c r="H16" s="9"/>
      <c r="J16" s="2" t="s">
        <v>23</v>
      </c>
      <c r="K16" s="2"/>
      <c r="L16" s="2"/>
      <c r="M16" s="2"/>
      <c r="N16" s="5" t="s">
        <v>12</v>
      </c>
      <c r="O16" s="9"/>
      <c r="Q16" s="2" t="s">
        <v>24</v>
      </c>
      <c r="R16" s="2"/>
      <c r="S16" s="2"/>
      <c r="T16" s="2"/>
      <c r="U16" s="5" t="s">
        <v>12</v>
      </c>
    </row>
    <row r="17" spans="2:22" x14ac:dyDescent="0.3">
      <c r="C17" s="1" t="s">
        <v>0</v>
      </c>
      <c r="D17" s="1" t="s">
        <v>1</v>
      </c>
      <c r="E17" s="1" t="s">
        <v>2</v>
      </c>
      <c r="F17" s="1" t="s">
        <v>3</v>
      </c>
      <c r="G17" s="5" t="s">
        <v>15</v>
      </c>
      <c r="H17" s="9"/>
      <c r="J17" s="1" t="s">
        <v>0</v>
      </c>
      <c r="K17" s="1" t="s">
        <v>1</v>
      </c>
      <c r="L17" s="1" t="s">
        <v>2</v>
      </c>
      <c r="M17" s="1" t="s">
        <v>3</v>
      </c>
      <c r="N17" s="5" t="s">
        <v>15</v>
      </c>
      <c r="O17" s="9"/>
      <c r="Q17" s="1" t="s">
        <v>0</v>
      </c>
      <c r="R17" s="1" t="s">
        <v>1</v>
      </c>
      <c r="S17" s="1" t="s">
        <v>2</v>
      </c>
      <c r="T17" s="1" t="s">
        <v>3</v>
      </c>
      <c r="U17" s="5" t="s">
        <v>15</v>
      </c>
    </row>
    <row r="18" spans="2:22" x14ac:dyDescent="0.3">
      <c r="B18" t="s">
        <v>5</v>
      </c>
      <c r="C18" s="5">
        <v>209.00709999999998</v>
      </c>
      <c r="D18" s="5">
        <v>45.290631705121072</v>
      </c>
      <c r="E18" s="5">
        <v>289.68133333333338</v>
      </c>
      <c r="F18" s="5">
        <v>267.94156249999997</v>
      </c>
      <c r="G18" s="7">
        <v>40.343540665094352</v>
      </c>
      <c r="H18" s="8">
        <v>103.50232595950823</v>
      </c>
      <c r="J18" s="5">
        <v>33.584766666666667</v>
      </c>
      <c r="K18" s="5">
        <v>44.002156834619271</v>
      </c>
      <c r="L18" s="5">
        <v>34.834333333333333</v>
      </c>
      <c r="M18" s="5">
        <v>91.904895833333342</v>
      </c>
      <c r="N18" s="7">
        <v>15.298769188490565</v>
      </c>
      <c r="Q18" s="5">
        <v>2.8219000000000003</v>
      </c>
      <c r="R18" s="5">
        <v>1.3220228231039393</v>
      </c>
      <c r="S18" s="5">
        <v>4.6713333333333331</v>
      </c>
      <c r="T18" s="5">
        <v>1.2694791666666663</v>
      </c>
      <c r="U18" s="6">
        <v>1.6109118090566037</v>
      </c>
      <c r="V18" s="6">
        <v>0.61631200336065628</v>
      </c>
    </row>
    <row r="19" spans="2:22" x14ac:dyDescent="0.3">
      <c r="B19" t="s">
        <v>6</v>
      </c>
      <c r="C19" s="5">
        <v>75.464999999999989</v>
      </c>
      <c r="D19" s="5">
        <v>19.593333333333334</v>
      </c>
      <c r="E19" s="5">
        <v>143.21600000000001</v>
      </c>
      <c r="F19" s="5">
        <v>36.718333333333341</v>
      </c>
      <c r="G19" s="7">
        <v>0.72900193999999996</v>
      </c>
      <c r="H19" s="8">
        <v>0.69999999000000002</v>
      </c>
      <c r="J19" s="5">
        <v>10.596</v>
      </c>
      <c r="K19" s="5">
        <v>0.38999999999999996</v>
      </c>
      <c r="L19" s="5">
        <v>0.15</v>
      </c>
      <c r="M19" s="5">
        <v>19.401666666666667</v>
      </c>
      <c r="N19" s="6">
        <v>0.97610635000000001</v>
      </c>
      <c r="Q19" s="5">
        <v>0.11166666666666665</v>
      </c>
      <c r="R19" s="5">
        <v>0.08</v>
      </c>
      <c r="S19" s="5">
        <v>0.54600000000000004</v>
      </c>
      <c r="T19" s="5">
        <v>9.1666666666666674E-2</v>
      </c>
      <c r="U19" s="6">
        <v>0.13640773</v>
      </c>
      <c r="V19" s="6">
        <v>0.10000001</v>
      </c>
    </row>
    <row r="20" spans="2:22" x14ac:dyDescent="0.3">
      <c r="B20" t="s">
        <v>7</v>
      </c>
      <c r="C20" s="5">
        <v>351.04</v>
      </c>
      <c r="D20" s="5">
        <v>58.386666666666663</v>
      </c>
      <c r="E20" s="5">
        <v>608.928</v>
      </c>
      <c r="F20" s="5">
        <v>412.42666666666673</v>
      </c>
      <c r="G20" s="7">
        <v>815.97326999999996</v>
      </c>
      <c r="H20" s="8">
        <v>572.17656999999997</v>
      </c>
      <c r="J20" s="5">
        <v>75.283333333333331</v>
      </c>
      <c r="K20" s="5">
        <v>117.69666666666667</v>
      </c>
      <c r="L20" s="5">
        <v>109.70599999999999</v>
      </c>
      <c r="M20" s="5">
        <v>220.1</v>
      </c>
      <c r="N20" s="6">
        <v>237.19085999999999</v>
      </c>
      <c r="Q20" s="5">
        <v>16.984999999999999</v>
      </c>
      <c r="R20" s="5">
        <v>7.2516666666666678</v>
      </c>
      <c r="S20" s="5">
        <v>14.102</v>
      </c>
      <c r="T20" s="5">
        <v>4.2850000000000001</v>
      </c>
      <c r="U20" s="8">
        <v>23.048323</v>
      </c>
      <c r="V20" s="6">
        <v>2.3988198999999999</v>
      </c>
    </row>
    <row r="21" spans="2:22" x14ac:dyDescent="0.3">
      <c r="C21" s="2"/>
      <c r="D21" s="2"/>
      <c r="E21" s="2"/>
      <c r="F21" s="2"/>
      <c r="J21" s="5"/>
      <c r="K21" s="5"/>
      <c r="L21" s="5"/>
      <c r="M21" s="5"/>
      <c r="Q21" s="5"/>
      <c r="R21" s="5"/>
      <c r="S21" s="5"/>
      <c r="T21" s="5"/>
    </row>
    <row r="22" spans="2:22" x14ac:dyDescent="0.3">
      <c r="C22" s="2" t="s">
        <v>25</v>
      </c>
      <c r="D22" s="2"/>
      <c r="E22" s="2"/>
      <c r="F22" s="2"/>
      <c r="G22" s="5" t="s">
        <v>12</v>
      </c>
      <c r="H22" s="9"/>
      <c r="J22" s="5"/>
      <c r="K22" s="5"/>
      <c r="L22" s="5"/>
      <c r="M22" s="5"/>
      <c r="Q22" s="5"/>
      <c r="R22" s="5"/>
      <c r="S22" s="5"/>
      <c r="T22" s="5"/>
    </row>
    <row r="23" spans="2:22" x14ac:dyDescent="0.3">
      <c r="C23" s="1" t="s">
        <v>0</v>
      </c>
      <c r="D23" s="1" t="s">
        <v>1</v>
      </c>
      <c r="E23" s="1" t="s">
        <v>2</v>
      </c>
      <c r="F23" s="1" t="s">
        <v>3</v>
      </c>
      <c r="G23" s="5" t="s">
        <v>15</v>
      </c>
      <c r="H23" s="9"/>
    </row>
    <row r="24" spans="2:22" x14ac:dyDescent="0.3">
      <c r="B24" t="s">
        <v>5</v>
      </c>
      <c r="C24" s="5">
        <v>11.274699999999999</v>
      </c>
      <c r="D24" s="5">
        <v>9.7521041774989357</v>
      </c>
      <c r="E24" s="5">
        <v>0.24133333333333337</v>
      </c>
      <c r="F24" s="5">
        <v>27.190520833333331</v>
      </c>
    </row>
    <row r="25" spans="2:22" x14ac:dyDescent="0.3">
      <c r="B25" t="s">
        <v>6</v>
      </c>
      <c r="C25" s="5">
        <v>0.30833333333333335</v>
      </c>
      <c r="D25" s="5">
        <v>0.48166666666666669</v>
      </c>
      <c r="E25" s="5">
        <v>0</v>
      </c>
      <c r="F25" s="5">
        <v>3.2583333333333329</v>
      </c>
    </row>
    <row r="26" spans="2:22" x14ac:dyDescent="0.3">
      <c r="B26" t="s">
        <v>7</v>
      </c>
      <c r="C26" s="5">
        <v>61.01</v>
      </c>
      <c r="D26" s="5">
        <v>58.958333333333336</v>
      </c>
      <c r="E26" s="5">
        <v>1.304</v>
      </c>
      <c r="F26" s="5">
        <v>80.304999999999993</v>
      </c>
    </row>
  </sheetData>
  <mergeCells count="11">
    <mergeCell ref="J16:M16"/>
    <mergeCell ref="Q16:T16"/>
    <mergeCell ref="C21:F21"/>
    <mergeCell ref="C16:F16"/>
    <mergeCell ref="C22:F22"/>
    <mergeCell ref="C4:F4"/>
    <mergeCell ref="C10:F10"/>
    <mergeCell ref="J4:M4"/>
    <mergeCell ref="Q4:T4"/>
    <mergeCell ref="J10:M10"/>
    <mergeCell ref="Q10:T10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DFFB4-1177-48AC-8944-8C1D85CB56B3}">
  <dimension ref="B1:V38"/>
  <sheetViews>
    <sheetView tabSelected="1" topLeftCell="D18" workbookViewId="0">
      <selection activeCell="O24" sqref="O24:O26"/>
    </sheetView>
  </sheetViews>
  <sheetFormatPr defaultRowHeight="14.4" x14ac:dyDescent="0.3"/>
  <cols>
    <col min="2" max="2" width="9.5546875" bestFit="1" customWidth="1"/>
    <col min="5" max="5" width="11.5546875" customWidth="1"/>
    <col min="7" max="7" width="10" style="6" customWidth="1"/>
    <col min="8" max="8" width="8.88671875" style="6"/>
    <col min="14" max="14" width="8.88671875" style="6"/>
    <col min="15" max="15" width="8.88671875" style="8"/>
    <col min="21" max="22" width="8.88671875" style="6"/>
  </cols>
  <sheetData>
    <row r="1" spans="2:22" x14ac:dyDescent="0.3">
      <c r="B1" s="3">
        <v>44592</v>
      </c>
    </row>
    <row r="2" spans="2:22" x14ac:dyDescent="0.3">
      <c r="B2" t="s">
        <v>13</v>
      </c>
      <c r="E2" t="s">
        <v>31</v>
      </c>
    </row>
    <row r="4" spans="2:22" x14ac:dyDescent="0.3">
      <c r="C4" s="2" t="s">
        <v>32</v>
      </c>
      <c r="D4" s="2"/>
      <c r="E4" s="2"/>
      <c r="F4" s="2"/>
      <c r="G4" s="5" t="s">
        <v>12</v>
      </c>
      <c r="J4" s="2" t="s">
        <v>33</v>
      </c>
      <c r="K4" s="2"/>
      <c r="L4" s="2"/>
      <c r="M4" s="2"/>
      <c r="N4" s="5" t="s">
        <v>12</v>
      </c>
      <c r="O4" s="9"/>
      <c r="Q4" s="2" t="s">
        <v>34</v>
      </c>
      <c r="R4" s="2"/>
      <c r="S4" s="2"/>
      <c r="T4" s="2"/>
      <c r="U4" s="5" t="s">
        <v>12</v>
      </c>
    </row>
    <row r="5" spans="2:22" x14ac:dyDescent="0.3">
      <c r="C5" s="1" t="s">
        <v>0</v>
      </c>
      <c r="D5" s="1" t="s">
        <v>1</v>
      </c>
      <c r="E5" s="1" t="s">
        <v>2</v>
      </c>
      <c r="F5" s="1" t="s">
        <v>3</v>
      </c>
      <c r="G5" s="5" t="s">
        <v>15</v>
      </c>
      <c r="H5" s="5" t="s">
        <v>48</v>
      </c>
      <c r="I5" s="1"/>
      <c r="J5" s="1" t="s">
        <v>0</v>
      </c>
      <c r="K5" s="1" t="s">
        <v>1</v>
      </c>
      <c r="L5" s="1" t="s">
        <v>2</v>
      </c>
      <c r="M5" s="1" t="s">
        <v>3</v>
      </c>
      <c r="N5" s="5" t="s">
        <v>15</v>
      </c>
      <c r="O5" s="5" t="s">
        <v>48</v>
      </c>
      <c r="Q5" s="1" t="s">
        <v>0</v>
      </c>
      <c r="R5" s="1" t="s">
        <v>1</v>
      </c>
      <c r="S5" s="1" t="s">
        <v>2</v>
      </c>
      <c r="T5" s="1" t="s">
        <v>3</v>
      </c>
      <c r="U5" s="5" t="s">
        <v>15</v>
      </c>
      <c r="V5" s="5" t="s">
        <v>48</v>
      </c>
    </row>
    <row r="6" spans="2:22" x14ac:dyDescent="0.3">
      <c r="B6" t="s">
        <v>5</v>
      </c>
      <c r="C6" s="5"/>
      <c r="D6" s="5">
        <v>0.46666666666666667</v>
      </c>
      <c r="E6" s="5"/>
      <c r="F6" s="5"/>
      <c r="J6" s="5"/>
      <c r="K6" s="5">
        <v>0.16666666666666666</v>
      </c>
      <c r="L6" s="5"/>
      <c r="M6" s="5"/>
      <c r="Q6" s="5"/>
      <c r="R6" s="5"/>
      <c r="S6" s="5"/>
      <c r="T6" s="5">
        <v>0.22222222222222221</v>
      </c>
    </row>
    <row r="7" spans="2:22" x14ac:dyDescent="0.3">
      <c r="B7" t="s">
        <v>6</v>
      </c>
      <c r="C7" s="5"/>
      <c r="D7" s="5">
        <v>0</v>
      </c>
      <c r="E7" s="5"/>
      <c r="F7" s="5"/>
      <c r="J7" s="5"/>
      <c r="K7" s="5">
        <v>0</v>
      </c>
      <c r="L7" s="5"/>
      <c r="M7" s="5"/>
      <c r="Q7" s="5"/>
      <c r="R7" s="5"/>
      <c r="S7" s="5"/>
      <c r="T7" s="5">
        <v>0</v>
      </c>
    </row>
    <row r="8" spans="2:22" x14ac:dyDescent="0.3">
      <c r="B8" t="s">
        <v>7</v>
      </c>
      <c r="C8" s="5"/>
      <c r="D8" s="5">
        <v>1.7</v>
      </c>
      <c r="E8" s="5"/>
      <c r="F8" s="5"/>
      <c r="J8" s="5"/>
      <c r="K8" s="5">
        <v>0.7</v>
      </c>
      <c r="L8" s="5"/>
      <c r="M8" s="5"/>
      <c r="Q8" s="5"/>
      <c r="R8" s="5"/>
      <c r="S8" s="5"/>
      <c r="T8" s="5">
        <v>0.5</v>
      </c>
    </row>
    <row r="10" spans="2:22" x14ac:dyDescent="0.3">
      <c r="C10" s="2" t="s">
        <v>35</v>
      </c>
      <c r="D10" s="2"/>
      <c r="E10" s="2"/>
      <c r="F10" s="2"/>
      <c r="G10" s="5" t="s">
        <v>12</v>
      </c>
      <c r="J10" s="2" t="s">
        <v>36</v>
      </c>
      <c r="K10" s="2"/>
      <c r="L10" s="2"/>
      <c r="M10" s="2"/>
      <c r="N10" s="5" t="s">
        <v>12</v>
      </c>
      <c r="O10" s="9"/>
      <c r="Q10" s="2" t="s">
        <v>37</v>
      </c>
      <c r="R10" s="2"/>
      <c r="S10" s="2"/>
      <c r="T10" s="2"/>
      <c r="U10" s="5" t="s">
        <v>12</v>
      </c>
    </row>
    <row r="11" spans="2:22" x14ac:dyDescent="0.3">
      <c r="C11" s="1" t="s">
        <v>0</v>
      </c>
      <c r="D11" s="1" t="s">
        <v>1</v>
      </c>
      <c r="E11" s="1" t="s">
        <v>2</v>
      </c>
      <c r="F11" s="1" t="s">
        <v>3</v>
      </c>
      <c r="G11" s="5" t="s">
        <v>15</v>
      </c>
      <c r="H11" s="5" t="s">
        <v>48</v>
      </c>
      <c r="J11" s="1" t="s">
        <v>0</v>
      </c>
      <c r="K11" s="1" t="s">
        <v>1</v>
      </c>
      <c r="L11" s="1" t="s">
        <v>2</v>
      </c>
      <c r="M11" s="1" t="s">
        <v>3</v>
      </c>
      <c r="N11" s="5" t="s">
        <v>15</v>
      </c>
      <c r="O11" s="5" t="s">
        <v>48</v>
      </c>
      <c r="Q11" s="1" t="s">
        <v>0</v>
      </c>
      <c r="R11" s="1" t="s">
        <v>1</v>
      </c>
      <c r="S11" s="1" t="s">
        <v>2</v>
      </c>
      <c r="T11" s="1" t="s">
        <v>3</v>
      </c>
      <c r="U11" s="5" t="s">
        <v>15</v>
      </c>
      <c r="V11" s="5" t="s">
        <v>48</v>
      </c>
    </row>
    <row r="12" spans="2:22" x14ac:dyDescent="0.3">
      <c r="B12" t="s">
        <v>5</v>
      </c>
      <c r="C12" s="5">
        <v>24.32</v>
      </c>
      <c r="D12" s="5">
        <v>11.744444444444445</v>
      </c>
      <c r="E12" s="5">
        <v>65.72</v>
      </c>
      <c r="F12" s="5">
        <v>8.5777777777777775</v>
      </c>
      <c r="G12" s="6">
        <v>20.09211078679245</v>
      </c>
      <c r="H12" s="6">
        <v>27.450665876639345</v>
      </c>
      <c r="J12" s="5">
        <v>96.250000000000014</v>
      </c>
      <c r="K12" s="5">
        <v>42.344444444444441</v>
      </c>
      <c r="L12" s="5">
        <v>55.959999999999994</v>
      </c>
      <c r="M12" s="5">
        <v>118.13749999999999</v>
      </c>
      <c r="N12" s="6">
        <v>43.556126858490565</v>
      </c>
      <c r="O12" s="8">
        <v>18.877753377049185</v>
      </c>
      <c r="Q12" s="5">
        <v>0.85</v>
      </c>
      <c r="R12" s="5">
        <v>7.6888888888888873</v>
      </c>
      <c r="S12" s="5">
        <v>0.16</v>
      </c>
      <c r="T12" s="5">
        <v>5.4666666666666659</v>
      </c>
      <c r="U12" s="7">
        <v>82.943605045283022</v>
      </c>
      <c r="V12" s="6">
        <v>2.2589306099180333</v>
      </c>
    </row>
    <row r="13" spans="2:22" x14ac:dyDescent="0.3">
      <c r="B13" t="s">
        <v>6</v>
      </c>
      <c r="C13" s="5">
        <v>15.3</v>
      </c>
      <c r="D13" s="5">
        <v>8</v>
      </c>
      <c r="E13" s="5">
        <v>23.2</v>
      </c>
      <c r="F13" s="5">
        <v>1.5</v>
      </c>
      <c r="G13" s="6">
        <v>1.8711807</v>
      </c>
      <c r="H13" s="6">
        <v>0.90990519999999997</v>
      </c>
      <c r="J13" s="5">
        <v>37.5</v>
      </c>
      <c r="K13" s="5">
        <v>13</v>
      </c>
      <c r="L13" s="5">
        <v>18.600000000000001</v>
      </c>
      <c r="M13" s="5">
        <v>72.3</v>
      </c>
      <c r="N13" s="6">
        <v>7.5723529000000003</v>
      </c>
      <c r="O13" s="8">
        <v>13.466794999999999</v>
      </c>
      <c r="Q13" s="5">
        <v>0</v>
      </c>
      <c r="R13" s="5">
        <v>3.8</v>
      </c>
      <c r="S13" s="5">
        <v>0</v>
      </c>
      <c r="T13" s="5">
        <v>1</v>
      </c>
      <c r="U13" s="7">
        <v>1.4517888000000001</v>
      </c>
      <c r="V13" s="6">
        <v>0.47394346999999998</v>
      </c>
    </row>
    <row r="14" spans="2:22" x14ac:dyDescent="0.3">
      <c r="B14" t="s">
        <v>7</v>
      </c>
      <c r="C14" s="5">
        <v>31.7</v>
      </c>
      <c r="D14" s="5">
        <v>15.2</v>
      </c>
      <c r="E14" s="5">
        <v>127.8</v>
      </c>
      <c r="F14" s="5">
        <v>23.2</v>
      </c>
      <c r="G14" s="6">
        <v>48.803181000000002</v>
      </c>
      <c r="H14" s="6">
        <v>84.400276000000005</v>
      </c>
      <c r="J14" s="5">
        <v>154.83333333333334</v>
      </c>
      <c r="K14" s="5">
        <v>87.5</v>
      </c>
      <c r="L14" s="5">
        <v>123.2</v>
      </c>
      <c r="M14" s="5">
        <v>182.2</v>
      </c>
      <c r="N14" s="6">
        <v>80.455558999999994</v>
      </c>
      <c r="O14" s="8">
        <v>25.479111</v>
      </c>
      <c r="Q14" s="5">
        <v>1.8333333333333333</v>
      </c>
      <c r="R14" s="5">
        <v>11.8</v>
      </c>
      <c r="S14" s="5">
        <v>0.6</v>
      </c>
      <c r="T14" s="5">
        <v>13.7</v>
      </c>
      <c r="U14" s="7">
        <v>233.01013</v>
      </c>
      <c r="V14" s="6">
        <v>5.6658429999999997</v>
      </c>
    </row>
    <row r="16" spans="2:22" x14ac:dyDescent="0.3">
      <c r="C16" s="2" t="s">
        <v>38</v>
      </c>
      <c r="D16" s="2"/>
      <c r="E16" s="2"/>
      <c r="F16" s="2"/>
      <c r="G16" s="5" t="s">
        <v>12</v>
      </c>
      <c r="J16" s="2" t="s">
        <v>39</v>
      </c>
      <c r="K16" s="2"/>
      <c r="L16" s="2"/>
      <c r="M16" s="2"/>
      <c r="N16" s="5" t="s">
        <v>12</v>
      </c>
      <c r="O16" s="9"/>
      <c r="Q16" s="2" t="s">
        <v>40</v>
      </c>
      <c r="R16" s="2"/>
      <c r="S16" s="2"/>
      <c r="T16" s="2"/>
      <c r="U16" s="5" t="s">
        <v>12</v>
      </c>
    </row>
    <row r="17" spans="2:22" x14ac:dyDescent="0.3">
      <c r="C17" s="1" t="s">
        <v>0</v>
      </c>
      <c r="D17" s="1" t="s">
        <v>1</v>
      </c>
      <c r="E17" s="1" t="s">
        <v>2</v>
      </c>
      <c r="F17" s="1" t="s">
        <v>3</v>
      </c>
      <c r="G17" s="5" t="s">
        <v>15</v>
      </c>
      <c r="J17" s="1" t="s">
        <v>0</v>
      </c>
      <c r="K17" s="1" t="s">
        <v>1</v>
      </c>
      <c r="L17" s="1" t="s">
        <v>2</v>
      </c>
      <c r="M17" s="1" t="s">
        <v>3</v>
      </c>
      <c r="N17" s="5" t="s">
        <v>15</v>
      </c>
      <c r="O17" s="9"/>
      <c r="Q17" s="1" t="s">
        <v>0</v>
      </c>
      <c r="R17" s="1" t="s">
        <v>1</v>
      </c>
      <c r="S17" s="1" t="s">
        <v>2</v>
      </c>
      <c r="T17" s="1" t="s">
        <v>3</v>
      </c>
      <c r="U17" s="5" t="s">
        <v>15</v>
      </c>
    </row>
    <row r="18" spans="2:22" x14ac:dyDescent="0.3">
      <c r="B18" t="s">
        <v>5</v>
      </c>
      <c r="C18" s="5">
        <v>8.8333333333333339</v>
      </c>
      <c r="D18" s="5">
        <v>11.1</v>
      </c>
      <c r="E18" s="5">
        <v>22.000000000000004</v>
      </c>
      <c r="F18" s="5">
        <v>8.4666666666666668</v>
      </c>
      <c r="G18" s="6">
        <v>6.8660206641509447</v>
      </c>
      <c r="H18" s="6">
        <v>1.1317985557377044</v>
      </c>
      <c r="J18" s="5">
        <v>7.1211471674421478</v>
      </c>
      <c r="K18" s="5">
        <v>12.766666666666666</v>
      </c>
      <c r="L18" s="5"/>
      <c r="M18" s="5"/>
      <c r="N18" s="7">
        <v>4.0040676698113193</v>
      </c>
      <c r="Q18" s="5"/>
      <c r="R18" s="5">
        <v>2.0333333333333332</v>
      </c>
      <c r="S18" s="5">
        <v>2.4899999999999998</v>
      </c>
      <c r="T18" s="5"/>
      <c r="U18" s="6">
        <v>1.5955931792452833</v>
      </c>
      <c r="V18" s="6">
        <v>0.2737799783196721</v>
      </c>
    </row>
    <row r="19" spans="2:22" x14ac:dyDescent="0.3">
      <c r="B19" t="s">
        <v>6</v>
      </c>
      <c r="C19" s="5">
        <v>3.5</v>
      </c>
      <c r="D19" s="5">
        <v>4.2</v>
      </c>
      <c r="E19" s="5">
        <v>7</v>
      </c>
      <c r="F19" s="5">
        <v>2.2000000000000002</v>
      </c>
      <c r="G19" s="6">
        <v>2.3446918000000001</v>
      </c>
      <c r="H19" s="6">
        <v>0.37767898999999999</v>
      </c>
      <c r="J19" s="5">
        <v>1.8333333333333333</v>
      </c>
      <c r="K19" s="5">
        <v>7</v>
      </c>
      <c r="L19" s="5"/>
      <c r="M19" s="5"/>
      <c r="N19" s="7">
        <v>1.1417428000000001</v>
      </c>
      <c r="Q19" s="5"/>
      <c r="R19" s="5">
        <v>0</v>
      </c>
      <c r="S19" s="5">
        <v>0</v>
      </c>
      <c r="T19" s="5"/>
      <c r="U19" s="6">
        <v>0.42571252999999998</v>
      </c>
      <c r="V19" s="6">
        <v>5.2386384000000001E-2</v>
      </c>
    </row>
    <row r="20" spans="2:22" x14ac:dyDescent="0.3">
      <c r="B20" t="s">
        <v>7</v>
      </c>
      <c r="C20" s="5">
        <v>14.833333333333334</v>
      </c>
      <c r="D20" s="5">
        <v>25.3</v>
      </c>
      <c r="E20" s="5">
        <v>37.4</v>
      </c>
      <c r="F20" s="5">
        <v>25.5</v>
      </c>
      <c r="G20" s="6">
        <v>12.861193</v>
      </c>
      <c r="H20" s="6">
        <v>2.4063376999999999</v>
      </c>
      <c r="J20" s="5">
        <v>14.833333333333334</v>
      </c>
      <c r="K20" s="5">
        <v>22.8</v>
      </c>
      <c r="L20" s="5"/>
      <c r="M20" s="5"/>
      <c r="N20" s="7">
        <v>7.8549952999999997</v>
      </c>
      <c r="Q20" s="5"/>
      <c r="R20" s="5">
        <v>6.2</v>
      </c>
      <c r="S20" s="5">
        <v>7.4</v>
      </c>
      <c r="T20" s="5"/>
      <c r="U20" s="6">
        <v>3.2024989000000001</v>
      </c>
      <c r="V20" s="6">
        <v>0.49957687000000001</v>
      </c>
    </row>
    <row r="21" spans="2:22" x14ac:dyDescent="0.3">
      <c r="C21" s="2"/>
      <c r="D21" s="2"/>
      <c r="E21" s="2"/>
      <c r="F21" s="2"/>
      <c r="J21" s="5"/>
      <c r="K21" s="5"/>
      <c r="L21" s="5"/>
      <c r="M21" s="5"/>
      <c r="Q21" s="5"/>
      <c r="R21" s="5"/>
      <c r="S21" s="5"/>
      <c r="T21" s="5"/>
    </row>
    <row r="22" spans="2:22" x14ac:dyDescent="0.3">
      <c r="C22" s="2" t="s">
        <v>41</v>
      </c>
      <c r="D22" s="2"/>
      <c r="E22" s="2"/>
      <c r="F22" s="2"/>
      <c r="G22" s="5" t="s">
        <v>12</v>
      </c>
      <c r="J22" s="2" t="s">
        <v>42</v>
      </c>
      <c r="K22" s="2"/>
      <c r="L22" s="2"/>
      <c r="M22" s="2"/>
      <c r="N22" s="5" t="s">
        <v>12</v>
      </c>
      <c r="O22" s="9"/>
      <c r="Q22" s="2" t="s">
        <v>43</v>
      </c>
      <c r="R22" s="2"/>
      <c r="S22" s="2"/>
      <c r="T22" s="2"/>
      <c r="U22" s="5" t="s">
        <v>12</v>
      </c>
    </row>
    <row r="23" spans="2:22" x14ac:dyDescent="0.3">
      <c r="C23" s="1" t="s">
        <v>0</v>
      </c>
      <c r="D23" s="1" t="s">
        <v>1</v>
      </c>
      <c r="E23" s="1" t="s">
        <v>2</v>
      </c>
      <c r="F23" s="1" t="s">
        <v>3</v>
      </c>
      <c r="G23" s="5" t="s">
        <v>15</v>
      </c>
      <c r="J23" s="1" t="s">
        <v>0</v>
      </c>
      <c r="K23" s="1" t="s">
        <v>1</v>
      </c>
      <c r="L23" s="1" t="s">
        <v>2</v>
      </c>
      <c r="M23" s="1" t="s">
        <v>3</v>
      </c>
      <c r="N23" s="5" t="s">
        <v>15</v>
      </c>
      <c r="O23" s="9"/>
      <c r="Q23" s="1" t="s">
        <v>0</v>
      </c>
      <c r="R23" s="1" t="s">
        <v>1</v>
      </c>
      <c r="S23" s="1" t="s">
        <v>2</v>
      </c>
      <c r="T23" s="1" t="s">
        <v>3</v>
      </c>
      <c r="U23" s="5" t="s">
        <v>15</v>
      </c>
    </row>
    <row r="24" spans="2:22" x14ac:dyDescent="0.3">
      <c r="B24" t="s">
        <v>5</v>
      </c>
      <c r="C24" s="5">
        <v>1.6633333333333333</v>
      </c>
      <c r="D24" s="5">
        <v>1.2222222222222223</v>
      </c>
      <c r="E24" s="5">
        <v>1.28</v>
      </c>
      <c r="F24" s="5">
        <v>2.2222222222222223E-2</v>
      </c>
      <c r="G24" s="6">
        <v>0.84388685884905668</v>
      </c>
      <c r="J24" s="5">
        <v>0.22666666666666666</v>
      </c>
      <c r="K24" s="5">
        <v>0.16666666666666666</v>
      </c>
      <c r="L24" s="5">
        <v>0.34</v>
      </c>
      <c r="M24" s="5">
        <v>1.2222222222222221</v>
      </c>
      <c r="N24" s="6">
        <v>0.84388685884905668</v>
      </c>
      <c r="O24" s="8">
        <v>0.59107210559016432</v>
      </c>
      <c r="Q24" s="5">
        <v>6.6833333333333327</v>
      </c>
      <c r="R24" s="5">
        <v>12.600000000000001</v>
      </c>
      <c r="S24" s="5">
        <v>3.88</v>
      </c>
      <c r="T24" s="5">
        <v>12.600000000000001</v>
      </c>
      <c r="U24" s="6">
        <v>6.0752113056603774</v>
      </c>
      <c r="V24" s="6">
        <v>20.758659803278693</v>
      </c>
    </row>
    <row r="25" spans="2:22" x14ac:dyDescent="0.3">
      <c r="B25" t="s">
        <v>6</v>
      </c>
      <c r="C25" s="5">
        <v>0.5</v>
      </c>
      <c r="D25" s="5">
        <v>0.7</v>
      </c>
      <c r="E25" s="5">
        <v>0.2</v>
      </c>
      <c r="F25" s="5">
        <v>0</v>
      </c>
      <c r="G25" s="6">
        <v>6.0895324000000001E-2</v>
      </c>
      <c r="J25" s="5">
        <v>0</v>
      </c>
      <c r="K25" s="5">
        <v>0</v>
      </c>
      <c r="L25" s="5">
        <v>0</v>
      </c>
      <c r="M25" s="5">
        <v>0</v>
      </c>
      <c r="N25" s="6">
        <v>6.0895324000000001E-2</v>
      </c>
      <c r="O25" s="8">
        <v>6.0895324000000001E-2</v>
      </c>
      <c r="Q25" s="5">
        <v>4.166666666666667</v>
      </c>
      <c r="R25" s="5">
        <v>7.7</v>
      </c>
      <c r="S25" s="5">
        <v>1</v>
      </c>
      <c r="T25" s="5">
        <v>1.5</v>
      </c>
      <c r="U25" s="6">
        <v>1.4614062000000001</v>
      </c>
      <c r="V25" s="6">
        <v>6.6907544000000003</v>
      </c>
    </row>
    <row r="26" spans="2:22" x14ac:dyDescent="0.3">
      <c r="B26" t="s">
        <v>7</v>
      </c>
      <c r="C26" s="5">
        <v>4.333333333333333</v>
      </c>
      <c r="D26" s="5">
        <v>2.2999999999999998</v>
      </c>
      <c r="E26" s="5">
        <v>3</v>
      </c>
      <c r="F26" s="5">
        <v>0.2</v>
      </c>
      <c r="G26" s="6">
        <v>3.0453625</v>
      </c>
      <c r="J26" s="5">
        <v>0.66666666666666663</v>
      </c>
      <c r="K26" s="5">
        <v>0.7</v>
      </c>
      <c r="L26" s="5">
        <v>1.2</v>
      </c>
      <c r="M26" s="5">
        <v>3.8</v>
      </c>
      <c r="N26" s="6">
        <v>3.0453625</v>
      </c>
      <c r="O26" s="8">
        <v>2.3885638999999999</v>
      </c>
      <c r="Q26" s="5">
        <v>9.5</v>
      </c>
      <c r="R26" s="5">
        <v>16.3</v>
      </c>
      <c r="S26" s="5">
        <v>7.8</v>
      </c>
      <c r="T26" s="5">
        <v>29.7</v>
      </c>
      <c r="U26" s="6">
        <v>12.381584999999999</v>
      </c>
      <c r="V26" s="6">
        <v>43.593983000000001</v>
      </c>
    </row>
    <row r="28" spans="2:22" x14ac:dyDescent="0.3">
      <c r="C28" s="2" t="s">
        <v>44</v>
      </c>
      <c r="D28" s="2"/>
      <c r="E28" s="2"/>
      <c r="F28" s="2"/>
      <c r="G28" s="5" t="s">
        <v>12</v>
      </c>
      <c r="J28" s="2" t="s">
        <v>45</v>
      </c>
      <c r="K28" s="2"/>
      <c r="L28" s="2"/>
      <c r="M28" s="2"/>
      <c r="N28" s="5" t="s">
        <v>12</v>
      </c>
      <c r="O28" s="9"/>
      <c r="Q28" s="2" t="s">
        <v>46</v>
      </c>
      <c r="R28" s="2"/>
      <c r="S28" s="2"/>
      <c r="T28" s="2"/>
      <c r="U28" s="5" t="s">
        <v>12</v>
      </c>
    </row>
    <row r="29" spans="2:22" x14ac:dyDescent="0.3">
      <c r="C29" s="1" t="s">
        <v>0</v>
      </c>
      <c r="D29" s="1" t="s">
        <v>1</v>
      </c>
      <c r="E29" s="1" t="s">
        <v>2</v>
      </c>
      <c r="F29" s="1" t="s">
        <v>3</v>
      </c>
      <c r="G29" s="5" t="s">
        <v>15</v>
      </c>
      <c r="J29" s="1" t="s">
        <v>0</v>
      </c>
      <c r="K29" s="1" t="s">
        <v>1</v>
      </c>
      <c r="L29" s="1" t="s">
        <v>2</v>
      </c>
      <c r="M29" s="1" t="s">
        <v>3</v>
      </c>
      <c r="N29" s="5" t="s">
        <v>15</v>
      </c>
      <c r="O29" s="9"/>
      <c r="Q29" s="1" t="s">
        <v>0</v>
      </c>
      <c r="R29" s="1" t="s">
        <v>1</v>
      </c>
      <c r="S29" s="1" t="s">
        <v>2</v>
      </c>
      <c r="T29" s="1" t="s">
        <v>3</v>
      </c>
      <c r="U29" s="5" t="s">
        <v>15</v>
      </c>
    </row>
    <row r="30" spans="2:22" x14ac:dyDescent="0.3">
      <c r="B30" t="s">
        <v>5</v>
      </c>
      <c r="C30" s="5">
        <v>1.1833333333333331</v>
      </c>
      <c r="D30" s="5">
        <v>0.48888888888888893</v>
      </c>
      <c r="E30" s="5">
        <v>4.04</v>
      </c>
      <c r="F30" s="5">
        <v>0.62222222222222223</v>
      </c>
      <c r="J30" s="5">
        <v>1.0966666666666665</v>
      </c>
      <c r="K30" s="5">
        <v>3.5555555555555554</v>
      </c>
      <c r="L30" s="5">
        <v>0.57999999999999996</v>
      </c>
      <c r="M30" s="5">
        <v>2.9000000000000004</v>
      </c>
      <c r="N30" s="7">
        <v>25.24510301698113</v>
      </c>
      <c r="O30" s="8">
        <v>2.1016553221311476</v>
      </c>
      <c r="Q30" s="5">
        <v>1.3</v>
      </c>
      <c r="R30" s="5">
        <v>1.7000000000000002</v>
      </c>
      <c r="S30" s="5">
        <v>2.2800000000000002</v>
      </c>
      <c r="T30" s="5"/>
      <c r="U30" s="6">
        <v>3.2179633407358494</v>
      </c>
      <c r="V30" s="6">
        <v>1.3419569259344264</v>
      </c>
    </row>
    <row r="31" spans="2:22" x14ac:dyDescent="0.3">
      <c r="B31" t="s">
        <v>6</v>
      </c>
      <c r="C31" s="5">
        <v>0.2</v>
      </c>
      <c r="D31" s="5">
        <v>0</v>
      </c>
      <c r="E31" s="5">
        <v>2.2000000000000002</v>
      </c>
      <c r="F31" s="5">
        <v>0.2</v>
      </c>
      <c r="J31" s="5">
        <v>0</v>
      </c>
      <c r="K31" s="5">
        <v>0.3</v>
      </c>
      <c r="L31" s="5">
        <v>0</v>
      </c>
      <c r="M31" s="5">
        <v>0</v>
      </c>
      <c r="N31" s="7">
        <v>1.3964871999999999</v>
      </c>
      <c r="O31" s="8">
        <v>1.3914196000000001</v>
      </c>
      <c r="Q31" s="5">
        <v>0</v>
      </c>
      <c r="R31" s="5">
        <v>0.5</v>
      </c>
      <c r="S31" s="5">
        <v>0.4</v>
      </c>
      <c r="T31" s="5"/>
      <c r="U31" s="6">
        <v>2.9166668999999999E-2</v>
      </c>
      <c r="V31" s="6">
        <v>2.9166668999999999E-2</v>
      </c>
    </row>
    <row r="32" spans="2:22" x14ac:dyDescent="0.3">
      <c r="B32" t="s">
        <v>7</v>
      </c>
      <c r="C32" s="5">
        <v>2.3333333333333335</v>
      </c>
      <c r="D32" s="5">
        <v>1</v>
      </c>
      <c r="E32" s="5">
        <v>6.8</v>
      </c>
      <c r="F32" s="5">
        <v>1</v>
      </c>
      <c r="J32" s="5">
        <v>2.6666666666666665</v>
      </c>
      <c r="K32" s="5">
        <v>14.5</v>
      </c>
      <c r="L32" s="5">
        <v>1.4</v>
      </c>
      <c r="M32" s="5">
        <v>5.8</v>
      </c>
      <c r="N32" s="7">
        <v>62.253998000000003</v>
      </c>
      <c r="O32" s="8">
        <v>4.3103680999999998</v>
      </c>
      <c r="Q32" s="5">
        <v>3.1666666666666665</v>
      </c>
      <c r="R32" s="5">
        <v>3</v>
      </c>
      <c r="S32" s="5">
        <v>5.4</v>
      </c>
      <c r="T32" s="5"/>
      <c r="U32" s="7">
        <v>16.286943000000001</v>
      </c>
      <c r="V32" s="6">
        <v>10.448321999999999</v>
      </c>
    </row>
    <row r="34" spans="2:8" x14ac:dyDescent="0.3">
      <c r="C34" s="2" t="s">
        <v>47</v>
      </c>
      <c r="D34" s="2"/>
      <c r="E34" s="2"/>
      <c r="F34" s="2"/>
      <c r="G34" s="5" t="s">
        <v>12</v>
      </c>
    </row>
    <row r="35" spans="2:8" x14ac:dyDescent="0.3">
      <c r="C35" s="1" t="s">
        <v>0</v>
      </c>
      <c r="D35" s="1" t="s">
        <v>1</v>
      </c>
      <c r="E35" s="1" t="s">
        <v>2</v>
      </c>
      <c r="F35" s="1" t="s">
        <v>3</v>
      </c>
      <c r="G35" s="5" t="s">
        <v>15</v>
      </c>
    </row>
    <row r="36" spans="2:8" x14ac:dyDescent="0.3">
      <c r="B36" t="s">
        <v>5</v>
      </c>
      <c r="C36" s="5">
        <v>0.3</v>
      </c>
      <c r="D36" s="5"/>
      <c r="E36" s="5">
        <v>3.910000000000001</v>
      </c>
      <c r="F36" s="5">
        <v>4.9000000000000004</v>
      </c>
      <c r="G36" s="6">
        <v>4.0040676698113193</v>
      </c>
      <c r="H36" s="6">
        <v>1.4907191208196724</v>
      </c>
    </row>
    <row r="37" spans="2:8" x14ac:dyDescent="0.3">
      <c r="B37" t="s">
        <v>6</v>
      </c>
      <c r="C37" s="5">
        <v>0</v>
      </c>
      <c r="D37" s="5"/>
      <c r="E37" s="5">
        <v>0.8</v>
      </c>
      <c r="F37" s="5">
        <v>0.8</v>
      </c>
      <c r="G37" s="6">
        <v>1.1417428000000001</v>
      </c>
      <c r="H37" s="6">
        <v>0.77747356999999995</v>
      </c>
    </row>
    <row r="38" spans="2:8" x14ac:dyDescent="0.3">
      <c r="B38" t="s">
        <v>7</v>
      </c>
      <c r="C38" s="5">
        <v>2.2999999999999998</v>
      </c>
      <c r="D38" s="5"/>
      <c r="E38" s="5">
        <v>10.199999999999999</v>
      </c>
      <c r="F38" s="5">
        <v>12.2</v>
      </c>
      <c r="G38" s="6">
        <v>7.8549952999999997</v>
      </c>
      <c r="H38" s="6">
        <v>2.5549724</v>
      </c>
    </row>
  </sheetData>
  <mergeCells count="17">
    <mergeCell ref="C28:F28"/>
    <mergeCell ref="J28:M28"/>
    <mergeCell ref="Q28:T28"/>
    <mergeCell ref="C34:F34"/>
    <mergeCell ref="C16:F16"/>
    <mergeCell ref="J16:M16"/>
    <mergeCell ref="Q16:T16"/>
    <mergeCell ref="C21:F21"/>
    <mergeCell ref="C22:F22"/>
    <mergeCell ref="J22:M22"/>
    <mergeCell ref="Q22:T22"/>
    <mergeCell ref="C4:F4"/>
    <mergeCell ref="J4:M4"/>
    <mergeCell ref="Q4:T4"/>
    <mergeCell ref="C10:F10"/>
    <mergeCell ref="J10:M10"/>
    <mergeCell ref="Q10:T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Macrophytes</vt:lpstr>
      <vt:lpstr>Periphyton</vt:lpstr>
      <vt:lpstr>Phytoplankton</vt:lpstr>
      <vt:lpstr>Zooplankton</vt:lpstr>
      <vt:lpstr>MacroInverts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Bartell</dc:creator>
  <cp:lastModifiedBy>Steve Bartell</cp:lastModifiedBy>
  <dcterms:created xsi:type="dcterms:W3CDTF">2022-01-25T00:33:05Z</dcterms:created>
  <dcterms:modified xsi:type="dcterms:W3CDTF">2022-01-30T15:20:59Z</dcterms:modified>
</cp:coreProperties>
</file>