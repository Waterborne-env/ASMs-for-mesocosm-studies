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bpgroup.sharepoint.com/sites/CH_P_220256/Documents/40_BEARBEITUNG/3_0_0_Documentation/03_Documentation_calibration_to_effect/Appendix/"/>
    </mc:Choice>
  </mc:AlternateContent>
  <xr:revisionPtr revIDLastSave="225" documentId="8_{E1BB9AFE-88E1-4DDE-A153-67577AC3194D}" xr6:coauthVersionLast="47" xr6:coauthVersionMax="47" xr10:uidLastSave="{C239FA2E-3FF2-424A-BABA-2228C0EE4FB2}"/>
  <bookViews>
    <workbookView xWindow="-17340" yWindow="0" windowWidth="17370" windowHeight="17400" tabRatio="814" firstSheet="1" activeTab="8" xr2:uid="{D6307FC1-56E5-4FFB-9BD9-3284609FB3FE}"/>
  </bookViews>
  <sheets>
    <sheet name="Info" sheetId="1" r:id="rId1"/>
    <sheet name="Phytoplankton" sheetId="2" r:id="rId2"/>
    <sheet name="Copepoda predatory" sheetId="3" state="hidden" r:id="rId3"/>
    <sheet name="Nauplia" sheetId="8" state="hidden" r:id="rId4"/>
    <sheet name="Copepoda predatory - ALL" sheetId="10" r:id="rId5"/>
    <sheet name="Rotifera herbivorous 2" sheetId="4" r:id="rId6"/>
    <sheet name="Cladocera small" sheetId="5" r:id="rId7"/>
    <sheet name="Daphnidae" sheetId="6" r:id="rId8"/>
    <sheet name="Final" sheetId="7" r:id="rId9"/>
    <sheet name="Raw data" sheetId="11" r:id="rId10"/>
  </sheets>
  <definedNames>
    <definedName name="_xlnm._FilterDatabase" localSheetId="9" hidden="1">'Raw data'!$A$1:$H$42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3" i="7" l="1"/>
  <c r="C14" i="7"/>
  <c r="C15" i="7" s="1"/>
  <c r="B14" i="7"/>
  <c r="B15" i="7" s="1"/>
  <c r="D8" i="7"/>
  <c r="D6" i="7"/>
  <c r="D7" i="7"/>
  <c r="D5" i="7"/>
  <c r="D3" i="7"/>
  <c r="B13" i="6"/>
  <c r="B13" i="4"/>
  <c r="B14" i="10"/>
  <c r="O13" i="2"/>
  <c r="B13" i="2"/>
  <c r="F15" i="7" l="1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27" i="2"/>
  <c r="N27" i="2"/>
  <c r="M27" i="2"/>
  <c r="L27" i="2"/>
  <c r="K27" i="2"/>
  <c r="J27" i="2"/>
  <c r="D4" i="7" s="1"/>
  <c r="I27" i="2"/>
  <c r="H27" i="2"/>
  <c r="G27" i="2"/>
  <c r="F27" i="2"/>
  <c r="E27" i="2"/>
  <c r="D27" i="2"/>
  <c r="C27" i="2"/>
  <c r="C13" i="2"/>
  <c r="D13" i="2"/>
  <c r="E13" i="2"/>
  <c r="F13" i="2"/>
  <c r="G13" i="2"/>
  <c r="H13" i="2"/>
  <c r="I13" i="2"/>
  <c r="J13" i="2"/>
  <c r="K13" i="2"/>
  <c r="L13" i="2"/>
  <c r="M13" i="2"/>
  <c r="N13" i="2"/>
</calcChain>
</file>

<file path=xl/sharedStrings.xml><?xml version="1.0" encoding="utf-8"?>
<sst xmlns="http://schemas.openxmlformats.org/spreadsheetml/2006/main" count="404" uniqueCount="110">
  <si>
    <t>CRITERIA TO ANALYZE MODEL OUTPUTS WHEN SIMULATING EFFECTS</t>
  </si>
  <si>
    <t>Ecosystem modeling of mesocosm studies: Azoxystrobin effect calibration criteria</t>
  </si>
  <si>
    <t>Date: May 3 2022</t>
  </si>
  <si>
    <t>Prepared by: Chiara Accolla, Farah Abi-Akar, Amelie Schmolke</t>
  </si>
  <si>
    <r>
      <t xml:space="preserve">The following sheets in this file provide the numerical effect criteria for relevant,treatment-related effects and templates for the reporting of the effect calibration outcomes. The following points summarize the steps for presentation of the simulated effects. </t>
    </r>
    <r>
      <rPr>
        <b/>
        <sz val="11"/>
        <color rgb="FFFF0000"/>
        <rFont val="Calibri"/>
        <family val="2"/>
        <scheme val="minor"/>
      </rPr>
      <t>Relevant, treatment-related effects that apply to consensus species groups were only observed in the highest treatment level (33 µg ai/L) applied in the 2019 AZT mesocsom study and thus, all criteria listed apply to this treatment level only.</t>
    </r>
    <r>
      <rPr>
        <sz val="11"/>
        <color theme="1"/>
        <rFont val="Calibri"/>
        <family val="2"/>
        <scheme val="minor"/>
      </rPr>
      <t xml:space="preserve"> Please refer to the accompanying document "</t>
    </r>
    <r>
      <rPr>
        <b/>
        <sz val="11"/>
        <color theme="1"/>
        <rFont val="Calibri"/>
        <family val="2"/>
        <scheme val="minor"/>
      </rPr>
      <t>AZT_effect_criteria_June2022.docx</t>
    </r>
    <r>
      <rPr>
        <sz val="11"/>
        <color theme="1"/>
        <rFont val="Calibri"/>
        <family val="2"/>
        <scheme val="minor"/>
      </rPr>
      <t xml:space="preserve">" for details. Reporting on simulated effects in species groups without observed, treatment-related effects in the mesocosm study is </t>
    </r>
    <r>
      <rPr>
        <i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included in this template (see Section II. in the accompanying document). </t>
    </r>
  </si>
  <si>
    <t>Instructions:  In each tab, fill in the effect size percentage and ME in the rows under "Model Output"  (e.g., in sheet "Phytoplankton", cells B12:O12 and B13:O13)</t>
  </si>
  <si>
    <t>****</t>
  </si>
  <si>
    <t>1) The effect direction needs to be captured (increase or decrease of chlorophyll-a/abundance)</t>
  </si>
  <si>
    <r>
      <t xml:space="preserve">2) The effect size, i.e., the </t>
    </r>
    <r>
      <rPr>
        <u/>
        <sz val="11"/>
        <color theme="1"/>
        <rFont val="Calibri"/>
        <family val="2"/>
        <scheme val="minor"/>
      </rPr>
      <t>relative difference between simulated treatment (%) and simulated control (%) (absolute value),</t>
    </r>
    <r>
      <rPr>
        <sz val="11"/>
        <color theme="1"/>
        <rFont val="Calibri"/>
        <family val="2"/>
        <scheme val="minor"/>
      </rPr>
      <t xml:space="preserve">  must be at least as large as the day-specific %MDD when effects have been observed (table cells with yellow shading).</t>
    </r>
  </si>
  <si>
    <r>
      <t xml:space="preserve">3) The effect size, i.e., the </t>
    </r>
    <r>
      <rPr>
        <u/>
        <sz val="11"/>
        <color theme="1"/>
        <rFont val="Calibri"/>
        <family val="2"/>
        <scheme val="minor"/>
      </rPr>
      <t>relative difference between simulated treatment (%) and simulated control (%) (absolute value)</t>
    </r>
    <r>
      <rPr>
        <sz val="11"/>
        <color theme="1"/>
        <rFont val="Calibri"/>
        <family val="2"/>
        <scheme val="minor"/>
      </rPr>
      <t>,  must be smaller than the day-specific %MDD when there are no observed effects.</t>
    </r>
  </si>
  <si>
    <t>4) If a clear recovery was identified, model should capture it (table cells with blue shading). Recovery is defined by a 20% threshold: effect size must be less than 20% in absolute value.</t>
  </si>
  <si>
    <t>5) The Mean Error (ME), i.e., difference (absolute value) between simulated and observed  % effect size is calculated for each sampling day (after first application) as indicated in the tables.</t>
  </si>
  <si>
    <t>Model results need to be discussed whenever they fail to meet the criteria.</t>
  </si>
  <si>
    <r>
      <t>For the species groups with relevant, treatment-related effects, the number of false negatives (abs(%effect</t>
    </r>
    <r>
      <rPr>
        <vertAlign val="subscript"/>
        <sz val="11"/>
        <color theme="1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>) &lt; %MDD in yellow cells) and false positives (abs(%effect</t>
    </r>
    <r>
      <rPr>
        <vertAlign val="subscript"/>
        <sz val="11"/>
        <color theme="1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theme="1"/>
        <rFont val="Calibri"/>
        <family val="2"/>
      </rPr>
      <t xml:space="preserve">≥ %MDD in white cells) </t>
    </r>
    <r>
      <rPr>
        <sz val="11"/>
        <color theme="1"/>
        <rFont val="Calibri"/>
        <family val="2"/>
        <scheme val="minor"/>
      </rPr>
      <t>should be reported in the sheet "Final"</t>
    </r>
  </si>
  <si>
    <t>Yellow cases show when relevant treatment-related effects were found in the mesocosm experiment. -&gt; simulated effect-size &gt;= MDD</t>
  </si>
  <si>
    <t>Blue cases show when recovery must happen in the simulation. -&gt; simulated effect-size &lt; 20 %</t>
  </si>
  <si>
    <t>Values in gray cells do not need to be compared to the corresponding MDD value, but effect-size values are required for the ME calculation</t>
  </si>
  <si>
    <t>White cases show when NO relevant treatment-related effects were found -&gt; simulated effect-size &lt; MDD</t>
  </si>
  <si>
    <t xml:space="preserve">ME: Mean Error, calculated as the absolute value of the difference between % simulated effect size and % observed effect size for each observation date. </t>
  </si>
  <si>
    <t>Species group</t>
  </si>
  <si>
    <t>Diatoms (3A)</t>
  </si>
  <si>
    <t>Mesocosm effect study</t>
  </si>
  <si>
    <t>Date</t>
  </si>
  <si>
    <t>Day after first application</t>
  </si>
  <si>
    <t>day 1</t>
  </si>
  <si>
    <t>day 5</t>
  </si>
  <si>
    <t>day 9</t>
  </si>
  <si>
    <t>day 14</t>
  </si>
  <si>
    <t>day 21</t>
  </si>
  <si>
    <t>day 27</t>
  </si>
  <si>
    <t>day 35</t>
  </si>
  <si>
    <t>day 42</t>
  </si>
  <si>
    <t>day 49</t>
  </si>
  <si>
    <t>day 55</t>
  </si>
  <si>
    <t>day 63</t>
  </si>
  <si>
    <t>day 69</t>
  </si>
  <si>
    <t>day 76</t>
  </si>
  <si>
    <t>day 83</t>
  </si>
  <si>
    <r>
      <rPr>
        <b/>
        <sz val="11"/>
        <color theme="1"/>
        <rFont val="Calibri"/>
        <family val="2"/>
        <scheme val="minor"/>
      </rPr>
      <t>Effect</t>
    </r>
    <r>
      <rPr>
        <sz val="11"/>
        <color theme="1"/>
        <rFont val="Calibri"/>
        <family val="2"/>
        <scheme val="minor"/>
      </rPr>
      <t xml:space="preserve">: </t>
    </r>
    <r>
      <rPr>
        <u/>
        <sz val="11"/>
        <color theme="1"/>
        <rFont val="Calibri"/>
        <family val="2"/>
        <scheme val="minor"/>
      </rPr>
      <t>DECREASE</t>
    </r>
    <r>
      <rPr>
        <sz val="11"/>
        <color theme="1"/>
        <rFont val="Calibri"/>
        <family val="2"/>
        <scheme val="minor"/>
      </rPr>
      <t xml:space="preserve"> in chlorophyll-a</t>
    </r>
  </si>
  <si>
    <t>MDD [%]</t>
  </si>
  <si>
    <t>Observed effect size [%]</t>
  </si>
  <si>
    <t>Model output</t>
  </si>
  <si>
    <t>Simulated effect size  [%]</t>
  </si>
  <si>
    <t>ME</t>
  </si>
  <si>
    <t>Cryptophytes (3A)</t>
  </si>
  <si>
    <t>MDD  [%]</t>
  </si>
  <si>
    <t>Simulated effect size [%]</t>
  </si>
  <si>
    <t>**** NOTE</t>
  </si>
  <si>
    <r>
      <t>You have to fill this table (and the table in the next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</si>
  <si>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t>Copepodit + adults (5B)</t>
  </si>
  <si>
    <t>day 7</t>
  </si>
  <si>
    <t>day 15</t>
  </si>
  <si>
    <t>day 22</t>
  </si>
  <si>
    <t>day 29</t>
  </si>
  <si>
    <t>day 36</t>
  </si>
  <si>
    <t>day 43</t>
  </si>
  <si>
    <t>day 50</t>
  </si>
  <si>
    <t>day 57</t>
  </si>
  <si>
    <t>day 64</t>
  </si>
  <si>
    <t>day 71</t>
  </si>
  <si>
    <t>day 77</t>
  </si>
  <si>
    <t>day 85</t>
  </si>
  <si>
    <r>
      <rPr>
        <b/>
        <sz val="11"/>
        <color theme="1"/>
        <rFont val="Calibri"/>
        <family val="2"/>
        <scheme val="minor"/>
      </rPr>
      <t>Effect</t>
    </r>
    <r>
      <rPr>
        <sz val="11"/>
        <color theme="1"/>
        <rFont val="Calibri"/>
        <family val="2"/>
        <scheme val="minor"/>
      </rPr>
      <t xml:space="preserve">: </t>
    </r>
    <r>
      <rPr>
        <u/>
        <sz val="11"/>
        <color theme="1"/>
        <rFont val="Calibri"/>
        <family val="2"/>
        <scheme val="minor"/>
      </rPr>
      <t>DECREASE</t>
    </r>
    <r>
      <rPr>
        <sz val="11"/>
        <color theme="1"/>
        <rFont val="Calibri"/>
        <family val="2"/>
        <scheme val="minor"/>
      </rPr>
      <t xml:space="preserve"> in abundance</t>
    </r>
  </si>
  <si>
    <r>
      <t>You have to fill this table (and the table in the previous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</si>
  <si>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t>Nauplii (5B)</t>
  </si>
  <si>
    <r>
      <t xml:space="preserve">You have to fill this table only if you </t>
    </r>
    <r>
      <rPr>
        <b/>
        <u/>
        <sz val="18"/>
        <color rgb="FFFF0000"/>
        <rFont val="Calibri"/>
        <family val="2"/>
        <scheme val="minor"/>
      </rPr>
      <t>DID NOT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</si>
  <si>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t>Sum Copepoda (5B)</t>
  </si>
  <si>
    <t>Observed Effect size [%]</t>
  </si>
  <si>
    <t>Effect size [%]</t>
  </si>
  <si>
    <t>Sum Rotatoria (5B+)</t>
  </si>
  <si>
    <r>
      <rPr>
        <b/>
        <sz val="11"/>
        <color theme="1"/>
        <rFont val="Calibri"/>
        <family val="2"/>
        <scheme val="minor"/>
      </rPr>
      <t>Effect</t>
    </r>
    <r>
      <rPr>
        <sz val="11"/>
        <color theme="1"/>
        <rFont val="Calibri"/>
        <family val="2"/>
        <scheme val="minor"/>
      </rPr>
      <t xml:space="preserve">: </t>
    </r>
    <r>
      <rPr>
        <u/>
        <sz val="11"/>
        <color theme="1"/>
        <rFont val="Calibri"/>
        <family val="2"/>
        <scheme val="minor"/>
      </rPr>
      <t>INCREASE</t>
    </r>
    <r>
      <rPr>
        <sz val="11"/>
        <color theme="1"/>
        <rFont val="Calibri"/>
        <family val="2"/>
        <scheme val="minor"/>
      </rPr>
      <t xml:space="preserve"> in abundance</t>
    </r>
  </si>
  <si>
    <r>
      <rPr>
        <b/>
        <i/>
        <sz val="11"/>
        <color theme="1"/>
        <rFont val="Calibri"/>
        <family val="2"/>
        <scheme val="minor"/>
      </rPr>
      <t>Chydorus sphaericus</t>
    </r>
    <r>
      <rPr>
        <b/>
        <sz val="11"/>
        <color theme="1"/>
        <rFont val="Calibri"/>
        <family val="2"/>
        <scheme val="minor"/>
      </rPr>
      <t xml:space="preserve"> (3A+)</t>
    </r>
  </si>
  <si>
    <r>
      <rPr>
        <b/>
        <i/>
        <sz val="11"/>
        <color theme="1"/>
        <rFont val="Calibri"/>
        <family val="2"/>
        <scheme val="minor"/>
      </rPr>
      <t xml:space="preserve">Daphnia sp. </t>
    </r>
    <r>
      <rPr>
        <b/>
        <sz val="11"/>
        <color theme="1"/>
        <rFont val="Calibri"/>
        <family val="2"/>
        <scheme val="minor"/>
      </rPr>
      <t>(3A)</t>
    </r>
  </si>
  <si>
    <t>Summary of model performance relative to effect criteria</t>
  </si>
  <si>
    <t>False negatives</t>
  </si>
  <si>
    <t>False positives</t>
  </si>
  <si>
    <t>Avg. ME</t>
  </si>
  <si>
    <t>Definitions</t>
  </si>
  <si>
    <t xml:space="preserve">False negatives: </t>
  </si>
  <si>
    <r>
      <t>abs(%effect</t>
    </r>
    <r>
      <rPr>
        <vertAlign val="subscript"/>
        <sz val="11"/>
        <color theme="1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 xml:space="preserve">) &lt; %MDD on sampling dates </t>
    </r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treatment-related effects observed in the 2019 AZT mesocoms study (yellow cells)</t>
    </r>
  </si>
  <si>
    <t xml:space="preserve">False positives: </t>
  </si>
  <si>
    <r>
      <t xml:space="preserve">abs(%effectsim) ≥ %MDD on sampling dates </t>
    </r>
    <r>
      <rPr>
        <b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treatment-related effects observed in the 2019 AZT mesocoms study (white cells)</t>
    </r>
  </si>
  <si>
    <t>Avg. ME:</t>
  </si>
  <si>
    <t>Average of ME values comparing observed and simulated % effect sizes calculated for each sampling date</t>
  </si>
  <si>
    <t>E19b330_hab1_PhDiatoms_Algae</t>
  </si>
  <si>
    <t>E19b330_hab1_PhCryptophytes_Algae</t>
  </si>
  <si>
    <t>E19b330_hab1_CopepodaPredatory_Invertebrates</t>
  </si>
  <si>
    <t>E19b330_hab1_RotiferaHerbivorous2_Invertebrates</t>
  </si>
  <si>
    <t>E19b330_hab1_CladoceraSmall_Invertebrates</t>
  </si>
  <si>
    <t>E19b330_hab1_Daphnidae_Invertebrates</t>
  </si>
  <si>
    <t>sim.b$DAT</t>
  </si>
  <si>
    <t>NA</t>
  </si>
  <si>
    <t>Diatoms</t>
  </si>
  <si>
    <t>Cryptophytes</t>
  </si>
  <si>
    <t>Copepoda predatory</t>
  </si>
  <si>
    <t>cladocera small</t>
  </si>
  <si>
    <t>daphnidae</t>
  </si>
  <si>
    <t>rotifera herbivorous2</t>
  </si>
  <si>
    <t>direction</t>
  </si>
  <si>
    <t>no effect</t>
  </si>
  <si>
    <t>increase</t>
  </si>
  <si>
    <t>decrease</t>
  </si>
  <si>
    <t>number of criteria</t>
  </si>
  <si>
    <t>performance</t>
  </si>
  <si>
    <t>% of the predictions were correct</t>
  </si>
  <si>
    <t>(excluding blue)</t>
  </si>
  <si>
    <t>overall</t>
  </si>
  <si>
    <t>score (number of criteria fulfilled)</t>
  </si>
  <si>
    <t>fulfilled</t>
  </si>
  <si>
    <t xml:space="preserve">zoom in: one of the simulations in the best run: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</si>
</sst>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wrapText="1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/>
    <xf numFmtId="16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2" xfId="0" applyBorder="1"/>
    <xf numFmtId="0" fontId="0" fillId="0" borderId="11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/>
    <xf numFmtId="0" fontId="0" fillId="3" borderId="11" xfId="0" applyFill="1" applyBorder="1" applyAlignment="1">
      <alignment horizontal="center" vertical="center"/>
    </xf>
    <xf numFmtId="0" fontId="11" fillId="3" borderId="1" xfId="0" applyFont="1" applyFill="1" applyBorder="1"/>
    <xf numFmtId="0" fontId="12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" xfId="0" applyFill="1" applyBorder="1"/>
    <xf numFmtId="1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7" borderId="0" xfId="0" applyFill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1" fontId="0" fillId="7" borderId="1" xfId="0" applyNumberFormat="1" applyFill="1" applyBorder="1"/>
    <xf numFmtId="0" fontId="0" fillId="7" borderId="0" xfId="0" applyFill="1"/>
    <xf numFmtId="0" fontId="1" fillId="7" borderId="0" xfId="0" applyFont="1" applyFill="1" applyAlignment="1">
      <alignment horizontal="left" vertical="center"/>
    </xf>
    <xf numFmtId="0" fontId="12" fillId="0" borderId="1" xfId="0" quotePrefix="1" applyFont="1" applyBorder="1"/>
    <xf numFmtId="1" fontId="0" fillId="5" borderId="1" xfId="0" applyNumberFormat="1" applyFill="1" applyBorder="1"/>
    <xf numFmtId="1" fontId="0" fillId="6" borderId="1" xfId="0" applyNumberFormat="1" applyFill="1" applyBorder="1"/>
    <xf numFmtId="0" fontId="0" fillId="6" borderId="1" xfId="0" applyFill="1" applyBorder="1"/>
    <xf numFmtId="0" fontId="0" fillId="5" borderId="1" xfId="0" applyFill="1" applyBorder="1"/>
    <xf numFmtId="9" fontId="0" fillId="0" borderId="1" xfId="1" applyFont="1" applyFill="1" applyBorder="1"/>
    <xf numFmtId="9" fontId="0" fillId="0" borderId="0" xfId="0" applyNumberFormat="1"/>
    <xf numFmtId="9" fontId="1" fillId="0" borderId="1" xfId="0" applyNumberFormat="1" applyFont="1" applyBorder="1"/>
    <xf numFmtId="9" fontId="1" fillId="0" borderId="1" xfId="1" applyFont="1" applyFill="1" applyBorder="1"/>
    <xf numFmtId="0" fontId="1" fillId="0" borderId="1" xfId="0" applyFont="1" applyBorder="1"/>
    <xf numFmtId="0" fontId="0" fillId="8" borderId="0" xfId="0" applyFill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650874</xdr:colOff>
      <xdr:row>27</xdr:row>
      <xdr:rowOff>158750</xdr:rowOff>
    </xdr:from>
    <xdr:to>
      <xdr:col>15</xdr:col>
      <xdr:colOff>285750</xdr:colOff>
      <xdr:row>43</xdr:row>
      <xdr:rowOff>47625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FFA48CA-98B1-91BF-97AE-A5F56A99B8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0207"/>
        <a:stretch/>
      </xdr:blipFill>
      <xdr:spPr>
        <a:xfrm>
          <a:off x="650874" y="9207500"/>
          <a:ext cx="12223751" cy="2936875"/>
        </a:xfrm>
        <a:prstGeom prst="rect">
          <a:avLst/>
        </a:prstGeom>
      </xdr:spPr>
    </xdr:pic>
    <xdr:clientData/>
  </xdr:twoCellAnchor>
  <xdr:twoCellAnchor editAs="oneCell">
    <xdr:from>
      <xdr:col>0</xdr:col>
      <xdr:colOff>698499</xdr:colOff>
      <xdr:row>45</xdr:row>
      <xdr:rowOff>47625</xdr:rowOff>
    </xdr:from>
    <xdr:to>
      <xdr:col>15</xdr:col>
      <xdr:colOff>95249</xdr:colOff>
      <xdr:row>61</xdr:row>
      <xdr:rowOff>15875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AB56E30B-35AB-6050-E2DA-586F6AC388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48747"/>
        <a:stretch/>
      </xdr:blipFill>
      <xdr:spPr>
        <a:xfrm>
          <a:off x="698499" y="12525375"/>
          <a:ext cx="11985625" cy="3016250"/>
        </a:xfrm>
        <a:prstGeom prst="rect">
          <a:avLst/>
        </a:prstGeom>
      </xdr:spPr>
    </xdr:pic>
    <xdr:clientData/>
  </xdr:twoCellAnchor>
  <xdr:twoCellAnchor editAs="oneCell">
    <xdr:from>
      <xdr:col>15</xdr:col>
      <xdr:colOff>571500</xdr:colOff>
      <xdr:row>28</xdr:row>
      <xdr:rowOff>31749</xdr:rowOff>
    </xdr:from>
    <xdr:to>
      <xdr:col>36</xdr:col>
      <xdr:colOff>127001</xdr:colOff>
      <xdr:row>43</xdr:row>
      <xdr:rowOff>103798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3F70EF1F-9730-4290-BBBF-B323D5CDDE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0331"/>
        <a:stretch/>
      </xdr:blipFill>
      <xdr:spPr>
        <a:xfrm>
          <a:off x="13160375" y="9270999"/>
          <a:ext cx="12223751" cy="2929549"/>
        </a:xfrm>
        <a:prstGeom prst="rect">
          <a:avLst/>
        </a:prstGeom>
      </xdr:spPr>
    </xdr:pic>
    <xdr:clientData/>
  </xdr:twoCellAnchor>
  <xdr:twoCellAnchor editAs="oneCell">
    <xdr:from>
      <xdr:col>15</xdr:col>
      <xdr:colOff>444500</xdr:colOff>
      <xdr:row>46</xdr:row>
      <xdr:rowOff>31750</xdr:rowOff>
    </xdr:from>
    <xdr:to>
      <xdr:col>36</xdr:col>
      <xdr:colOff>378006</xdr:colOff>
      <xdr:row>62</xdr:row>
      <xdr:rowOff>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DD990A6B-3C93-4E6E-A0BA-0A73F3AF6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51253"/>
        <a:stretch/>
      </xdr:blipFill>
      <xdr:spPr>
        <a:xfrm>
          <a:off x="13033375" y="12700000"/>
          <a:ext cx="12601756" cy="301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940593</xdr:colOff>
      <xdr:row>16</xdr:row>
      <xdr:rowOff>142876</xdr:rowOff>
    </xdr:from>
    <xdr:to>
      <xdr:col>16</xdr:col>
      <xdr:colOff>357020</xdr:colOff>
      <xdr:row>31</xdr:row>
      <xdr:rowOff>71438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FD9737F-C5C5-7137-DF9F-442D5B718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593" y="5488782"/>
          <a:ext cx="11275052" cy="2786062"/>
        </a:xfrm>
        <a:prstGeom prst="rect">
          <a:avLst/>
        </a:prstGeom>
      </xdr:spPr>
    </xdr:pic>
    <xdr:clientData/>
  </xdr:twoCellAnchor>
  <xdr:twoCellAnchor editAs="oneCell">
    <xdr:from>
      <xdr:col>0</xdr:col>
      <xdr:colOff>988219</xdr:colOff>
      <xdr:row>33</xdr:row>
      <xdr:rowOff>83343</xdr:rowOff>
    </xdr:from>
    <xdr:to>
      <xdr:col>16</xdr:col>
      <xdr:colOff>240960</xdr:colOff>
      <xdr:row>47</xdr:row>
      <xdr:rowOff>59531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21BCB809-B620-35D9-1180-0104C841E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8219" y="8667749"/>
          <a:ext cx="11111366" cy="26431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404811</xdr:colOff>
      <xdr:row>17</xdr:row>
      <xdr:rowOff>59529</xdr:rowOff>
    </xdr:from>
    <xdr:to>
      <xdr:col>16</xdr:col>
      <xdr:colOff>443320</xdr:colOff>
      <xdr:row>31</xdr:row>
      <xdr:rowOff>166687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7DE8557D-7E07-8D06-A62E-92D70A6E3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811" y="5345904"/>
          <a:ext cx="11897134" cy="2774158"/>
        </a:xfrm>
        <a:prstGeom prst="rect">
          <a:avLst/>
        </a:prstGeom>
      </xdr:spPr>
    </xdr:pic>
    <xdr:clientData/>
  </xdr:twoCellAnchor>
  <xdr:twoCellAnchor editAs="oneCell">
    <xdr:from>
      <xdr:col>0</xdr:col>
      <xdr:colOff>357187</xdr:colOff>
      <xdr:row>33</xdr:row>
      <xdr:rowOff>142875</xdr:rowOff>
    </xdr:from>
    <xdr:to>
      <xdr:col>16</xdr:col>
      <xdr:colOff>454945</xdr:colOff>
      <xdr:row>48</xdr:row>
      <xdr:rowOff>142875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3D9AFE9-F470-0957-32AB-D992896BB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187" y="8477250"/>
          <a:ext cx="11956383" cy="2857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163285</xdr:colOff>
      <xdr:row>18</xdr:row>
      <xdr:rowOff>54429</xdr:rowOff>
    </xdr:from>
    <xdr:to>
      <xdr:col>18</xdr:col>
      <xdr:colOff>437436</xdr:colOff>
      <xdr:row>35</xdr:row>
      <xdr:rowOff>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CC09AAC-A0EC-AEE7-8CBC-7492611D6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5" y="5524500"/>
          <a:ext cx="13867687" cy="3184072"/>
        </a:xfrm>
        <a:prstGeom prst="rect">
          <a:avLst/>
        </a:prstGeom>
      </xdr:spPr>
    </xdr:pic>
    <xdr:clientData/>
  </xdr:twoCellAnchor>
  <xdr:twoCellAnchor editAs="oneCell">
    <xdr:from>
      <xdr:col>0</xdr:col>
      <xdr:colOff>149678</xdr:colOff>
      <xdr:row>36</xdr:row>
      <xdr:rowOff>54427</xdr:rowOff>
    </xdr:from>
    <xdr:to>
      <xdr:col>18</xdr:col>
      <xdr:colOff>390585</xdr:colOff>
      <xdr:row>53</xdr:row>
      <xdr:rowOff>149678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57ABD7BD-C4E1-EA27-4CD7-8F6150087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678" y="8953498"/>
          <a:ext cx="13834443" cy="33337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17</xdr:row>
      <xdr:rowOff>40821</xdr:rowOff>
    </xdr:from>
    <xdr:to>
      <xdr:col>19</xdr:col>
      <xdr:colOff>128572</xdr:colOff>
      <xdr:row>34</xdr:row>
      <xdr:rowOff>40822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17F6AD5-0673-77B1-472D-DB1D3DAE4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1" y="5320392"/>
          <a:ext cx="13735714" cy="3238501"/>
        </a:xfrm>
        <a:prstGeom prst="rect">
          <a:avLst/>
        </a:prstGeom>
      </xdr:spPr>
    </xdr:pic>
    <xdr:clientData/>
  </xdr:twoCellAnchor>
  <xdr:twoCellAnchor editAs="oneCell">
    <xdr:from>
      <xdr:col>0</xdr:col>
      <xdr:colOff>394606</xdr:colOff>
      <xdr:row>36</xdr:row>
      <xdr:rowOff>54428</xdr:rowOff>
    </xdr:from>
    <xdr:to>
      <xdr:col>19</xdr:col>
      <xdr:colOff>20719</xdr:colOff>
      <xdr:row>53</xdr:row>
      <xdr:rowOff>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C6D3CD6C-81D5-E46C-132A-ED00CB891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4606" y="8953499"/>
          <a:ext cx="13423756" cy="3184072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381001</xdr:colOff>
      <xdr:row>62</xdr:row>
      <xdr:rowOff>122464</xdr:rowOff>
    </xdr:from>
    <xdr:to>
      <xdr:col>19</xdr:col>
      <xdr:colOff>81643</xdr:colOff>
      <xdr:row>79</xdr:row>
      <xdr:rowOff>142838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DBC2770B-8104-27AB-777F-F3B74C2E8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1" y="13974535"/>
          <a:ext cx="13498285" cy="3258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09DA-28BA-440B-8F0A-AF8BC4F620D1}">
  <dimension ref="A1:O55"/>
  <sheetViews>
    <sheetView workbookViewId="0">
      <selection activeCell="B30" sqref="B30"/>
    </sheetView>
  </sheetViews>
  <sheetFormatPr baseColWidth="10" defaultColWidth="9.140625" defaultRowHeight="15" x14ac:dyDescent="0.25"/>
  <cols>
    <col min="1" max="1" width="9.140625" style="3"/>
    <col min="2" max="2" width="200.42578125" customWidth="1"/>
    <col min="4" max="4" width="11" customWidth="1"/>
  </cols>
  <sheetData>
    <row r="1" spans="1:7" ht="27.95" customHeight="1" x14ac:dyDescent="0.25">
      <c r="A1" s="78" t="s">
        <v>0</v>
      </c>
      <c r="B1" s="79"/>
      <c r="C1" s="79"/>
      <c r="D1" s="79"/>
      <c r="E1" s="79"/>
      <c r="F1" s="79"/>
      <c r="G1" s="80"/>
    </row>
    <row r="2" spans="1:7" ht="27.95" customHeight="1" x14ac:dyDescent="0.25">
      <c r="A2" s="4"/>
      <c r="B2" s="4"/>
      <c r="C2" s="4"/>
      <c r="D2" s="4"/>
      <c r="E2" s="4"/>
      <c r="F2" s="4"/>
      <c r="G2" s="4"/>
    </row>
    <row r="3" spans="1:7" ht="27.95" customHeight="1" x14ac:dyDescent="0.25">
      <c r="A3" s="16" t="s">
        <v>1</v>
      </c>
      <c r="B3" s="4"/>
      <c r="C3" s="4"/>
      <c r="D3" s="4"/>
      <c r="E3" s="4"/>
      <c r="F3" s="4"/>
      <c r="G3" s="4"/>
    </row>
    <row r="4" spans="1:7" ht="27.95" customHeight="1" x14ac:dyDescent="0.25">
      <c r="A4" s="16" t="s">
        <v>2</v>
      </c>
      <c r="B4" s="4"/>
      <c r="C4" s="4"/>
      <c r="D4" s="4"/>
      <c r="E4" s="4"/>
      <c r="F4" s="4"/>
      <c r="G4" s="4"/>
    </row>
    <row r="5" spans="1:7" ht="27.95" customHeight="1" x14ac:dyDescent="0.25">
      <c r="A5" s="16" t="s">
        <v>3</v>
      </c>
      <c r="B5" s="4"/>
      <c r="C5" s="4"/>
      <c r="D5" s="4"/>
      <c r="E5" s="4"/>
      <c r="F5" s="4"/>
      <c r="G5" s="4"/>
    </row>
    <row r="6" spans="1:7" ht="66" customHeight="1" x14ac:dyDescent="0.25">
      <c r="B6" s="17" t="s">
        <v>4</v>
      </c>
      <c r="C6" s="18"/>
      <c r="D6" s="19"/>
      <c r="E6" s="4"/>
      <c r="F6" s="4"/>
      <c r="G6" s="4"/>
    </row>
    <row r="7" spans="1:7" ht="39" customHeight="1" x14ac:dyDescent="0.25">
      <c r="B7" s="17" t="s">
        <v>5</v>
      </c>
      <c r="C7" s="4"/>
      <c r="D7" s="4"/>
      <c r="E7" s="4"/>
      <c r="F7" s="4"/>
      <c r="G7" s="4"/>
    </row>
    <row r="8" spans="1:7" ht="27.95" customHeight="1" x14ac:dyDescent="0.25">
      <c r="A8" s="4"/>
      <c r="B8" s="4"/>
      <c r="C8" s="4"/>
      <c r="D8" s="4"/>
      <c r="E8" s="4"/>
      <c r="F8" s="4"/>
      <c r="G8" s="4"/>
    </row>
    <row r="9" spans="1:7" x14ac:dyDescent="0.25">
      <c r="A9" s="3" t="s">
        <v>6</v>
      </c>
      <c r="B9" t="s">
        <v>7</v>
      </c>
    </row>
    <row r="10" spans="1:7" x14ac:dyDescent="0.25">
      <c r="A10" t="s">
        <v>6</v>
      </c>
      <c r="B10" t="s">
        <v>8</v>
      </c>
    </row>
    <row r="11" spans="1:7" x14ac:dyDescent="0.25">
      <c r="A11" t="s">
        <v>6</v>
      </c>
      <c r="B11" t="s">
        <v>9</v>
      </c>
    </row>
    <row r="12" spans="1:7" x14ac:dyDescent="0.25">
      <c r="A12" t="s">
        <v>6</v>
      </c>
      <c r="B12" t="s">
        <v>10</v>
      </c>
    </row>
    <row r="13" spans="1:7" x14ac:dyDescent="0.25">
      <c r="A13" t="s">
        <v>6</v>
      </c>
      <c r="B13" t="s">
        <v>11</v>
      </c>
    </row>
    <row r="14" spans="1:7" x14ac:dyDescent="0.25">
      <c r="A14"/>
    </row>
    <row r="15" spans="1:7" x14ac:dyDescent="0.25">
      <c r="A15" t="s">
        <v>6</v>
      </c>
      <c r="B15" t="s">
        <v>12</v>
      </c>
    </row>
    <row r="16" spans="1:7" ht="33" x14ac:dyDescent="0.25">
      <c r="A16" t="s">
        <v>6</v>
      </c>
      <c r="B16" s="23" t="s">
        <v>13</v>
      </c>
    </row>
    <row r="17" spans="1:15" x14ac:dyDescent="0.25">
      <c r="A17"/>
    </row>
    <row r="18" spans="1:15" x14ac:dyDescent="0.25">
      <c r="A18" s="3" t="s">
        <v>6</v>
      </c>
      <c r="B18" s="40" t="s">
        <v>14</v>
      </c>
    </row>
    <row r="19" spans="1:15" x14ac:dyDescent="0.25">
      <c r="A19" t="s">
        <v>6</v>
      </c>
      <c r="B19" s="57" t="s">
        <v>15</v>
      </c>
    </row>
    <row r="20" spans="1:15" x14ac:dyDescent="0.25">
      <c r="A20" t="s">
        <v>6</v>
      </c>
      <c r="B20" s="42" t="s">
        <v>16</v>
      </c>
    </row>
    <row r="21" spans="1:15" x14ac:dyDescent="0.25">
      <c r="A21" s="3" t="s">
        <v>6</v>
      </c>
      <c r="B21" s="6" t="s">
        <v>17</v>
      </c>
    </row>
    <row r="22" spans="1:15" x14ac:dyDescent="0.25">
      <c r="A22" s="3" t="s">
        <v>6</v>
      </c>
      <c r="B22" s="6" t="s">
        <v>18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C23" s="1"/>
    </row>
    <row r="24" spans="1:15" x14ac:dyDescent="0.25">
      <c r="B24" s="1"/>
      <c r="C24" s="1"/>
      <c r="D24" s="1"/>
    </row>
    <row r="25" spans="1:15" x14ac:dyDescent="0.25">
      <c r="A25"/>
      <c r="B25" s="1"/>
      <c r="C25" s="1"/>
      <c r="D25" s="1"/>
    </row>
    <row r="28" spans="1:15" x14ac:dyDescent="0.25">
      <c r="C28" s="1"/>
    </row>
    <row r="29" spans="1:15" x14ac:dyDescent="0.25">
      <c r="B29" s="1"/>
      <c r="C29" s="1"/>
      <c r="D29" s="1"/>
      <c r="E29" s="1"/>
      <c r="F29" s="1"/>
      <c r="G29" s="1"/>
      <c r="H29" s="1"/>
    </row>
    <row r="30" spans="1:15" x14ac:dyDescent="0.25">
      <c r="A30"/>
      <c r="B30" s="1"/>
      <c r="C30" s="1"/>
      <c r="D30" s="1"/>
      <c r="E30" s="1"/>
      <c r="F30" s="1"/>
      <c r="G30" s="1"/>
      <c r="H30" s="1"/>
    </row>
    <row r="33" spans="1:15" x14ac:dyDescent="0.25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</row>
    <row r="34" spans="1:15" x14ac:dyDescent="0.25">
      <c r="C34" s="1"/>
    </row>
    <row r="35" spans="1:15" x14ac:dyDescent="0.25">
      <c r="A35" s="4"/>
      <c r="B35" s="12"/>
      <c r="C35" s="12"/>
      <c r="D35" s="12"/>
    </row>
    <row r="36" spans="1:15" x14ac:dyDescent="0.25">
      <c r="A36" s="12"/>
      <c r="B36" s="12"/>
      <c r="C36" s="12"/>
      <c r="D36" s="12"/>
    </row>
    <row r="40" spans="1:15" x14ac:dyDescent="0.25">
      <c r="C40" s="1"/>
    </row>
    <row r="41" spans="1:15" x14ac:dyDescent="0.25">
      <c r="B41" s="1"/>
      <c r="C41" s="1"/>
      <c r="D41" s="1"/>
    </row>
    <row r="42" spans="1:15" x14ac:dyDescent="0.25">
      <c r="A42"/>
      <c r="B42" s="1"/>
      <c r="C42" s="1"/>
      <c r="D42" s="1"/>
    </row>
    <row r="44" spans="1:15" x14ac:dyDescent="0.25">
      <c r="C44" s="1"/>
    </row>
    <row r="45" spans="1:15" x14ac:dyDescent="0.25">
      <c r="B45" s="1"/>
      <c r="C45" s="1"/>
    </row>
    <row r="46" spans="1:15" x14ac:dyDescent="0.25">
      <c r="A46"/>
      <c r="B46" s="1"/>
      <c r="C46" s="1"/>
    </row>
    <row r="48" spans="1:15" x14ac:dyDescent="0.25">
      <c r="C48" s="1"/>
    </row>
    <row r="49" spans="1:5" x14ac:dyDescent="0.25">
      <c r="B49" s="1"/>
      <c r="C49" s="1"/>
      <c r="D49" s="1"/>
    </row>
    <row r="50" spans="1:5" x14ac:dyDescent="0.25">
      <c r="A50"/>
      <c r="B50" s="1"/>
      <c r="C50" s="1"/>
      <c r="D50" s="1"/>
    </row>
    <row r="52" spans="1:5" x14ac:dyDescent="0.25">
      <c r="C52" s="1"/>
    </row>
    <row r="53" spans="1:5" x14ac:dyDescent="0.25">
      <c r="B53" s="1"/>
      <c r="C53" s="1"/>
      <c r="D53" s="1"/>
      <c r="E53" s="1"/>
    </row>
    <row r="54" spans="1:5" x14ac:dyDescent="0.25">
      <c r="A54"/>
      <c r="B54" s="1"/>
      <c r="C54" s="1"/>
      <c r="D54" s="1"/>
      <c r="E54" s="1"/>
    </row>
    <row r="55" spans="1:5" x14ac:dyDescent="0.25">
      <c r="A55"/>
      <c r="B55" s="1"/>
      <c r="C55" s="1"/>
      <c r="D55" s="1"/>
      <c r="E55" s="1"/>
    </row>
  </sheetData>
  <mergeCells count="2">
    <mergeCell ref="A33:O33"/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9DBD-3F56-4320-80EA-B5DBDB2DF94E}">
  <dimension ref="A1:V35"/>
  <sheetViews>
    <sheetView topLeftCell="G1" zoomScale="60" zoomScaleNormal="60" workbookViewId="0">
      <selection activeCell="Y20" sqref="Y20"/>
    </sheetView>
  </sheetViews>
  <sheetFormatPr baseColWidth="10" defaultColWidth="9.140625" defaultRowHeight="15" x14ac:dyDescent="0.25"/>
  <cols>
    <col min="1" max="1" width="18.7109375" style="23" customWidth="1"/>
    <col min="2" max="15" width="12.140625" customWidth="1"/>
  </cols>
  <sheetData>
    <row r="1" spans="1:22" ht="15.75" thickBot="1" x14ac:dyDescent="0.3">
      <c r="A1" s="49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R1" s="9"/>
      <c r="S1" s="9"/>
      <c r="T1" s="9"/>
      <c r="U1" s="9"/>
      <c r="V1" s="9"/>
    </row>
    <row r="2" spans="1:22" ht="27.95" customHeight="1" thickBot="1" x14ac:dyDescent="0.3">
      <c r="A2" s="10" t="s">
        <v>19</v>
      </c>
      <c r="P2" s="8"/>
      <c r="Q2" s="7"/>
      <c r="R2" s="7"/>
      <c r="S2" s="7"/>
      <c r="T2" s="7"/>
      <c r="U2" s="7"/>
      <c r="V2" s="7"/>
    </row>
    <row r="3" spans="1:22" ht="27.95" customHeight="1" thickBot="1" x14ac:dyDescent="0.3">
      <c r="A3" s="50" t="s">
        <v>20</v>
      </c>
      <c r="B3" s="81" t="s">
        <v>21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3"/>
    </row>
    <row r="4" spans="1:22" ht="30" customHeight="1" x14ac:dyDescent="0.25">
      <c r="A4" s="13" t="s">
        <v>22</v>
      </c>
      <c r="B4" s="15">
        <v>43630</v>
      </c>
      <c r="C4" s="15">
        <v>43634</v>
      </c>
      <c r="D4" s="15">
        <v>43638</v>
      </c>
      <c r="E4" s="15">
        <v>43643</v>
      </c>
      <c r="F4" s="15">
        <v>43650</v>
      </c>
      <c r="G4" s="15">
        <v>43656</v>
      </c>
      <c r="H4" s="15">
        <v>43664</v>
      </c>
      <c r="I4" s="15">
        <v>43671</v>
      </c>
      <c r="J4" s="15">
        <v>43678</v>
      </c>
      <c r="K4" s="15">
        <v>43684</v>
      </c>
      <c r="L4" s="15">
        <v>43692</v>
      </c>
      <c r="M4" s="15">
        <v>43698</v>
      </c>
      <c r="N4" s="15">
        <v>43705</v>
      </c>
      <c r="O4" s="15">
        <v>43712</v>
      </c>
    </row>
    <row r="5" spans="1:22" ht="30" customHeight="1" x14ac:dyDescent="0.25">
      <c r="A5" s="13" t="s">
        <v>23</v>
      </c>
      <c r="B5" s="32" t="s">
        <v>24</v>
      </c>
      <c r="C5" s="32" t="s">
        <v>25</v>
      </c>
      <c r="D5" s="32" t="s">
        <v>26</v>
      </c>
      <c r="E5" s="32" t="s">
        <v>27</v>
      </c>
      <c r="F5" s="32" t="s">
        <v>28</v>
      </c>
      <c r="G5" s="32" t="s">
        <v>29</v>
      </c>
      <c r="H5" s="32" t="s">
        <v>30</v>
      </c>
      <c r="I5" s="32" t="s">
        <v>31</v>
      </c>
      <c r="J5" s="32" t="s">
        <v>32</v>
      </c>
      <c r="K5" s="32" t="s">
        <v>33</v>
      </c>
      <c r="L5" s="33" t="s">
        <v>34</v>
      </c>
      <c r="M5" s="34" t="s">
        <v>35</v>
      </c>
      <c r="N5" s="33" t="s">
        <v>36</v>
      </c>
      <c r="O5" s="32" t="s">
        <v>37</v>
      </c>
      <c r="Q5" s="84" t="s">
        <v>38</v>
      </c>
      <c r="R5" s="85"/>
      <c r="S5" s="85"/>
      <c r="T5" s="86"/>
    </row>
    <row r="6" spans="1:22" ht="30" customHeight="1" x14ac:dyDescent="0.25">
      <c r="A6" s="51" t="s">
        <v>39</v>
      </c>
      <c r="B6" s="2">
        <v>48</v>
      </c>
      <c r="C6" s="2">
        <v>37</v>
      </c>
      <c r="D6" s="2">
        <v>32</v>
      </c>
      <c r="E6" s="2">
        <v>29</v>
      </c>
      <c r="F6" s="2">
        <v>44</v>
      </c>
      <c r="G6" s="2">
        <v>45</v>
      </c>
      <c r="H6" s="2">
        <v>47</v>
      </c>
      <c r="I6" s="2">
        <v>47</v>
      </c>
      <c r="J6" s="2">
        <v>49</v>
      </c>
      <c r="K6" s="2">
        <v>50</v>
      </c>
      <c r="L6" s="2">
        <v>57</v>
      </c>
      <c r="M6" s="31">
        <v>55</v>
      </c>
      <c r="N6" s="2">
        <v>53</v>
      </c>
      <c r="O6" s="2">
        <v>56</v>
      </c>
    </row>
    <row r="7" spans="1:22" ht="30" customHeight="1" x14ac:dyDescent="0.25">
      <c r="A7" s="45" t="s">
        <v>40</v>
      </c>
      <c r="B7" s="2">
        <v>91</v>
      </c>
      <c r="C7" s="2">
        <v>-3</v>
      </c>
      <c r="D7" s="2">
        <v>31</v>
      </c>
      <c r="E7" s="2">
        <v>7</v>
      </c>
      <c r="F7" s="2">
        <v>99</v>
      </c>
      <c r="G7" s="2">
        <v>94</v>
      </c>
      <c r="H7" s="2">
        <v>-4</v>
      </c>
      <c r="I7" s="2">
        <v>-38</v>
      </c>
      <c r="J7" s="2">
        <v>-32</v>
      </c>
      <c r="K7" s="2">
        <v>-39</v>
      </c>
      <c r="L7" s="2">
        <v>-60</v>
      </c>
      <c r="M7" s="31">
        <v>-2</v>
      </c>
      <c r="N7" s="2">
        <v>-45</v>
      </c>
      <c r="O7" s="2">
        <v>-24</v>
      </c>
    </row>
    <row r="8" spans="1:22" ht="15.75" thickBot="1" x14ac:dyDescent="0.3">
      <c r="A8" s="47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22" ht="27.95" customHeight="1" thickBot="1" x14ac:dyDescent="0.3">
      <c r="A9" s="52"/>
      <c r="B9" s="81" t="s">
        <v>41</v>
      </c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3"/>
    </row>
    <row r="10" spans="1:22" ht="30" customHeight="1" x14ac:dyDescent="0.25">
      <c r="A10" s="45" t="s">
        <v>22</v>
      </c>
      <c r="B10" s="14">
        <v>43630</v>
      </c>
      <c r="C10" s="14">
        <v>43634</v>
      </c>
      <c r="D10" s="14">
        <v>43638</v>
      </c>
      <c r="E10" s="14">
        <v>43643</v>
      </c>
      <c r="F10" s="14">
        <v>43650</v>
      </c>
      <c r="G10" s="14">
        <v>43656</v>
      </c>
      <c r="H10" s="14">
        <v>43664</v>
      </c>
      <c r="I10" s="14">
        <v>43671</v>
      </c>
      <c r="J10" s="14">
        <v>43678</v>
      </c>
      <c r="K10" s="14">
        <v>43684</v>
      </c>
      <c r="L10" s="14">
        <v>43692</v>
      </c>
      <c r="M10" s="14">
        <v>43698</v>
      </c>
      <c r="N10" s="14">
        <v>43705</v>
      </c>
      <c r="O10" s="15">
        <v>43712</v>
      </c>
    </row>
    <row r="11" spans="1:22" ht="30" customHeight="1" x14ac:dyDescent="0.25">
      <c r="A11" s="13" t="s">
        <v>23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31</v>
      </c>
      <c r="J11" s="2" t="s">
        <v>32</v>
      </c>
      <c r="K11" s="2" t="s">
        <v>33</v>
      </c>
      <c r="L11" s="5" t="s">
        <v>34</v>
      </c>
      <c r="M11" s="31" t="s">
        <v>35</v>
      </c>
      <c r="N11" s="5" t="s">
        <v>36</v>
      </c>
      <c r="O11" s="30" t="s">
        <v>37</v>
      </c>
      <c r="R11" s="1"/>
    </row>
    <row r="12" spans="1:22" ht="30" customHeight="1" x14ac:dyDescent="0.25">
      <c r="A12" s="45" t="s">
        <v>42</v>
      </c>
      <c r="B12" s="67">
        <v>3.5529737145850899</v>
      </c>
      <c r="C12" s="67">
        <v>6.5636685628902498</v>
      </c>
      <c r="D12" s="67">
        <v>10.213993171221199</v>
      </c>
      <c r="E12" s="67">
        <v>16.129237617584099</v>
      </c>
      <c r="F12" s="67">
        <v>23.495223252639899</v>
      </c>
      <c r="G12" s="67">
        <v>27.387382128712702</v>
      </c>
      <c r="H12" s="67">
        <v>31.4082229756226</v>
      </c>
      <c r="I12" s="67">
        <v>35.2282112398224</v>
      </c>
      <c r="J12" s="67">
        <v>39.504229624566797</v>
      </c>
      <c r="K12" s="67">
        <v>40.133963439678503</v>
      </c>
      <c r="L12" s="68">
        <v>40.225906956423799</v>
      </c>
      <c r="M12" s="58">
        <v>40.225906956423799</v>
      </c>
      <c r="N12" s="68">
        <v>40.016891965236702</v>
      </c>
      <c r="O12" s="67">
        <v>39.477215560987098</v>
      </c>
      <c r="R12" s="1"/>
    </row>
    <row r="13" spans="1:22" ht="30" customHeight="1" x14ac:dyDescent="0.25">
      <c r="A13" s="45" t="s">
        <v>43</v>
      </c>
      <c r="B13" s="38">
        <f>ABS(B12-B7)</f>
        <v>87.447026285414907</v>
      </c>
      <c r="C13" s="38">
        <f t="shared" ref="C13:L13" si="0">ABS(C12-C7)</f>
        <v>9.5636685628902498</v>
      </c>
      <c r="D13" s="38">
        <f t="shared" si="0"/>
        <v>20.786006828778802</v>
      </c>
      <c r="E13" s="38">
        <f t="shared" si="0"/>
        <v>9.1292376175840992</v>
      </c>
      <c r="F13" s="38">
        <f t="shared" si="0"/>
        <v>75.504776747360097</v>
      </c>
      <c r="G13" s="38">
        <f t="shared" si="0"/>
        <v>66.612617871287298</v>
      </c>
      <c r="H13" s="38">
        <f t="shared" si="0"/>
        <v>35.4082229756226</v>
      </c>
      <c r="I13" s="38">
        <f t="shared" si="0"/>
        <v>73.2282112398224</v>
      </c>
      <c r="J13" s="38">
        <f t="shared" si="0"/>
        <v>71.50422962456679</v>
      </c>
      <c r="K13" s="38">
        <f t="shared" si="0"/>
        <v>79.133963439678496</v>
      </c>
      <c r="L13" s="38">
        <f t="shared" si="0"/>
        <v>100.2259069564238</v>
      </c>
      <c r="M13" s="38">
        <f>ABS(N12-M7)</f>
        <v>42.016891965236702</v>
      </c>
      <c r="N13" s="38">
        <f>ABS(O12-N7)</f>
        <v>84.477215560987105</v>
      </c>
      <c r="O13" s="38">
        <f>ABS(P12-O7)</f>
        <v>24</v>
      </c>
    </row>
    <row r="14" spans="1:22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22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22" ht="15.75" thickBot="1" x14ac:dyDescent="0.3"/>
    <row r="17" spans="1:22" ht="27.95" customHeight="1" thickBot="1" x14ac:dyDescent="0.3">
      <c r="A17" s="50" t="s">
        <v>44</v>
      </c>
      <c r="B17" s="81" t="s">
        <v>21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3"/>
      <c r="P17" s="20"/>
    </row>
    <row r="18" spans="1:22" ht="30" customHeight="1" x14ac:dyDescent="0.25">
      <c r="A18" s="13" t="s">
        <v>22</v>
      </c>
      <c r="B18" s="15">
        <v>43630</v>
      </c>
      <c r="C18" s="15">
        <v>43634</v>
      </c>
      <c r="D18" s="15">
        <v>43638</v>
      </c>
      <c r="E18" s="15">
        <v>43643</v>
      </c>
      <c r="F18" s="15">
        <v>43650</v>
      </c>
      <c r="G18" s="15">
        <v>43656</v>
      </c>
      <c r="H18" s="15">
        <v>43664</v>
      </c>
      <c r="I18" s="15">
        <v>43671</v>
      </c>
      <c r="J18" s="15">
        <v>43678</v>
      </c>
      <c r="K18" s="15">
        <v>43684</v>
      </c>
      <c r="L18" s="15">
        <v>43692</v>
      </c>
      <c r="M18" s="15">
        <v>43698</v>
      </c>
      <c r="N18" s="15">
        <v>43705</v>
      </c>
      <c r="O18" s="15">
        <v>43712</v>
      </c>
    </row>
    <row r="19" spans="1:22" ht="30" customHeight="1" x14ac:dyDescent="0.25">
      <c r="A19" s="13" t="s">
        <v>23</v>
      </c>
      <c r="B19" s="43" t="s">
        <v>24</v>
      </c>
      <c r="C19" s="32" t="s">
        <v>25</v>
      </c>
      <c r="D19" s="32" t="s">
        <v>26</v>
      </c>
      <c r="E19" s="33" t="s">
        <v>27</v>
      </c>
      <c r="F19" s="32" t="s">
        <v>28</v>
      </c>
      <c r="G19" s="32" t="s">
        <v>29</v>
      </c>
      <c r="H19" s="32" t="s">
        <v>30</v>
      </c>
      <c r="I19" s="33" t="s">
        <v>31</v>
      </c>
      <c r="J19" s="34" t="s">
        <v>32</v>
      </c>
      <c r="K19" s="33" t="s">
        <v>33</v>
      </c>
      <c r="L19" s="32" t="s">
        <v>34</v>
      </c>
      <c r="M19" s="32" t="s">
        <v>35</v>
      </c>
      <c r="N19" s="32" t="s">
        <v>36</v>
      </c>
      <c r="O19" s="32" t="s">
        <v>37</v>
      </c>
      <c r="P19" s="1"/>
      <c r="Q19" s="84" t="s">
        <v>38</v>
      </c>
      <c r="R19" s="85"/>
      <c r="S19" s="85"/>
      <c r="T19" s="86"/>
      <c r="U19" s="1"/>
      <c r="V19" s="1"/>
    </row>
    <row r="20" spans="1:22" ht="30" customHeight="1" x14ac:dyDescent="0.25">
      <c r="A20" s="51" t="s">
        <v>45</v>
      </c>
      <c r="B20" s="44">
        <v>48</v>
      </c>
      <c r="C20" s="2">
        <v>41</v>
      </c>
      <c r="D20" s="2">
        <v>48</v>
      </c>
      <c r="E20" s="2">
        <v>71</v>
      </c>
      <c r="F20" s="2">
        <v>92</v>
      </c>
      <c r="G20" s="2">
        <v>66</v>
      </c>
      <c r="H20" s="2">
        <v>73</v>
      </c>
      <c r="I20" s="2">
        <v>47</v>
      </c>
      <c r="J20" s="31">
        <v>85</v>
      </c>
      <c r="K20" s="2">
        <v>44</v>
      </c>
      <c r="L20" s="2">
        <v>85</v>
      </c>
      <c r="M20" s="2">
        <v>81</v>
      </c>
      <c r="N20" s="2">
        <v>86</v>
      </c>
      <c r="O20" s="2">
        <v>44</v>
      </c>
      <c r="P20" s="1"/>
      <c r="Q20" s="1"/>
      <c r="R20" s="1"/>
      <c r="S20" s="1"/>
      <c r="T20" s="1"/>
      <c r="U20" s="1"/>
    </row>
    <row r="21" spans="1:22" ht="30" customHeight="1" x14ac:dyDescent="0.25">
      <c r="A21" s="45" t="s">
        <v>40</v>
      </c>
      <c r="B21" s="44">
        <v>126</v>
      </c>
      <c r="C21" s="2">
        <v>-26</v>
      </c>
      <c r="D21" s="2">
        <v>-17</v>
      </c>
      <c r="E21" s="2">
        <v>-74</v>
      </c>
      <c r="F21" s="2">
        <v>2</v>
      </c>
      <c r="G21" s="2">
        <v>31</v>
      </c>
      <c r="H21" s="2">
        <v>66</v>
      </c>
      <c r="I21" s="2">
        <v>-80</v>
      </c>
      <c r="J21" s="2">
        <v>-69</v>
      </c>
      <c r="K21" s="2">
        <v>-62</v>
      </c>
      <c r="L21" s="2">
        <v>-71</v>
      </c>
      <c r="M21" s="2">
        <v>-36</v>
      </c>
      <c r="N21" s="2">
        <v>-74</v>
      </c>
      <c r="O21" s="2">
        <v>-36</v>
      </c>
      <c r="P21" s="1"/>
      <c r="Q21" s="1"/>
      <c r="R21" s="1"/>
      <c r="S21" s="1"/>
      <c r="T21" s="1"/>
      <c r="U21" s="1"/>
    </row>
    <row r="22" spans="1:22" ht="15.75" thickBot="1" x14ac:dyDescent="0.3">
      <c r="A22" s="47"/>
      <c r="B22" s="3"/>
      <c r="C22" s="3"/>
      <c r="D22" s="3"/>
      <c r="L22" s="3"/>
    </row>
    <row r="23" spans="1:22" ht="27.95" customHeight="1" thickBot="1" x14ac:dyDescent="0.3">
      <c r="A23" s="52"/>
      <c r="B23" s="81" t="s">
        <v>41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3"/>
    </row>
    <row r="24" spans="1:22" ht="30" customHeight="1" x14ac:dyDescent="0.25">
      <c r="A24" s="45" t="s">
        <v>22</v>
      </c>
      <c r="B24" s="14">
        <v>43630</v>
      </c>
      <c r="C24" s="14">
        <v>43634</v>
      </c>
      <c r="D24" s="14">
        <v>43638</v>
      </c>
      <c r="E24" s="14">
        <v>43643</v>
      </c>
      <c r="F24" s="14">
        <v>43650</v>
      </c>
      <c r="G24" s="14">
        <v>43656</v>
      </c>
      <c r="H24" s="14">
        <v>43664</v>
      </c>
      <c r="I24" s="14">
        <v>43671</v>
      </c>
      <c r="J24" s="14">
        <v>43678</v>
      </c>
      <c r="K24" s="14">
        <v>43684</v>
      </c>
      <c r="L24" s="14">
        <v>43692</v>
      </c>
      <c r="M24" s="14">
        <v>43698</v>
      </c>
      <c r="N24" s="14">
        <v>43705</v>
      </c>
      <c r="O24" s="15">
        <v>43712</v>
      </c>
    </row>
    <row r="25" spans="1:22" ht="30" customHeight="1" x14ac:dyDescent="0.25">
      <c r="A25" s="13" t="s">
        <v>23</v>
      </c>
      <c r="B25" s="2" t="s">
        <v>24</v>
      </c>
      <c r="C25" s="2" t="s">
        <v>25</v>
      </c>
      <c r="D25" s="2" t="s">
        <v>26</v>
      </c>
      <c r="E25" s="5" t="s">
        <v>27</v>
      </c>
      <c r="F25" s="2" t="s">
        <v>28</v>
      </c>
      <c r="G25" s="2" t="s">
        <v>29</v>
      </c>
      <c r="H25" s="2" t="s">
        <v>30</v>
      </c>
      <c r="I25" s="5" t="s">
        <v>31</v>
      </c>
      <c r="J25" s="31" t="s">
        <v>32</v>
      </c>
      <c r="K25" s="5" t="s">
        <v>33</v>
      </c>
      <c r="L25" s="2" t="s">
        <v>34</v>
      </c>
      <c r="M25" s="2" t="s">
        <v>35</v>
      </c>
      <c r="N25" s="2" t="s">
        <v>36</v>
      </c>
      <c r="O25" s="30" t="s">
        <v>37</v>
      </c>
    </row>
    <row r="26" spans="1:22" ht="30" customHeight="1" x14ac:dyDescent="0.25">
      <c r="A26" s="45" t="s">
        <v>46</v>
      </c>
      <c r="B26" s="67">
        <v>3.60154422444197</v>
      </c>
      <c r="C26" s="67">
        <v>6.63427310788789</v>
      </c>
      <c r="D26" s="67">
        <v>10.308123704548199</v>
      </c>
      <c r="E26" s="68">
        <v>16.256480110543301</v>
      </c>
      <c r="F26" s="67">
        <v>23.661174479117101</v>
      </c>
      <c r="G26" s="67">
        <v>27.5664668210832</v>
      </c>
      <c r="H26" s="67">
        <v>31.577515557446802</v>
      </c>
      <c r="I26" s="68">
        <v>35.413753867822599</v>
      </c>
      <c r="J26" s="58">
        <v>38.413159000172698</v>
      </c>
      <c r="K26" s="68">
        <v>39.736662801236598</v>
      </c>
      <c r="L26" s="67">
        <v>40.348772342708799</v>
      </c>
      <c r="M26" s="67">
        <v>40.434751013167499</v>
      </c>
      <c r="N26" s="67">
        <v>40.230038564072998</v>
      </c>
      <c r="O26" s="67">
        <v>39.690772047508503</v>
      </c>
    </row>
    <row r="27" spans="1:22" ht="30" customHeight="1" x14ac:dyDescent="0.25">
      <c r="A27" s="45" t="s">
        <v>43</v>
      </c>
      <c r="B27" s="38">
        <f>ABS(B26-B21)</f>
        <v>122.39845577555803</v>
      </c>
      <c r="C27" s="38">
        <f t="shared" ref="C27" si="1">ABS(C26-C21)</f>
        <v>32.634273107887893</v>
      </c>
      <c r="D27" s="38">
        <f t="shared" ref="D27" si="2">ABS(D26-D21)</f>
        <v>27.308123704548201</v>
      </c>
      <c r="E27" s="38">
        <f t="shared" ref="E27" si="3">ABS(E26-E21)</f>
        <v>90.256480110543293</v>
      </c>
      <c r="F27" s="38">
        <f t="shared" ref="F27" si="4">ABS(F26-F21)</f>
        <v>21.661174479117101</v>
      </c>
      <c r="G27" s="38">
        <f t="shared" ref="G27" si="5">ABS(G26-G21)</f>
        <v>3.4335331789168002</v>
      </c>
      <c r="H27" s="38">
        <f t="shared" ref="H27" si="6">ABS(H26-H21)</f>
        <v>34.422484442553198</v>
      </c>
      <c r="I27" s="38">
        <f t="shared" ref="I27" si="7">ABS(I26-I21)</f>
        <v>115.41375386782261</v>
      </c>
      <c r="J27" s="38">
        <f t="shared" ref="J27" si="8">ABS(J26-J21)</f>
        <v>107.4131590001727</v>
      </c>
      <c r="K27" s="38">
        <f t="shared" ref="K27" si="9">ABS(K26-K21)</f>
        <v>101.7366628012366</v>
      </c>
      <c r="L27" s="38">
        <f t="shared" ref="L27" si="10">ABS(L26-L21)</f>
        <v>111.3487723427088</v>
      </c>
      <c r="M27" s="38">
        <f t="shared" ref="M27" si="11">ABS(M26-M21)</f>
        <v>76.434751013167499</v>
      </c>
      <c r="N27" s="38">
        <f t="shared" ref="N27" si="12">ABS(N26-N21)</f>
        <v>114.230038564073</v>
      </c>
      <c r="O27" s="38" t="s">
        <v>91</v>
      </c>
    </row>
    <row r="35" spans="1:12" x14ac:dyDescent="0.25">
      <c r="A35" s="47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</sheetData>
  <mergeCells count="6">
    <mergeCell ref="B3:O3"/>
    <mergeCell ref="B9:O9"/>
    <mergeCell ref="B23:O23"/>
    <mergeCell ref="B17:O17"/>
    <mergeCell ref="Q5:T5"/>
    <mergeCell ref="Q19:T1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5E1B-747D-47E0-9633-D1AC379F6319}">
  <dimension ref="A1:T26"/>
  <sheetViews>
    <sheetView workbookViewId="0">
      <selection activeCell="O13" sqref="O13"/>
    </sheetView>
  </sheetViews>
  <sheetFormatPr baseColWidth="10" defaultColWidth="9.140625" defaultRowHeight="15" x14ac:dyDescent="0.25"/>
  <cols>
    <col min="1" max="1" width="21.5703125" style="23" customWidth="1"/>
    <col min="2" max="15" width="10.7109375" customWidth="1"/>
  </cols>
  <sheetData>
    <row r="1" spans="1:20" ht="36" customHeight="1" x14ac:dyDescent="0.25">
      <c r="A1" s="53" t="s">
        <v>47</v>
      </c>
      <c r="B1" s="28" t="s">
        <v>48</v>
      </c>
      <c r="C1" s="29"/>
      <c r="D1" s="29"/>
      <c r="E1" s="29"/>
      <c r="F1" s="29"/>
      <c r="G1" s="29"/>
      <c r="H1" s="9"/>
      <c r="I1" s="9"/>
      <c r="J1" s="9"/>
      <c r="K1" s="9"/>
      <c r="L1" s="9"/>
      <c r="M1" s="9"/>
      <c r="N1" s="9"/>
    </row>
    <row r="2" spans="1:20" ht="36" customHeight="1" x14ac:dyDescent="0.25">
      <c r="A2" s="54"/>
      <c r="B2" s="26"/>
      <c r="C2" s="27"/>
      <c r="D2" s="27"/>
      <c r="E2" s="27"/>
      <c r="F2" s="27"/>
      <c r="G2" s="27"/>
    </row>
    <row r="3" spans="1:20" ht="15.75" thickBot="1" x14ac:dyDescent="0.3"/>
    <row r="4" spans="1:20" ht="27.95" customHeight="1" thickBot="1" x14ac:dyDescent="0.3">
      <c r="A4" s="10" t="s">
        <v>19</v>
      </c>
    </row>
    <row r="5" spans="1:20" ht="27.95" customHeight="1" thickBot="1" x14ac:dyDescent="0.3">
      <c r="A5" s="50" t="s">
        <v>49</v>
      </c>
      <c r="B5" s="81" t="s">
        <v>21</v>
      </c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3"/>
    </row>
    <row r="6" spans="1:20" ht="30" customHeight="1" x14ac:dyDescent="0.25">
      <c r="A6" s="45" t="s">
        <v>22</v>
      </c>
      <c r="B6" s="15">
        <v>43630</v>
      </c>
      <c r="C6" s="15">
        <v>43636</v>
      </c>
      <c r="D6" s="15">
        <v>43638</v>
      </c>
      <c r="E6" s="15">
        <v>43644</v>
      </c>
      <c r="F6" s="15">
        <v>43651</v>
      </c>
      <c r="G6" s="15">
        <v>43658</v>
      </c>
      <c r="H6" s="15">
        <v>43665</v>
      </c>
      <c r="I6" s="15">
        <v>43672</v>
      </c>
      <c r="J6" s="15">
        <v>43679</v>
      </c>
      <c r="K6" s="15">
        <v>43686</v>
      </c>
      <c r="L6" s="15">
        <v>43693</v>
      </c>
      <c r="M6" s="15">
        <v>43700</v>
      </c>
      <c r="N6" s="15">
        <v>43706</v>
      </c>
      <c r="O6" s="15">
        <v>43714</v>
      </c>
    </row>
    <row r="7" spans="1:20" ht="30" customHeight="1" x14ac:dyDescent="0.25">
      <c r="A7" s="13" t="s">
        <v>23</v>
      </c>
      <c r="B7" s="36" t="s">
        <v>24</v>
      </c>
      <c r="C7" s="37" t="s">
        <v>50</v>
      </c>
      <c r="D7" s="37" t="s">
        <v>26</v>
      </c>
      <c r="E7" s="37" t="s">
        <v>51</v>
      </c>
      <c r="F7" s="37" t="s">
        <v>52</v>
      </c>
      <c r="G7" s="37" t="s">
        <v>53</v>
      </c>
      <c r="H7" s="37" t="s">
        <v>54</v>
      </c>
      <c r="I7" s="37" t="s">
        <v>55</v>
      </c>
      <c r="J7" s="37" t="s">
        <v>56</v>
      </c>
      <c r="K7" s="37" t="s">
        <v>57</v>
      </c>
      <c r="L7" s="37" t="s">
        <v>58</v>
      </c>
      <c r="M7" s="36" t="s">
        <v>59</v>
      </c>
      <c r="N7" s="36" t="s">
        <v>60</v>
      </c>
      <c r="O7" s="55" t="s">
        <v>61</v>
      </c>
      <c r="Q7" s="88" t="s">
        <v>62</v>
      </c>
      <c r="R7" s="89"/>
      <c r="S7" s="89"/>
      <c r="T7" s="90"/>
    </row>
    <row r="8" spans="1:20" ht="30" customHeight="1" x14ac:dyDescent="0.25">
      <c r="A8" s="51" t="s">
        <v>39</v>
      </c>
      <c r="B8" s="38">
        <v>51</v>
      </c>
      <c r="C8" s="38">
        <v>40</v>
      </c>
      <c r="D8" s="38">
        <v>51</v>
      </c>
      <c r="E8" s="38">
        <v>60</v>
      </c>
      <c r="F8" s="38">
        <v>46</v>
      </c>
      <c r="G8" s="38">
        <v>38</v>
      </c>
      <c r="H8" s="38">
        <v>53</v>
      </c>
      <c r="I8" s="38">
        <v>53</v>
      </c>
      <c r="J8" s="38">
        <v>51</v>
      </c>
      <c r="K8" s="38">
        <v>47</v>
      </c>
      <c r="L8" s="38">
        <v>34</v>
      </c>
      <c r="M8" s="38">
        <v>56</v>
      </c>
      <c r="N8" s="38">
        <v>45</v>
      </c>
      <c r="O8" s="39">
        <v>59</v>
      </c>
    </row>
    <row r="9" spans="1:20" ht="30" customHeight="1" x14ac:dyDescent="0.25">
      <c r="A9" s="45" t="s">
        <v>40</v>
      </c>
      <c r="B9" s="38">
        <v>38</v>
      </c>
      <c r="C9" s="38">
        <v>-64</v>
      </c>
      <c r="D9" s="38">
        <v>-86</v>
      </c>
      <c r="E9" s="38">
        <v>-97</v>
      </c>
      <c r="F9" s="38">
        <v>-66</v>
      </c>
      <c r="G9" s="38">
        <v>-63</v>
      </c>
      <c r="H9" s="38">
        <v>-80</v>
      </c>
      <c r="I9" s="38">
        <v>-81</v>
      </c>
      <c r="J9" s="38">
        <v>-80</v>
      </c>
      <c r="K9" s="38">
        <v>-73</v>
      </c>
      <c r="L9" s="38">
        <v>-72</v>
      </c>
      <c r="M9" s="38">
        <v>4</v>
      </c>
      <c r="N9" s="38">
        <v>-36</v>
      </c>
      <c r="O9" s="46">
        <v>2</v>
      </c>
    </row>
    <row r="10" spans="1:20" ht="15.75" thickBot="1" x14ac:dyDescent="0.3">
      <c r="A10" s="47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20" ht="27.95" customHeight="1" thickBot="1" x14ac:dyDescent="0.3">
      <c r="A11" s="47"/>
      <c r="B11" s="81" t="s">
        <v>41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3"/>
      <c r="R11" s="1"/>
    </row>
    <row r="12" spans="1:20" ht="30" customHeight="1" x14ac:dyDescent="0.25">
      <c r="A12" s="45" t="s">
        <v>22</v>
      </c>
      <c r="B12" s="14">
        <v>43630</v>
      </c>
      <c r="C12" s="14">
        <v>43636</v>
      </c>
      <c r="D12" s="14">
        <v>43638</v>
      </c>
      <c r="E12" s="14">
        <v>43644</v>
      </c>
      <c r="F12" s="14">
        <v>43651</v>
      </c>
      <c r="G12" s="14">
        <v>43658</v>
      </c>
      <c r="H12" s="14">
        <v>43665</v>
      </c>
      <c r="I12" s="14">
        <v>43672</v>
      </c>
      <c r="J12" s="14">
        <v>43679</v>
      </c>
      <c r="K12" s="14">
        <v>43686</v>
      </c>
      <c r="L12" s="14">
        <v>43693</v>
      </c>
      <c r="M12" s="14">
        <v>43700</v>
      </c>
      <c r="N12" s="14">
        <v>43706</v>
      </c>
      <c r="O12" s="14">
        <v>43714</v>
      </c>
      <c r="R12" s="1"/>
    </row>
    <row r="13" spans="1:20" ht="30" customHeight="1" x14ac:dyDescent="0.25">
      <c r="A13" s="13" t="s">
        <v>23</v>
      </c>
      <c r="B13" s="2" t="s">
        <v>24</v>
      </c>
      <c r="C13" s="5" t="s">
        <v>50</v>
      </c>
      <c r="D13" s="5" t="s">
        <v>26</v>
      </c>
      <c r="E13" s="5" t="s">
        <v>51</v>
      </c>
      <c r="F13" s="5" t="s">
        <v>52</v>
      </c>
      <c r="G13" s="5" t="s">
        <v>53</v>
      </c>
      <c r="H13" s="5" t="s">
        <v>54</v>
      </c>
      <c r="I13" s="5" t="s">
        <v>55</v>
      </c>
      <c r="J13" s="5" t="s">
        <v>56</v>
      </c>
      <c r="K13" s="5" t="s">
        <v>57</v>
      </c>
      <c r="L13" s="5" t="s">
        <v>58</v>
      </c>
      <c r="M13" s="2" t="s">
        <v>59</v>
      </c>
      <c r="N13" s="2" t="s">
        <v>60</v>
      </c>
      <c r="O13" s="55" t="s">
        <v>61</v>
      </c>
    </row>
    <row r="14" spans="1:20" ht="30" customHeight="1" x14ac:dyDescent="0.25">
      <c r="A14" s="45" t="s">
        <v>46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20" ht="30" customHeight="1" x14ac:dyDescent="0.25">
      <c r="A15" s="45" t="s">
        <v>43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8" spans="1:20" ht="27.95" customHeight="1" x14ac:dyDescent="0.25">
      <c r="A18" s="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</row>
    <row r="19" spans="1:20" ht="30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spans="1:20" ht="30" customHeight="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Q20" s="91"/>
      <c r="R20" s="91"/>
      <c r="S20" s="91"/>
      <c r="T20" s="91"/>
    </row>
    <row r="21" spans="1:20" ht="30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20" x14ac:dyDescent="0.25">
      <c r="A22" s="47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20" ht="27.95" customHeight="1" x14ac:dyDescent="0.25">
      <c r="A23" s="4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</row>
    <row r="24" spans="1:20" ht="30" customHeight="1" x14ac:dyDescent="0.25"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1:20" ht="30" customHeigh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20" ht="30" customHeight="1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</sheetData>
  <mergeCells count="6">
    <mergeCell ref="B5:O5"/>
    <mergeCell ref="B11:O11"/>
    <mergeCell ref="B23:O23"/>
    <mergeCell ref="B18:O18"/>
    <mergeCell ref="Q7:T7"/>
    <mergeCell ref="Q20:T2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B7B8-F3FC-439E-9177-A162F19909E3}">
  <dimension ref="A1:T14"/>
  <sheetViews>
    <sheetView workbookViewId="0">
      <selection activeCell="R11" sqref="R11:R12"/>
    </sheetView>
  </sheetViews>
  <sheetFormatPr baseColWidth="10" defaultColWidth="9.140625" defaultRowHeight="15" x14ac:dyDescent="0.25"/>
  <cols>
    <col min="1" max="1" width="20.7109375" style="23" customWidth="1"/>
    <col min="2" max="15" width="10.7109375" customWidth="1"/>
  </cols>
  <sheetData>
    <row r="1" spans="1:20" ht="35.1" customHeight="1" x14ac:dyDescent="0.25">
      <c r="A1" s="53" t="s">
        <v>47</v>
      </c>
      <c r="B1" s="28" t="s">
        <v>63</v>
      </c>
      <c r="C1" s="29"/>
      <c r="D1" s="29"/>
      <c r="E1" s="29"/>
      <c r="F1" s="29"/>
      <c r="G1" s="29"/>
      <c r="H1" s="9"/>
      <c r="I1" s="9"/>
      <c r="J1" s="9"/>
      <c r="K1" s="9"/>
      <c r="L1" s="9"/>
      <c r="M1" s="9"/>
      <c r="N1" s="9"/>
    </row>
    <row r="2" spans="1:20" ht="15.75" thickBot="1" x14ac:dyDescent="0.3"/>
    <row r="3" spans="1:20" ht="19.5" thickBot="1" x14ac:dyDescent="0.3">
      <c r="A3" s="10" t="s">
        <v>19</v>
      </c>
    </row>
    <row r="4" spans="1:20" ht="19.5" thickBot="1" x14ac:dyDescent="0.3">
      <c r="A4" s="50" t="s">
        <v>64</v>
      </c>
      <c r="B4" s="81" t="s">
        <v>21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3"/>
    </row>
    <row r="5" spans="1:20" ht="30" customHeight="1" x14ac:dyDescent="0.25">
      <c r="A5" s="45" t="s">
        <v>22</v>
      </c>
      <c r="B5" s="21">
        <v>43630</v>
      </c>
      <c r="C5" s="21">
        <v>43636</v>
      </c>
      <c r="D5" s="21">
        <v>43638</v>
      </c>
      <c r="E5" s="21">
        <v>43644</v>
      </c>
      <c r="F5" s="21">
        <v>43651</v>
      </c>
      <c r="G5" s="21">
        <v>43658</v>
      </c>
      <c r="H5" s="21">
        <v>43665</v>
      </c>
      <c r="I5" s="21">
        <v>43672</v>
      </c>
      <c r="J5" s="21">
        <v>43679</v>
      </c>
      <c r="K5" s="21">
        <v>43686</v>
      </c>
      <c r="L5" s="21">
        <v>43693</v>
      </c>
      <c r="M5" s="21">
        <v>43700</v>
      </c>
      <c r="N5" s="21">
        <v>43706</v>
      </c>
      <c r="O5" s="21">
        <v>43714</v>
      </c>
    </row>
    <row r="6" spans="1:20" ht="30" customHeight="1" x14ac:dyDescent="0.25">
      <c r="A6" s="13" t="s">
        <v>23</v>
      </c>
      <c r="B6" s="36" t="s">
        <v>24</v>
      </c>
      <c r="C6" s="37" t="s">
        <v>50</v>
      </c>
      <c r="D6" s="37" t="s">
        <v>26</v>
      </c>
      <c r="E6" s="37" t="s">
        <v>51</v>
      </c>
      <c r="F6" s="37" t="s">
        <v>52</v>
      </c>
      <c r="G6" s="37" t="s">
        <v>53</v>
      </c>
      <c r="H6" s="37" t="s">
        <v>54</v>
      </c>
      <c r="I6" s="37" t="s">
        <v>55</v>
      </c>
      <c r="J6" s="37" t="s">
        <v>56</v>
      </c>
      <c r="K6" s="37" t="s">
        <v>57</v>
      </c>
      <c r="L6" s="37" t="s">
        <v>58</v>
      </c>
      <c r="M6" s="37" t="s">
        <v>59</v>
      </c>
      <c r="N6" s="41" t="s">
        <v>60</v>
      </c>
      <c r="O6" s="37" t="s">
        <v>61</v>
      </c>
      <c r="Q6" s="88" t="s">
        <v>62</v>
      </c>
      <c r="R6" s="89"/>
      <c r="S6" s="89"/>
      <c r="T6" s="90"/>
    </row>
    <row r="7" spans="1:20" ht="30" customHeight="1" x14ac:dyDescent="0.25">
      <c r="A7" s="51" t="s">
        <v>39</v>
      </c>
      <c r="B7" s="2">
        <v>47</v>
      </c>
      <c r="C7" s="2">
        <v>29</v>
      </c>
      <c r="D7" s="2">
        <v>54</v>
      </c>
      <c r="E7" s="2">
        <v>66</v>
      </c>
      <c r="F7" s="2">
        <v>67</v>
      </c>
      <c r="G7" s="2">
        <v>51</v>
      </c>
      <c r="H7" s="2">
        <v>53</v>
      </c>
      <c r="I7" s="2">
        <v>43</v>
      </c>
      <c r="J7" s="2">
        <v>55</v>
      </c>
      <c r="K7" s="2">
        <v>60</v>
      </c>
      <c r="L7" s="2">
        <v>57</v>
      </c>
      <c r="M7" s="2">
        <v>56</v>
      </c>
      <c r="N7" s="31">
        <v>65</v>
      </c>
      <c r="O7" s="2">
        <v>71</v>
      </c>
    </row>
    <row r="8" spans="1:20" ht="30" customHeight="1" x14ac:dyDescent="0.25">
      <c r="A8" s="45" t="s">
        <v>40</v>
      </c>
      <c r="B8" s="2">
        <v>-31</v>
      </c>
      <c r="C8" s="2">
        <v>-97</v>
      </c>
      <c r="D8" s="2">
        <v>-100</v>
      </c>
      <c r="E8" s="2">
        <v>-100</v>
      </c>
      <c r="F8" s="2">
        <v>-100</v>
      </c>
      <c r="G8" s="2">
        <v>-99</v>
      </c>
      <c r="H8" s="2">
        <v>-99</v>
      </c>
      <c r="I8" s="2">
        <v>-93</v>
      </c>
      <c r="J8" s="2">
        <v>-99</v>
      </c>
      <c r="K8" s="2">
        <v>-99</v>
      </c>
      <c r="L8" s="2">
        <v>-99</v>
      </c>
      <c r="M8" s="2">
        <v>-86</v>
      </c>
      <c r="N8" s="31">
        <v>-52</v>
      </c>
      <c r="O8" s="2">
        <v>-97</v>
      </c>
    </row>
    <row r="9" spans="1:20" ht="15.75" thickBot="1" x14ac:dyDescent="0.3">
      <c r="A9" s="47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20" ht="19.5" thickBot="1" x14ac:dyDescent="0.3">
      <c r="A10" s="47"/>
      <c r="B10" s="81" t="s">
        <v>41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3"/>
    </row>
    <row r="11" spans="1:20" ht="30" customHeight="1" x14ac:dyDescent="0.25">
      <c r="A11" s="45" t="s">
        <v>22</v>
      </c>
      <c r="B11" s="14">
        <v>43630</v>
      </c>
      <c r="C11" s="14">
        <v>43636</v>
      </c>
      <c r="D11" s="14">
        <v>43638</v>
      </c>
      <c r="E11" s="14">
        <v>43644</v>
      </c>
      <c r="F11" s="14">
        <v>43651</v>
      </c>
      <c r="G11" s="14">
        <v>43658</v>
      </c>
      <c r="H11" s="14">
        <v>43665</v>
      </c>
      <c r="I11" s="14">
        <v>43672</v>
      </c>
      <c r="J11" s="14">
        <v>43679</v>
      </c>
      <c r="K11" s="14">
        <v>43686</v>
      </c>
      <c r="L11" s="14">
        <v>43693</v>
      </c>
      <c r="M11" s="14">
        <v>43700</v>
      </c>
      <c r="N11" s="14">
        <v>43706</v>
      </c>
      <c r="O11" s="14">
        <v>43714</v>
      </c>
      <c r="R11" s="1"/>
    </row>
    <row r="12" spans="1:20" ht="30" customHeight="1" x14ac:dyDescent="0.25">
      <c r="A12" s="13" t="s">
        <v>23</v>
      </c>
      <c r="B12" s="2" t="s">
        <v>24</v>
      </c>
      <c r="C12" s="5" t="s">
        <v>50</v>
      </c>
      <c r="D12" s="5" t="s">
        <v>26</v>
      </c>
      <c r="E12" s="5" t="s">
        <v>51</v>
      </c>
      <c r="F12" s="5" t="s">
        <v>52</v>
      </c>
      <c r="G12" s="5" t="s">
        <v>53</v>
      </c>
      <c r="H12" s="5" t="s">
        <v>54</v>
      </c>
      <c r="I12" s="5" t="s">
        <v>55</v>
      </c>
      <c r="J12" s="5" t="s">
        <v>56</v>
      </c>
      <c r="K12" s="5" t="s">
        <v>57</v>
      </c>
      <c r="L12" s="5" t="s">
        <v>58</v>
      </c>
      <c r="M12" s="5" t="s">
        <v>59</v>
      </c>
      <c r="N12" s="31" t="s">
        <v>60</v>
      </c>
      <c r="O12" s="5" t="s">
        <v>61</v>
      </c>
      <c r="R12" s="1"/>
    </row>
    <row r="13" spans="1:20" ht="30" customHeight="1" x14ac:dyDescent="0.25">
      <c r="A13" s="45" t="s">
        <v>46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20" ht="30" customHeight="1" x14ac:dyDescent="0.25">
      <c r="A14" s="45" t="s">
        <v>43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</sheetData>
  <mergeCells count="3">
    <mergeCell ref="B4:O4"/>
    <mergeCell ref="Q6:T6"/>
    <mergeCell ref="B10:O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497F-0AE2-4751-9EA9-BEAEBF00E3C1}">
  <dimension ref="A1:T29"/>
  <sheetViews>
    <sheetView zoomScale="80" zoomScaleNormal="80" workbookViewId="0">
      <selection activeCell="T44" sqref="T44"/>
    </sheetView>
  </sheetViews>
  <sheetFormatPr baseColWidth="10" defaultColWidth="9.140625" defaultRowHeight="15" x14ac:dyDescent="0.25"/>
  <cols>
    <col min="1" max="1" width="18.7109375" customWidth="1"/>
    <col min="2" max="15" width="10.7109375" customWidth="1"/>
  </cols>
  <sheetData>
    <row r="1" spans="1:20" s="9" customFormat="1" ht="35.1" customHeight="1" x14ac:dyDescent="0.25">
      <c r="A1" s="28" t="s">
        <v>47</v>
      </c>
      <c r="B1" s="28" t="s">
        <v>65</v>
      </c>
      <c r="C1" s="29"/>
      <c r="D1" s="29"/>
      <c r="E1" s="29"/>
      <c r="F1" s="29"/>
      <c r="G1" s="29"/>
    </row>
    <row r="2" spans="1:20" ht="15.75" thickBot="1" x14ac:dyDescent="0.3"/>
    <row r="3" spans="1:20" ht="27.95" customHeight="1" thickBot="1" x14ac:dyDescent="0.3">
      <c r="A3" s="10" t="s">
        <v>19</v>
      </c>
    </row>
    <row r="4" spans="1:20" ht="27.95" customHeight="1" thickBot="1" x14ac:dyDescent="0.3">
      <c r="A4" s="11" t="s">
        <v>66</v>
      </c>
      <c r="B4" s="81" t="s">
        <v>21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3"/>
    </row>
    <row r="5" spans="1:20" ht="30" customHeight="1" x14ac:dyDescent="0.25">
      <c r="A5" s="6" t="s">
        <v>22</v>
      </c>
      <c r="B5" s="15">
        <v>43630</v>
      </c>
      <c r="C5" s="15">
        <v>43636</v>
      </c>
      <c r="D5" s="15">
        <v>43638</v>
      </c>
      <c r="E5" s="15">
        <v>43644</v>
      </c>
      <c r="F5" s="15">
        <v>43651</v>
      </c>
      <c r="G5" s="15">
        <v>43658</v>
      </c>
      <c r="H5" s="15">
        <v>43665</v>
      </c>
      <c r="I5" s="15">
        <v>43672</v>
      </c>
      <c r="J5" s="15">
        <v>43679</v>
      </c>
      <c r="K5" s="15">
        <v>43686</v>
      </c>
      <c r="L5" s="15">
        <v>43693</v>
      </c>
      <c r="M5" s="15">
        <v>43700</v>
      </c>
      <c r="N5" s="15">
        <v>43706</v>
      </c>
      <c r="O5" s="15">
        <v>43714</v>
      </c>
    </row>
    <row r="6" spans="1:20" ht="30" customHeight="1" x14ac:dyDescent="0.25">
      <c r="A6" s="13" t="s">
        <v>23</v>
      </c>
      <c r="B6" s="36" t="s">
        <v>24</v>
      </c>
      <c r="C6" s="37" t="s">
        <v>50</v>
      </c>
      <c r="D6" s="37" t="s">
        <v>26</v>
      </c>
      <c r="E6" s="37" t="s">
        <v>51</v>
      </c>
      <c r="F6" s="37" t="s">
        <v>52</v>
      </c>
      <c r="G6" s="37" t="s">
        <v>53</v>
      </c>
      <c r="H6" s="37" t="s">
        <v>54</v>
      </c>
      <c r="I6" s="37" t="s">
        <v>55</v>
      </c>
      <c r="J6" s="37" t="s">
        <v>56</v>
      </c>
      <c r="K6" s="37" t="s">
        <v>57</v>
      </c>
      <c r="L6" s="37" t="s">
        <v>58</v>
      </c>
      <c r="M6" s="37" t="s">
        <v>59</v>
      </c>
      <c r="N6" s="41" t="s">
        <v>60</v>
      </c>
      <c r="O6" s="37" t="s">
        <v>61</v>
      </c>
      <c r="Q6" s="92" t="s">
        <v>62</v>
      </c>
      <c r="R6" s="93"/>
      <c r="S6" s="93"/>
      <c r="T6" s="94"/>
    </row>
    <row r="7" spans="1:20" ht="30" customHeight="1" x14ac:dyDescent="0.25">
      <c r="A7" s="35" t="s">
        <v>39</v>
      </c>
      <c r="B7" s="2">
        <v>45</v>
      </c>
      <c r="C7" s="2">
        <v>29</v>
      </c>
      <c r="D7" s="2">
        <v>44</v>
      </c>
      <c r="E7" s="2">
        <v>64</v>
      </c>
      <c r="F7" s="2">
        <v>46</v>
      </c>
      <c r="G7" s="2">
        <v>36</v>
      </c>
      <c r="H7" s="2">
        <v>43</v>
      </c>
      <c r="I7" s="2">
        <v>40</v>
      </c>
      <c r="J7" s="2">
        <v>41</v>
      </c>
      <c r="K7" s="2">
        <v>43</v>
      </c>
      <c r="L7" s="2">
        <v>49</v>
      </c>
      <c r="M7" s="2">
        <v>49</v>
      </c>
      <c r="N7" s="31">
        <v>58</v>
      </c>
      <c r="O7" s="2">
        <v>66</v>
      </c>
    </row>
    <row r="8" spans="1:20" ht="30" customHeight="1" x14ac:dyDescent="0.25">
      <c r="A8" s="45" t="s">
        <v>67</v>
      </c>
      <c r="B8" s="2">
        <v>-27</v>
      </c>
      <c r="C8" s="2">
        <v>-96</v>
      </c>
      <c r="D8" s="2">
        <v>-99</v>
      </c>
      <c r="E8" s="2">
        <v>-100</v>
      </c>
      <c r="F8" s="2">
        <v>-99</v>
      </c>
      <c r="G8" s="2">
        <v>-98</v>
      </c>
      <c r="H8" s="2">
        <v>-97</v>
      </c>
      <c r="I8" s="2">
        <v>-91</v>
      </c>
      <c r="J8" s="2">
        <v>-96</v>
      </c>
      <c r="K8" s="2">
        <v>-96</v>
      </c>
      <c r="L8" s="2">
        <v>-97</v>
      </c>
      <c r="M8" s="2">
        <v>-78</v>
      </c>
      <c r="N8" s="31">
        <v>-49</v>
      </c>
      <c r="O8" s="2">
        <v>-91</v>
      </c>
    </row>
    <row r="9" spans="1:20" ht="15.75" thickBo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20" ht="27.95" customHeight="1" thickBot="1" x14ac:dyDescent="0.3">
      <c r="A10" s="3"/>
      <c r="B10" s="81" t="s">
        <v>41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3"/>
    </row>
    <row r="11" spans="1:20" ht="30" customHeight="1" x14ac:dyDescent="0.25">
      <c r="A11" s="6" t="s">
        <v>22</v>
      </c>
      <c r="B11" s="14">
        <v>43630</v>
      </c>
      <c r="C11" s="14">
        <v>43636</v>
      </c>
      <c r="D11" s="14">
        <v>43638</v>
      </c>
      <c r="E11" s="14">
        <v>43644</v>
      </c>
      <c r="F11" s="14">
        <v>43651</v>
      </c>
      <c r="G11" s="14">
        <v>43658</v>
      </c>
      <c r="H11" s="14">
        <v>43665</v>
      </c>
      <c r="I11" s="14">
        <v>43672</v>
      </c>
      <c r="J11" s="14">
        <v>43679</v>
      </c>
      <c r="K11" s="14">
        <v>43686</v>
      </c>
      <c r="L11" s="14">
        <v>43693</v>
      </c>
      <c r="M11" s="14">
        <v>43700</v>
      </c>
      <c r="N11" s="14">
        <v>43706</v>
      </c>
      <c r="O11" s="14">
        <v>43714</v>
      </c>
    </row>
    <row r="12" spans="1:20" ht="30" customHeight="1" x14ac:dyDescent="0.25">
      <c r="A12" s="13" t="s">
        <v>23</v>
      </c>
      <c r="B12" s="2" t="s">
        <v>24</v>
      </c>
      <c r="C12" s="5" t="s">
        <v>50</v>
      </c>
      <c r="D12" s="5" t="s">
        <v>26</v>
      </c>
      <c r="E12" s="5" t="s">
        <v>51</v>
      </c>
      <c r="F12" s="5" t="s">
        <v>52</v>
      </c>
      <c r="G12" s="5" t="s">
        <v>53</v>
      </c>
      <c r="H12" s="5" t="s">
        <v>54</v>
      </c>
      <c r="I12" s="5" t="s">
        <v>55</v>
      </c>
      <c r="J12" s="5" t="s">
        <v>56</v>
      </c>
      <c r="K12" s="5" t="s">
        <v>57</v>
      </c>
      <c r="L12" s="5" t="s">
        <v>58</v>
      </c>
      <c r="M12" s="5" t="s">
        <v>59</v>
      </c>
      <c r="N12" s="31" t="s">
        <v>60</v>
      </c>
      <c r="O12" s="5" t="s">
        <v>61</v>
      </c>
      <c r="R12" s="1"/>
    </row>
    <row r="13" spans="1:20" ht="30" customHeight="1" x14ac:dyDescent="0.25">
      <c r="A13" s="6" t="s">
        <v>68</v>
      </c>
      <c r="B13" s="68">
        <v>-56.874287134518603</v>
      </c>
      <c r="C13" s="67">
        <v>-60.788676388611698</v>
      </c>
      <c r="D13" s="67">
        <v>-63.853254121533503</v>
      </c>
      <c r="E13" s="67">
        <v>-66.771845678406905</v>
      </c>
      <c r="F13" s="67">
        <v>-65.557366281848999</v>
      </c>
      <c r="G13" s="67">
        <v>-64.633688896296306</v>
      </c>
      <c r="H13" s="67">
        <v>-63.699926173523401</v>
      </c>
      <c r="I13" s="67">
        <v>-62.407708336479899</v>
      </c>
      <c r="J13" s="67">
        <v>-61.141516774126501</v>
      </c>
      <c r="K13" s="67">
        <v>-60.165591780584002</v>
      </c>
      <c r="L13" s="67">
        <v>-59.438827221207298</v>
      </c>
      <c r="M13" s="67">
        <v>-58.820744470461101</v>
      </c>
      <c r="N13" s="58">
        <v>-58.218377577825301</v>
      </c>
      <c r="O13" s="68">
        <v>-57.539243856671</v>
      </c>
      <c r="R13" s="1"/>
    </row>
    <row r="14" spans="1:20" ht="30" customHeight="1" x14ac:dyDescent="0.25">
      <c r="A14" s="6" t="s">
        <v>43</v>
      </c>
      <c r="B14" s="38">
        <f>ABS(B13-B8)</f>
        <v>29.874287134518603</v>
      </c>
      <c r="C14" s="38">
        <f t="shared" ref="C14:O14" si="0">ABS(C13-C8)</f>
        <v>35.211323611388302</v>
      </c>
      <c r="D14" s="38">
        <f t="shared" si="0"/>
        <v>35.146745878466497</v>
      </c>
      <c r="E14" s="38">
        <f t="shared" si="0"/>
        <v>33.228154321593095</v>
      </c>
      <c r="F14" s="38">
        <f t="shared" si="0"/>
        <v>33.442633718151001</v>
      </c>
      <c r="G14" s="38">
        <f t="shared" si="0"/>
        <v>33.366311103703694</v>
      </c>
      <c r="H14" s="38">
        <f t="shared" si="0"/>
        <v>33.300073826476599</v>
      </c>
      <c r="I14" s="38">
        <f t="shared" si="0"/>
        <v>28.592291663520101</v>
      </c>
      <c r="J14" s="38">
        <f t="shared" si="0"/>
        <v>34.858483225873499</v>
      </c>
      <c r="K14" s="38">
        <f t="shared" si="0"/>
        <v>35.834408219415998</v>
      </c>
      <c r="L14" s="38">
        <f t="shared" si="0"/>
        <v>37.561172778792702</v>
      </c>
      <c r="M14" s="38">
        <f t="shared" si="0"/>
        <v>19.179255529538899</v>
      </c>
      <c r="N14" s="38">
        <f t="shared" si="0"/>
        <v>9.2183775778253008</v>
      </c>
      <c r="O14" s="38">
        <f t="shared" si="0"/>
        <v>33.460756143329</v>
      </c>
    </row>
    <row r="15" spans="1:20" ht="15" customHeight="1" x14ac:dyDescent="0.25"/>
    <row r="16" spans="1:20" ht="15" customHeight="1" x14ac:dyDescent="0.25"/>
    <row r="17" spans="1:20" ht="15" customHeight="1" x14ac:dyDescent="0.25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spans="1:20" ht="15" customHeight="1" x14ac:dyDescent="0.25"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1:20" ht="15" customHeight="1" x14ac:dyDescent="0.25">
      <c r="A19" s="2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Q19" s="91"/>
      <c r="R19" s="91"/>
      <c r="S19" s="91"/>
      <c r="T19" s="91"/>
    </row>
    <row r="20" spans="1:20" ht="15" customHeight="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20" ht="1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20" ht="15" customHeight="1" x14ac:dyDescent="0.25">
      <c r="A22" s="3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pans="1:20" ht="15" customHeight="1" x14ac:dyDescent="0.25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  <row r="24" spans="1:20" ht="15" customHeight="1" x14ac:dyDescent="0.25">
      <c r="A24" s="2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20" ht="15" customHeight="1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20" ht="15" customHeight="1" x14ac:dyDescent="0.25"/>
    <row r="27" spans="1:20" ht="15" customHeight="1" x14ac:dyDescent="0.25"/>
    <row r="28" spans="1:20" ht="15" customHeight="1" x14ac:dyDescent="0.25"/>
    <row r="29" spans="1:20" ht="15" customHeight="1" x14ac:dyDescent="0.25"/>
  </sheetData>
  <mergeCells count="4">
    <mergeCell ref="B4:O4"/>
    <mergeCell ref="B10:O10"/>
    <mergeCell ref="Q6:T6"/>
    <mergeCell ref="Q19:T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3B93-9DA5-4FC6-BBC3-F5CEC41B30AA}">
  <dimension ref="A1:T13"/>
  <sheetViews>
    <sheetView zoomScale="80" zoomScaleNormal="80" workbookViewId="0">
      <selection activeCell="U39" sqref="U39"/>
    </sheetView>
  </sheetViews>
  <sheetFormatPr baseColWidth="10" defaultColWidth="9.140625" defaultRowHeight="15" x14ac:dyDescent="0.25"/>
  <cols>
    <col min="1" max="1" width="18.7109375" style="23" customWidth="1"/>
    <col min="2" max="15" width="10.7109375" customWidth="1"/>
  </cols>
  <sheetData>
    <row r="1" spans="1:20" ht="15.75" thickBot="1" x14ac:dyDescent="0.3"/>
    <row r="2" spans="1:20" ht="27.95" customHeight="1" thickBot="1" x14ac:dyDescent="0.3">
      <c r="A2" s="10" t="s">
        <v>19</v>
      </c>
    </row>
    <row r="3" spans="1:20" ht="27.95" customHeight="1" thickBot="1" x14ac:dyDescent="0.3">
      <c r="A3" s="50" t="s">
        <v>69</v>
      </c>
      <c r="B3" s="81" t="s">
        <v>21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3"/>
    </row>
    <row r="4" spans="1:20" ht="30" customHeight="1" x14ac:dyDescent="0.25">
      <c r="A4" s="45" t="s">
        <v>22</v>
      </c>
      <c r="B4" s="14">
        <v>43630</v>
      </c>
      <c r="C4" s="14">
        <v>43636</v>
      </c>
      <c r="D4" s="14">
        <v>43638</v>
      </c>
      <c r="E4" s="14">
        <v>43644</v>
      </c>
      <c r="F4" s="14">
        <v>43651</v>
      </c>
      <c r="G4" s="14">
        <v>43658</v>
      </c>
      <c r="H4" s="14">
        <v>43665</v>
      </c>
      <c r="I4" s="14">
        <v>43672</v>
      </c>
      <c r="J4" s="14">
        <v>43679</v>
      </c>
      <c r="K4" s="14">
        <v>43686</v>
      </c>
      <c r="L4" s="14">
        <v>43693</v>
      </c>
      <c r="M4" s="14">
        <v>43700</v>
      </c>
      <c r="N4" s="14">
        <v>43706</v>
      </c>
      <c r="O4" s="14">
        <v>43714</v>
      </c>
    </row>
    <row r="5" spans="1:20" ht="30" customHeight="1" x14ac:dyDescent="0.25">
      <c r="A5" s="13" t="s">
        <v>23</v>
      </c>
      <c r="B5" s="36" t="s">
        <v>24</v>
      </c>
      <c r="C5" s="36" t="s">
        <v>50</v>
      </c>
      <c r="D5" s="36" t="s">
        <v>26</v>
      </c>
      <c r="E5" s="36" t="s">
        <v>51</v>
      </c>
      <c r="F5" s="36" t="s">
        <v>52</v>
      </c>
      <c r="G5" s="37" t="s">
        <v>53</v>
      </c>
      <c r="H5" s="37" t="s">
        <v>54</v>
      </c>
      <c r="I5" s="37" t="s">
        <v>55</v>
      </c>
      <c r="J5" s="37" t="s">
        <v>56</v>
      </c>
      <c r="K5" s="37" t="s">
        <v>57</v>
      </c>
      <c r="L5" s="37" t="s">
        <v>58</v>
      </c>
      <c r="M5" s="37" t="s">
        <v>59</v>
      </c>
      <c r="N5" s="37" t="s">
        <v>60</v>
      </c>
      <c r="O5" s="37" t="s">
        <v>61</v>
      </c>
      <c r="Q5" s="92" t="s">
        <v>70</v>
      </c>
      <c r="R5" s="93"/>
      <c r="S5" s="93"/>
      <c r="T5" s="94"/>
    </row>
    <row r="6" spans="1:20" ht="30" customHeight="1" x14ac:dyDescent="0.25">
      <c r="A6" s="51" t="s">
        <v>39</v>
      </c>
      <c r="B6" s="2">
        <v>71</v>
      </c>
      <c r="C6" s="2">
        <v>73</v>
      </c>
      <c r="D6" s="2">
        <v>75</v>
      </c>
      <c r="E6" s="2">
        <v>86</v>
      </c>
      <c r="F6" s="2">
        <v>57</v>
      </c>
      <c r="G6" s="2">
        <v>54</v>
      </c>
      <c r="H6" s="2">
        <v>56</v>
      </c>
      <c r="I6" s="2">
        <v>52</v>
      </c>
      <c r="J6" s="2">
        <v>64</v>
      </c>
      <c r="K6" s="2">
        <v>67</v>
      </c>
      <c r="L6" s="2">
        <v>69</v>
      </c>
      <c r="M6" s="2">
        <v>66</v>
      </c>
      <c r="N6" s="2">
        <v>71</v>
      </c>
      <c r="O6" s="2">
        <v>63</v>
      </c>
    </row>
    <row r="7" spans="1:20" ht="30" customHeight="1" x14ac:dyDescent="0.25">
      <c r="A7" s="45" t="s">
        <v>40</v>
      </c>
      <c r="B7" s="2">
        <v>-32</v>
      </c>
      <c r="C7" s="2">
        <v>58</v>
      </c>
      <c r="D7" s="2">
        <v>56</v>
      </c>
      <c r="E7" s="2">
        <v>119</v>
      </c>
      <c r="F7" s="2">
        <v>156</v>
      </c>
      <c r="G7" s="2">
        <v>251</v>
      </c>
      <c r="H7" s="2">
        <v>249</v>
      </c>
      <c r="I7" s="2">
        <v>317</v>
      </c>
      <c r="J7" s="2">
        <v>584</v>
      </c>
      <c r="K7" s="2">
        <v>337</v>
      </c>
      <c r="L7" s="2">
        <v>159</v>
      </c>
      <c r="M7" s="2">
        <v>167</v>
      </c>
      <c r="N7" s="2">
        <v>446</v>
      </c>
      <c r="O7" s="2">
        <v>230</v>
      </c>
    </row>
    <row r="8" spans="1:20" ht="15.75" thickBot="1" x14ac:dyDescent="0.3">
      <c r="A8" s="47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20" ht="27.95" customHeight="1" thickBot="1" x14ac:dyDescent="0.3">
      <c r="A9" s="47"/>
      <c r="B9" s="81" t="s">
        <v>41</v>
      </c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3"/>
    </row>
    <row r="10" spans="1:20" ht="30" customHeight="1" x14ac:dyDescent="0.25">
      <c r="A10" s="45" t="s">
        <v>22</v>
      </c>
      <c r="B10" s="14">
        <v>43630</v>
      </c>
      <c r="C10" s="14">
        <v>43636</v>
      </c>
      <c r="D10" s="14">
        <v>43638</v>
      </c>
      <c r="E10" s="14">
        <v>43644</v>
      </c>
      <c r="F10" s="14">
        <v>43651</v>
      </c>
      <c r="G10" s="14">
        <v>43658</v>
      </c>
      <c r="H10" s="14">
        <v>43665</v>
      </c>
      <c r="I10" s="14">
        <v>43672</v>
      </c>
      <c r="J10" s="14">
        <v>43679</v>
      </c>
      <c r="K10" s="14">
        <v>43686</v>
      </c>
      <c r="L10" s="14">
        <v>43693</v>
      </c>
      <c r="M10" s="14">
        <v>43700</v>
      </c>
      <c r="N10" s="14">
        <v>43706</v>
      </c>
      <c r="O10" s="14">
        <v>43714</v>
      </c>
    </row>
    <row r="11" spans="1:20" ht="30" customHeight="1" x14ac:dyDescent="0.25">
      <c r="A11" s="13" t="s">
        <v>23</v>
      </c>
      <c r="B11" s="2" t="s">
        <v>24</v>
      </c>
      <c r="C11" s="2" t="s">
        <v>50</v>
      </c>
      <c r="D11" s="2" t="s">
        <v>26</v>
      </c>
      <c r="E11" s="2" t="s">
        <v>51</v>
      </c>
      <c r="F11" s="2" t="s">
        <v>52</v>
      </c>
      <c r="G11" s="5" t="s">
        <v>53</v>
      </c>
      <c r="H11" s="5" t="s">
        <v>54</v>
      </c>
      <c r="I11" s="5" t="s">
        <v>55</v>
      </c>
      <c r="J11" s="5" t="s">
        <v>56</v>
      </c>
      <c r="K11" s="5" t="s">
        <v>57</v>
      </c>
      <c r="L11" s="5" t="s">
        <v>58</v>
      </c>
      <c r="M11" s="5" t="s">
        <v>59</v>
      </c>
      <c r="N11" s="5" t="s">
        <v>60</v>
      </c>
      <c r="O11" s="5" t="s">
        <v>61</v>
      </c>
      <c r="R11" s="1"/>
    </row>
    <row r="12" spans="1:20" ht="30" customHeight="1" x14ac:dyDescent="0.25">
      <c r="A12" s="45" t="s">
        <v>46</v>
      </c>
      <c r="B12" s="67">
        <v>5.05065252297267</v>
      </c>
      <c r="C12" s="67">
        <v>11.3196493271693</v>
      </c>
      <c r="D12" s="67">
        <v>13.903108001849599</v>
      </c>
      <c r="E12" s="67">
        <v>24.127692948825999</v>
      </c>
      <c r="F12" s="67">
        <v>34.895355292144501</v>
      </c>
      <c r="G12" s="68">
        <v>42.166457244485599</v>
      </c>
      <c r="H12" s="68">
        <v>49.1191711570658</v>
      </c>
      <c r="I12" s="67">
        <v>58.447303537370701</v>
      </c>
      <c r="J12" s="67">
        <v>67.481649465657298</v>
      </c>
      <c r="K12" s="67">
        <v>73.958470366925596</v>
      </c>
      <c r="L12" s="67">
        <v>77.941825735560002</v>
      </c>
      <c r="M12" s="67">
        <v>81.778061047051295</v>
      </c>
      <c r="N12" s="67">
        <v>85.620017888333507</v>
      </c>
      <c r="O12" s="67">
        <v>89.990300882112706</v>
      </c>
      <c r="R12" s="1"/>
    </row>
    <row r="13" spans="1:20" ht="30" customHeight="1" x14ac:dyDescent="0.25">
      <c r="A13" s="45" t="s">
        <v>43</v>
      </c>
      <c r="B13" s="38">
        <f>ABS(B12-B7)</f>
        <v>37.050652522972669</v>
      </c>
      <c r="C13" s="38">
        <f t="shared" ref="C13:O13" si="0">ABS(C12-C7)</f>
        <v>46.680350672830698</v>
      </c>
      <c r="D13" s="38">
        <f t="shared" si="0"/>
        <v>42.096891998150397</v>
      </c>
      <c r="E13" s="38">
        <f t="shared" si="0"/>
        <v>94.872307051174005</v>
      </c>
      <c r="F13" s="38">
        <f t="shared" si="0"/>
        <v>121.1046447078555</v>
      </c>
      <c r="G13" s="38">
        <f t="shared" si="0"/>
        <v>208.8335427555144</v>
      </c>
      <c r="H13" s="38">
        <f t="shared" si="0"/>
        <v>199.88082884293419</v>
      </c>
      <c r="I13" s="38">
        <f t="shared" si="0"/>
        <v>258.55269646262929</v>
      </c>
      <c r="J13" s="38">
        <f t="shared" si="0"/>
        <v>516.51835053434274</v>
      </c>
      <c r="K13" s="38">
        <f t="shared" si="0"/>
        <v>263.04152963307439</v>
      </c>
      <c r="L13" s="38">
        <f t="shared" si="0"/>
        <v>81.058174264439998</v>
      </c>
      <c r="M13" s="38">
        <f t="shared" si="0"/>
        <v>85.221938952948705</v>
      </c>
      <c r="N13" s="38">
        <f t="shared" si="0"/>
        <v>360.37998211166649</v>
      </c>
      <c r="O13" s="38">
        <f t="shared" si="0"/>
        <v>140.00969911788729</v>
      </c>
    </row>
  </sheetData>
  <mergeCells count="3">
    <mergeCell ref="B3:O3"/>
    <mergeCell ref="B9:O9"/>
    <mergeCell ref="Q5:T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6FAD-5BC8-446B-860F-047479B24EE9}">
  <dimension ref="A1:T13"/>
  <sheetViews>
    <sheetView zoomScale="70" zoomScaleNormal="70" workbookViewId="0">
      <selection activeCell="T50" sqref="T50"/>
    </sheetView>
  </sheetViews>
  <sheetFormatPr baseColWidth="10" defaultColWidth="9.140625" defaultRowHeight="15" x14ac:dyDescent="0.25"/>
  <cols>
    <col min="1" max="1" width="25.28515625" customWidth="1"/>
    <col min="2" max="15" width="10.7109375" customWidth="1"/>
    <col min="16" max="16" width="8.85546875" customWidth="1"/>
  </cols>
  <sheetData>
    <row r="1" spans="1:20" ht="15.75" thickBot="1" x14ac:dyDescent="0.3"/>
    <row r="2" spans="1:20" ht="27.95" customHeight="1" thickBot="1" x14ac:dyDescent="0.3">
      <c r="A2" s="10" t="s">
        <v>19</v>
      </c>
    </row>
    <row r="3" spans="1:20" ht="27.95" customHeight="1" thickBot="1" x14ac:dyDescent="0.3">
      <c r="A3" s="11" t="s">
        <v>71</v>
      </c>
      <c r="B3" s="81" t="s">
        <v>21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3"/>
    </row>
    <row r="4" spans="1:20" ht="30" customHeight="1" x14ac:dyDescent="0.25">
      <c r="A4" s="6" t="s">
        <v>22</v>
      </c>
      <c r="B4" s="14">
        <v>43630</v>
      </c>
      <c r="C4" s="14">
        <v>43636</v>
      </c>
      <c r="D4" s="14">
        <v>43638</v>
      </c>
      <c r="E4" s="14">
        <v>43644</v>
      </c>
      <c r="F4" s="14">
        <v>43651</v>
      </c>
      <c r="G4" s="14">
        <v>43658</v>
      </c>
      <c r="H4" s="14">
        <v>43665</v>
      </c>
      <c r="I4" s="14">
        <v>43672</v>
      </c>
      <c r="J4" s="14">
        <v>43679</v>
      </c>
      <c r="K4" s="14">
        <v>43686</v>
      </c>
      <c r="L4" s="14">
        <v>43693</v>
      </c>
      <c r="M4" s="14">
        <v>43700</v>
      </c>
      <c r="N4" s="14">
        <v>43706</v>
      </c>
      <c r="O4" s="14">
        <v>43714</v>
      </c>
    </row>
    <row r="5" spans="1:20" ht="30" customHeight="1" x14ac:dyDescent="0.25">
      <c r="A5" s="13" t="s">
        <v>23</v>
      </c>
      <c r="B5" s="36" t="s">
        <v>24</v>
      </c>
      <c r="C5" s="37" t="s">
        <v>50</v>
      </c>
      <c r="D5" s="37" t="s">
        <v>26</v>
      </c>
      <c r="E5" s="36" t="s">
        <v>51</v>
      </c>
      <c r="F5" s="36" t="s">
        <v>52</v>
      </c>
      <c r="G5" s="36" t="s">
        <v>53</v>
      </c>
      <c r="H5" s="36" t="s">
        <v>54</v>
      </c>
      <c r="I5" s="36" t="s">
        <v>55</v>
      </c>
      <c r="J5" s="36" t="s">
        <v>56</v>
      </c>
      <c r="K5" s="36" t="s">
        <v>57</v>
      </c>
      <c r="L5" s="36" t="s">
        <v>58</v>
      </c>
      <c r="M5" s="56" t="s">
        <v>59</v>
      </c>
      <c r="N5" s="36" t="s">
        <v>60</v>
      </c>
      <c r="O5" s="36" t="s">
        <v>61</v>
      </c>
      <c r="Q5" s="92" t="s">
        <v>70</v>
      </c>
      <c r="R5" s="93"/>
      <c r="S5" s="93"/>
      <c r="T5" s="94"/>
    </row>
    <row r="6" spans="1:20" ht="30" customHeight="1" x14ac:dyDescent="0.25">
      <c r="A6" s="35" t="s">
        <v>39</v>
      </c>
      <c r="B6" s="2">
        <v>56</v>
      </c>
      <c r="C6" s="2">
        <v>60</v>
      </c>
      <c r="D6" s="2">
        <v>86</v>
      </c>
      <c r="E6" s="2">
        <v>75</v>
      </c>
      <c r="F6" s="2">
        <v>67</v>
      </c>
      <c r="G6" s="2">
        <v>66</v>
      </c>
      <c r="H6" s="2">
        <v>82</v>
      </c>
      <c r="I6" s="2">
        <v>67</v>
      </c>
      <c r="J6" s="2">
        <v>62</v>
      </c>
      <c r="K6" s="2">
        <v>76</v>
      </c>
      <c r="L6" s="2">
        <v>93</v>
      </c>
      <c r="M6" s="39">
        <v>83</v>
      </c>
      <c r="N6" s="2">
        <v>78</v>
      </c>
      <c r="O6" s="2">
        <v>80</v>
      </c>
    </row>
    <row r="7" spans="1:20" ht="30" customHeight="1" x14ac:dyDescent="0.25">
      <c r="A7" s="6" t="s">
        <v>40</v>
      </c>
      <c r="B7" s="2">
        <v>19</v>
      </c>
      <c r="C7" s="2">
        <v>262</v>
      </c>
      <c r="D7" s="2">
        <v>220</v>
      </c>
      <c r="E7" s="2">
        <v>63</v>
      </c>
      <c r="F7" s="2">
        <v>6</v>
      </c>
      <c r="G7" s="2">
        <v>112</v>
      </c>
      <c r="H7" s="2">
        <v>87</v>
      </c>
      <c r="I7" s="2">
        <v>14</v>
      </c>
      <c r="J7" s="2">
        <v>101</v>
      </c>
      <c r="K7" s="2">
        <v>-98</v>
      </c>
      <c r="L7" s="2">
        <v>-72</v>
      </c>
      <c r="M7" s="46">
        <v>17</v>
      </c>
      <c r="N7" s="2">
        <v>22</v>
      </c>
      <c r="O7" s="2">
        <v>-66</v>
      </c>
    </row>
    <row r="8" spans="1:20" ht="15.75" thickBo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20" ht="27.95" customHeight="1" thickBot="1" x14ac:dyDescent="0.3">
      <c r="A9" s="3"/>
      <c r="B9" s="81" t="s">
        <v>41</v>
      </c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3"/>
    </row>
    <row r="10" spans="1:20" ht="30" customHeight="1" x14ac:dyDescent="0.25">
      <c r="A10" s="6" t="s">
        <v>22</v>
      </c>
      <c r="B10" s="14">
        <v>43630</v>
      </c>
      <c r="C10" s="14">
        <v>43636</v>
      </c>
      <c r="D10" s="14">
        <v>43638</v>
      </c>
      <c r="E10" s="14">
        <v>43644</v>
      </c>
      <c r="F10" s="14">
        <v>43651</v>
      </c>
      <c r="G10" s="14">
        <v>43658</v>
      </c>
      <c r="H10" s="14">
        <v>43665</v>
      </c>
      <c r="I10" s="14">
        <v>43672</v>
      </c>
      <c r="J10" s="14">
        <v>43679</v>
      </c>
      <c r="K10" s="14">
        <v>43686</v>
      </c>
      <c r="L10" s="14">
        <v>43693</v>
      </c>
      <c r="M10" s="14">
        <v>43700</v>
      </c>
      <c r="N10" s="14">
        <v>43706</v>
      </c>
      <c r="O10" s="14">
        <v>43714</v>
      </c>
    </row>
    <row r="11" spans="1:20" ht="30" customHeight="1" x14ac:dyDescent="0.25">
      <c r="A11" s="13" t="s">
        <v>23</v>
      </c>
      <c r="B11" s="2" t="s">
        <v>24</v>
      </c>
      <c r="C11" s="5" t="s">
        <v>50</v>
      </c>
      <c r="D11" s="5" t="s">
        <v>26</v>
      </c>
      <c r="E11" s="2" t="s">
        <v>51</v>
      </c>
      <c r="F11" s="2" t="s">
        <v>52</v>
      </c>
      <c r="G11" s="2" t="s">
        <v>53</v>
      </c>
      <c r="H11" s="2" t="s">
        <v>54</v>
      </c>
      <c r="I11" s="2" t="s">
        <v>55</v>
      </c>
      <c r="J11" s="2" t="s">
        <v>56</v>
      </c>
      <c r="K11" s="2" t="s">
        <v>57</v>
      </c>
      <c r="L11" s="2" t="s">
        <v>58</v>
      </c>
      <c r="M11" s="55" t="s">
        <v>59</v>
      </c>
      <c r="N11" s="2" t="s">
        <v>60</v>
      </c>
      <c r="O11" s="2" t="s">
        <v>61</v>
      </c>
      <c r="R11" s="1"/>
    </row>
    <row r="12" spans="1:20" ht="30" customHeight="1" x14ac:dyDescent="0.25">
      <c r="A12" s="6" t="s">
        <v>46</v>
      </c>
      <c r="B12" s="67">
        <v>1.0382777425135801</v>
      </c>
      <c r="C12" s="68">
        <v>2.00425090962232</v>
      </c>
      <c r="D12" s="68">
        <v>2.3933933348776</v>
      </c>
      <c r="E12" s="67">
        <v>3.9107778106577902</v>
      </c>
      <c r="F12" s="67">
        <v>5.5725786356397</v>
      </c>
      <c r="G12" s="67">
        <v>6.7805058811527097</v>
      </c>
      <c r="H12" s="67">
        <v>7.9942277412106497</v>
      </c>
      <c r="I12" s="67">
        <v>9.7003732727818601</v>
      </c>
      <c r="J12" s="67">
        <v>11.436588335850701</v>
      </c>
      <c r="K12" s="67">
        <v>12.8684881798688</v>
      </c>
      <c r="L12" s="67">
        <v>14.037716767990499</v>
      </c>
      <c r="M12" s="67">
        <v>15.100793263352999</v>
      </c>
      <c r="N12" s="67">
        <v>16.2015701241031</v>
      </c>
      <c r="O12" s="67">
        <v>17.532100360941001</v>
      </c>
      <c r="R12" s="1"/>
    </row>
    <row r="13" spans="1:20" ht="30" customHeight="1" x14ac:dyDescent="0.25">
      <c r="A13" s="6" t="s">
        <v>43</v>
      </c>
      <c r="B13" s="38">
        <f>ABS(B12-B7)</f>
        <v>17.961722257486421</v>
      </c>
      <c r="C13" s="38">
        <f t="shared" ref="C13:O13" si="0">ABS(C12-C7)</f>
        <v>259.99574909037767</v>
      </c>
      <c r="D13" s="38">
        <f t="shared" si="0"/>
        <v>217.6066066651224</v>
      </c>
      <c r="E13" s="38">
        <f t="shared" si="0"/>
        <v>59.089222189342209</v>
      </c>
      <c r="F13" s="38">
        <f t="shared" si="0"/>
        <v>0.42742136436029998</v>
      </c>
      <c r="G13" s="38">
        <f t="shared" si="0"/>
        <v>105.21949411884729</v>
      </c>
      <c r="H13" s="38">
        <f t="shared" si="0"/>
        <v>79.005772258789349</v>
      </c>
      <c r="I13" s="38">
        <f t="shared" si="0"/>
        <v>4.2996267272181399</v>
      </c>
      <c r="J13" s="38">
        <f t="shared" si="0"/>
        <v>89.563411664149299</v>
      </c>
      <c r="K13" s="38">
        <f t="shared" si="0"/>
        <v>110.86848817986881</v>
      </c>
      <c r="L13" s="38">
        <f t="shared" si="0"/>
        <v>86.037716767990503</v>
      </c>
      <c r="M13" s="38">
        <f t="shared" si="0"/>
        <v>1.8992067366470007</v>
      </c>
      <c r="N13" s="38">
        <f t="shared" si="0"/>
        <v>5.7984298758969004</v>
      </c>
      <c r="O13" s="38">
        <f t="shared" si="0"/>
        <v>83.532100360941001</v>
      </c>
    </row>
  </sheetData>
  <mergeCells count="3">
    <mergeCell ref="B3:O3"/>
    <mergeCell ref="B9:O9"/>
    <mergeCell ref="Q5:T5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D8D1-39D9-4530-A288-66AB9C6F6D71}">
  <dimension ref="A1:T61"/>
  <sheetViews>
    <sheetView zoomScale="70" zoomScaleNormal="70" workbookViewId="0">
      <selection activeCell="V84" sqref="V84"/>
    </sheetView>
  </sheetViews>
  <sheetFormatPr baseColWidth="10" defaultColWidth="9.140625" defaultRowHeight="15" x14ac:dyDescent="0.25"/>
  <cols>
    <col min="1" max="1" width="18.7109375" customWidth="1"/>
    <col min="2" max="15" width="10.7109375" customWidth="1"/>
  </cols>
  <sheetData>
    <row r="1" spans="1:20" ht="15.75" thickBot="1" x14ac:dyDescent="0.3"/>
    <row r="2" spans="1:20" ht="27.95" customHeight="1" thickBot="1" x14ac:dyDescent="0.3">
      <c r="A2" s="10" t="s">
        <v>19</v>
      </c>
    </row>
    <row r="3" spans="1:20" ht="27.95" customHeight="1" thickBot="1" x14ac:dyDescent="0.3">
      <c r="A3" s="11" t="s">
        <v>72</v>
      </c>
      <c r="B3" s="81" t="s">
        <v>21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3"/>
    </row>
    <row r="4" spans="1:20" ht="30" customHeight="1" x14ac:dyDescent="0.25">
      <c r="A4" s="6" t="s">
        <v>22</v>
      </c>
      <c r="B4" s="14">
        <v>43630</v>
      </c>
      <c r="C4" s="14">
        <v>43636</v>
      </c>
      <c r="D4" s="14">
        <v>43638</v>
      </c>
      <c r="E4" s="14">
        <v>43644</v>
      </c>
      <c r="F4" s="14">
        <v>43651</v>
      </c>
      <c r="G4" s="14">
        <v>43658</v>
      </c>
      <c r="H4" s="14">
        <v>43665</v>
      </c>
      <c r="I4" s="14">
        <v>43672</v>
      </c>
      <c r="J4" s="14">
        <v>43679</v>
      </c>
      <c r="K4" s="14">
        <v>43686</v>
      </c>
      <c r="L4" s="14">
        <v>43693</v>
      </c>
      <c r="M4" s="14">
        <v>43700</v>
      </c>
      <c r="N4" s="14">
        <v>43706</v>
      </c>
      <c r="O4" s="14">
        <v>43714</v>
      </c>
    </row>
    <row r="5" spans="1:20" ht="30" customHeight="1" x14ac:dyDescent="0.25">
      <c r="A5" s="13" t="s">
        <v>23</v>
      </c>
      <c r="B5" s="37" t="s">
        <v>24</v>
      </c>
      <c r="C5" s="37" t="s">
        <v>50</v>
      </c>
      <c r="D5" s="37" t="s">
        <v>26</v>
      </c>
      <c r="E5" s="37" t="s">
        <v>51</v>
      </c>
      <c r="F5" s="36" t="s">
        <v>52</v>
      </c>
      <c r="G5" s="36" t="s">
        <v>53</v>
      </c>
      <c r="H5" s="36" t="s">
        <v>54</v>
      </c>
      <c r="I5" s="36" t="s">
        <v>55</v>
      </c>
      <c r="J5" s="36" t="s">
        <v>56</v>
      </c>
      <c r="K5" s="36" t="s">
        <v>57</v>
      </c>
      <c r="L5" s="36" t="s">
        <v>58</v>
      </c>
      <c r="M5" s="56" t="s">
        <v>59</v>
      </c>
      <c r="N5" s="36" t="s">
        <v>60</v>
      </c>
      <c r="O5" s="36" t="s">
        <v>61</v>
      </c>
      <c r="Q5" s="92" t="s">
        <v>62</v>
      </c>
      <c r="R5" s="93"/>
      <c r="S5" s="93"/>
      <c r="T5" s="94"/>
    </row>
    <row r="6" spans="1:20" ht="30" customHeight="1" x14ac:dyDescent="0.25">
      <c r="A6" s="35" t="s">
        <v>39</v>
      </c>
      <c r="B6" s="2">
        <v>56</v>
      </c>
      <c r="C6" s="2">
        <v>75</v>
      </c>
      <c r="D6" s="2">
        <v>56</v>
      </c>
      <c r="E6" s="2">
        <v>64</v>
      </c>
      <c r="F6" s="2">
        <v>90</v>
      </c>
      <c r="G6" s="2">
        <v>78</v>
      </c>
      <c r="H6" s="2">
        <v>79</v>
      </c>
      <c r="I6" s="2">
        <v>65</v>
      </c>
      <c r="J6" s="2">
        <v>64</v>
      </c>
      <c r="K6" s="2">
        <v>78</v>
      </c>
      <c r="L6" s="2">
        <v>64</v>
      </c>
      <c r="M6" s="39">
        <v>60</v>
      </c>
      <c r="N6" s="2">
        <v>72</v>
      </c>
      <c r="O6" s="2">
        <v>65</v>
      </c>
    </row>
    <row r="7" spans="1:20" ht="30" customHeight="1" x14ac:dyDescent="0.25">
      <c r="A7" s="45" t="s">
        <v>40</v>
      </c>
      <c r="B7" s="2">
        <v>-77</v>
      </c>
      <c r="C7" s="2">
        <v>-92</v>
      </c>
      <c r="D7" s="2">
        <v>-95</v>
      </c>
      <c r="E7" s="2">
        <v>-95</v>
      </c>
      <c r="F7" s="2">
        <v>-91</v>
      </c>
      <c r="G7" s="2">
        <v>-85</v>
      </c>
      <c r="H7" s="2">
        <v>-84</v>
      </c>
      <c r="I7" s="2">
        <v>-10</v>
      </c>
      <c r="J7" s="2">
        <v>-35</v>
      </c>
      <c r="K7" s="2">
        <v>-17</v>
      </c>
      <c r="L7" s="2">
        <v>25</v>
      </c>
      <c r="M7" s="46">
        <v>-2</v>
      </c>
      <c r="N7" s="2">
        <v>99</v>
      </c>
      <c r="O7" s="2">
        <v>-26</v>
      </c>
    </row>
    <row r="8" spans="1:20" ht="15.75" thickBo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20" ht="27.95" customHeight="1" thickBot="1" x14ac:dyDescent="0.3">
      <c r="A9" s="3"/>
      <c r="B9" s="81" t="s">
        <v>41</v>
      </c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3"/>
    </row>
    <row r="10" spans="1:20" ht="30" customHeight="1" x14ac:dyDescent="0.25">
      <c r="A10" s="6" t="s">
        <v>22</v>
      </c>
      <c r="B10" s="14">
        <v>43630</v>
      </c>
      <c r="C10" s="14">
        <v>43636</v>
      </c>
      <c r="D10" s="14">
        <v>43638</v>
      </c>
      <c r="E10" s="14">
        <v>43644</v>
      </c>
      <c r="F10" s="14">
        <v>43651</v>
      </c>
      <c r="G10" s="14">
        <v>43658</v>
      </c>
      <c r="H10" s="14">
        <v>43665</v>
      </c>
      <c r="I10" s="14">
        <v>43672</v>
      </c>
      <c r="J10" s="14">
        <v>43679</v>
      </c>
      <c r="K10" s="14">
        <v>43686</v>
      </c>
      <c r="L10" s="14">
        <v>43693</v>
      </c>
      <c r="M10" s="14">
        <v>43700</v>
      </c>
      <c r="N10" s="14">
        <v>43706</v>
      </c>
      <c r="O10" s="14">
        <v>43714</v>
      </c>
    </row>
    <row r="11" spans="1:20" ht="30" customHeight="1" x14ac:dyDescent="0.25">
      <c r="A11" s="13" t="s">
        <v>23</v>
      </c>
      <c r="B11" s="5" t="s">
        <v>24</v>
      </c>
      <c r="C11" s="5" t="s">
        <v>50</v>
      </c>
      <c r="D11" s="5" t="s">
        <v>26</v>
      </c>
      <c r="E11" s="5" t="s">
        <v>51</v>
      </c>
      <c r="F11" s="2" t="s">
        <v>52</v>
      </c>
      <c r="G11" s="2" t="s">
        <v>53</v>
      </c>
      <c r="H11" s="2" t="s">
        <v>54</v>
      </c>
      <c r="I11" s="2" t="s">
        <v>55</v>
      </c>
      <c r="J11" s="2" t="s">
        <v>56</v>
      </c>
      <c r="K11" s="2" t="s">
        <v>57</v>
      </c>
      <c r="L11" s="2" t="s">
        <v>58</v>
      </c>
      <c r="M11" s="55" t="s">
        <v>59</v>
      </c>
      <c r="N11" s="2" t="s">
        <v>60</v>
      </c>
      <c r="O11" s="2" t="s">
        <v>61</v>
      </c>
      <c r="R11" s="1"/>
    </row>
    <row r="12" spans="1:20" ht="30" customHeight="1" x14ac:dyDescent="0.25">
      <c r="A12" s="6" t="s">
        <v>46</v>
      </c>
      <c r="B12" s="68">
        <v>-53.117043555344701</v>
      </c>
      <c r="C12" s="68">
        <v>-57.031116982514298</v>
      </c>
      <c r="D12" s="67">
        <v>-60.1640453086588</v>
      </c>
      <c r="E12" s="68">
        <v>-63.4886182391528</v>
      </c>
      <c r="F12" s="67">
        <v>-62.855417887478701</v>
      </c>
      <c r="G12" s="67">
        <v>-62.402198310346499</v>
      </c>
      <c r="H12" s="67">
        <v>-61.946396203343298</v>
      </c>
      <c r="I12" s="67">
        <v>-61.302960820085701</v>
      </c>
      <c r="J12" s="67">
        <v>-60.644656653664001</v>
      </c>
      <c r="K12" s="67">
        <v>-60.094101213539297</v>
      </c>
      <c r="L12" s="67">
        <v>-59.636121997680902</v>
      </c>
      <c r="M12" s="68">
        <v>-59.217793520709797</v>
      </c>
      <c r="N12" s="67">
        <v>-58.783666394858102</v>
      </c>
      <c r="O12" s="67">
        <v>-58.259745646328902</v>
      </c>
      <c r="R12" s="1"/>
    </row>
    <row r="13" spans="1:20" ht="30" customHeight="1" x14ac:dyDescent="0.25">
      <c r="A13" s="6" t="s">
        <v>43</v>
      </c>
      <c r="B13" s="38">
        <f>ABS(B12-B7)</f>
        <v>23.882956444655299</v>
      </c>
      <c r="C13" s="38">
        <f t="shared" ref="C13:O13" si="0">ABS(C12-C7)</f>
        <v>34.968883017485702</v>
      </c>
      <c r="D13" s="38">
        <f t="shared" si="0"/>
        <v>34.8359546913412</v>
      </c>
      <c r="E13" s="38">
        <f t="shared" si="0"/>
        <v>31.5113817608472</v>
      </c>
      <c r="F13" s="38">
        <f t="shared" si="0"/>
        <v>28.144582112521299</v>
      </c>
      <c r="G13" s="38">
        <f t="shared" si="0"/>
        <v>22.597801689653501</v>
      </c>
      <c r="H13" s="38">
        <f t="shared" si="0"/>
        <v>22.053603796656702</v>
      </c>
      <c r="I13" s="38">
        <f t="shared" si="0"/>
        <v>51.302960820085701</v>
      </c>
      <c r="J13" s="38">
        <f t="shared" si="0"/>
        <v>25.644656653664001</v>
      </c>
      <c r="K13" s="38">
        <f t="shared" si="0"/>
        <v>43.094101213539297</v>
      </c>
      <c r="L13" s="38">
        <f t="shared" si="0"/>
        <v>84.636121997680902</v>
      </c>
      <c r="M13" s="38">
        <f t="shared" si="0"/>
        <v>57.217793520709797</v>
      </c>
      <c r="N13" s="38">
        <f t="shared" si="0"/>
        <v>157.7836663948581</v>
      </c>
      <c r="O13" s="38">
        <f t="shared" si="0"/>
        <v>32.259745646328902</v>
      </c>
    </row>
    <row r="61" spans="2:6" x14ac:dyDescent="0.25">
      <c r="B61" s="76" t="s">
        <v>109</v>
      </c>
      <c r="C61" s="76"/>
      <c r="D61" s="76"/>
      <c r="E61" s="76"/>
      <c r="F61" s="76"/>
    </row>
  </sheetData>
  <mergeCells count="3">
    <mergeCell ref="B3:O3"/>
    <mergeCell ref="B9:O9"/>
    <mergeCell ref="Q5:T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903D-BA7C-45D4-BB6F-371332673BAE}">
  <dimension ref="A1:G19"/>
  <sheetViews>
    <sheetView tabSelected="1" workbookViewId="0">
      <selection activeCell="A12" sqref="A12:F15"/>
    </sheetView>
  </sheetViews>
  <sheetFormatPr baseColWidth="10" defaultColWidth="9.140625" defaultRowHeight="15" x14ac:dyDescent="0.25"/>
  <cols>
    <col min="1" max="1" width="19.42578125" customWidth="1"/>
    <col min="2" max="2" width="11.140625" customWidth="1"/>
    <col min="3" max="3" width="11" customWidth="1"/>
    <col min="4" max="4" width="10.140625" bestFit="1" customWidth="1"/>
    <col min="6" max="6" width="11.140625" customWidth="1"/>
  </cols>
  <sheetData>
    <row r="1" spans="1:7" ht="24.75" customHeight="1" x14ac:dyDescent="0.25">
      <c r="A1" s="65" t="s">
        <v>73</v>
      </c>
      <c r="B1" s="64"/>
      <c r="C1" s="64"/>
      <c r="D1" s="64"/>
      <c r="E1" s="64"/>
    </row>
    <row r="2" spans="1:7" s="23" customFormat="1" ht="38.25" customHeight="1" x14ac:dyDescent="0.25">
      <c r="A2" s="60"/>
      <c r="B2" s="59" t="s">
        <v>74</v>
      </c>
      <c r="C2" s="61" t="s">
        <v>75</v>
      </c>
      <c r="D2" s="61" t="s">
        <v>76</v>
      </c>
      <c r="E2" s="61" t="s">
        <v>98</v>
      </c>
      <c r="F2" s="48" t="s">
        <v>77</v>
      </c>
    </row>
    <row r="3" spans="1:7" ht="20.100000000000001" customHeight="1" x14ac:dyDescent="0.35">
      <c r="A3" s="62" t="s">
        <v>92</v>
      </c>
      <c r="B3" s="66">
        <v>2</v>
      </c>
      <c r="C3" s="66">
        <v>0</v>
      </c>
      <c r="D3" s="63">
        <f>AVERAGE(Phytoplankton!B13:O13)</f>
        <v>55.645569691118098</v>
      </c>
      <c r="E3" s="69" t="s">
        <v>100</v>
      </c>
      <c r="F3" s="23" t="s">
        <v>78</v>
      </c>
      <c r="G3" t="s">
        <v>79</v>
      </c>
    </row>
    <row r="4" spans="1:7" ht="20.100000000000001" customHeight="1" x14ac:dyDescent="0.25">
      <c r="A4" s="62" t="s">
        <v>93</v>
      </c>
      <c r="B4" s="66">
        <v>3</v>
      </c>
      <c r="C4" s="66">
        <v>0</v>
      </c>
      <c r="D4" s="63">
        <f>AVERAGE(Phytoplankton!B27:O27)</f>
        <v>73.745512491408121</v>
      </c>
      <c r="E4" s="69" t="s">
        <v>100</v>
      </c>
      <c r="F4" t="s">
        <v>80</v>
      </c>
      <c r="G4" t="s">
        <v>81</v>
      </c>
    </row>
    <row r="5" spans="1:7" ht="20.100000000000001" customHeight="1" x14ac:dyDescent="0.25">
      <c r="A5" s="62" t="s">
        <v>94</v>
      </c>
      <c r="B5" s="66">
        <v>1</v>
      </c>
      <c r="C5" s="66">
        <v>1</v>
      </c>
      <c r="D5" s="63">
        <f>AVERAGE('Rotifera herbivorous 2'!B13:O13)</f>
        <v>175.3786849734586</v>
      </c>
      <c r="E5" s="70" t="s">
        <v>101</v>
      </c>
    </row>
    <row r="6" spans="1:7" ht="20.100000000000001" customHeight="1" x14ac:dyDescent="0.25">
      <c r="A6" s="62" t="s">
        <v>97</v>
      </c>
      <c r="B6" s="66">
        <v>2</v>
      </c>
      <c r="C6" s="66">
        <v>0</v>
      </c>
      <c r="D6" s="63">
        <f>AVERAGE('Rotifera herbivorous 2'!B13:O13)</f>
        <v>175.3786849734586</v>
      </c>
      <c r="E6" s="70" t="s">
        <v>100</v>
      </c>
      <c r="F6" t="s">
        <v>82</v>
      </c>
      <c r="G6" t="s">
        <v>83</v>
      </c>
    </row>
    <row r="7" spans="1:7" ht="20.100000000000001" customHeight="1" x14ac:dyDescent="0.25">
      <c r="A7" s="62" t="s">
        <v>95</v>
      </c>
      <c r="B7" s="66">
        <v>2</v>
      </c>
      <c r="C7" s="66">
        <v>0</v>
      </c>
      <c r="D7" s="63">
        <f>AVERAGE('Cladocera small'!B13:O13)</f>
        <v>80.093212018359822</v>
      </c>
      <c r="E7" s="70" t="s">
        <v>100</v>
      </c>
    </row>
    <row r="8" spans="1:7" ht="20.100000000000001" customHeight="1" x14ac:dyDescent="0.25">
      <c r="A8" s="62" t="s">
        <v>96</v>
      </c>
      <c r="B8" s="66">
        <v>3</v>
      </c>
      <c r="C8" s="66">
        <v>1</v>
      </c>
      <c r="D8" s="63">
        <f>AVERAGE(Daphnidae!B13:O13)</f>
        <v>46.423872125716265</v>
      </c>
      <c r="E8" s="70" t="s">
        <v>101</v>
      </c>
    </row>
    <row r="9" spans="1:7" ht="20.100000000000001" customHeight="1" x14ac:dyDescent="0.25">
      <c r="A9" s="62"/>
      <c r="B9" s="62"/>
      <c r="C9" s="62"/>
      <c r="D9" s="62"/>
      <c r="E9" s="62"/>
    </row>
    <row r="10" spans="1:7" ht="20.100000000000001" customHeight="1" x14ac:dyDescent="0.25">
      <c r="A10" s="62"/>
      <c r="B10" s="62"/>
      <c r="C10" s="62"/>
      <c r="D10" s="62"/>
      <c r="E10" s="62"/>
    </row>
    <row r="12" spans="1:7" x14ac:dyDescent="0.25">
      <c r="A12" s="64"/>
      <c r="B12" s="64"/>
      <c r="C12" s="64"/>
      <c r="D12" s="64"/>
      <c r="E12" s="64"/>
      <c r="F12" s="64" t="s">
        <v>106</v>
      </c>
      <c r="G12" s="64"/>
    </row>
    <row r="13" spans="1:7" x14ac:dyDescent="0.25">
      <c r="A13" s="6" t="s">
        <v>102</v>
      </c>
      <c r="B13" s="6">
        <v>32</v>
      </c>
      <c r="C13" s="6">
        <v>47</v>
      </c>
      <c r="D13" s="6"/>
      <c r="E13" s="6"/>
      <c r="F13" s="6">
        <f>C13+B13</f>
        <v>79</v>
      </c>
      <c r="G13" t="s">
        <v>105</v>
      </c>
    </row>
    <row r="14" spans="1:7" x14ac:dyDescent="0.25">
      <c r="A14" t="s">
        <v>107</v>
      </c>
      <c r="B14" s="6">
        <f>(B13-SUM(B3:B8))</f>
        <v>19</v>
      </c>
      <c r="C14" s="6">
        <f>(C13-SUM(C3:C8))</f>
        <v>45</v>
      </c>
      <c r="D14" s="6"/>
      <c r="E14" s="6"/>
      <c r="F14" s="71"/>
    </row>
    <row r="15" spans="1:7" x14ac:dyDescent="0.25">
      <c r="A15" s="73" t="s">
        <v>103</v>
      </c>
      <c r="B15" s="74">
        <f>B14/B13</f>
        <v>0.59375</v>
      </c>
      <c r="C15" s="74">
        <f>C14/C13</f>
        <v>0.95744680851063835</v>
      </c>
      <c r="D15" s="75"/>
      <c r="E15" s="75"/>
      <c r="F15" s="74">
        <f>SUM(B14:C14)/SUM(B13:C13)</f>
        <v>0.810126582278481</v>
      </c>
      <c r="G15" t="s">
        <v>104</v>
      </c>
    </row>
    <row r="17" spans="1:7" x14ac:dyDescent="0.25">
      <c r="B17" s="72"/>
    </row>
    <row r="19" spans="1:7" x14ac:dyDescent="0.25">
      <c r="A19" s="75" t="s">
        <v>99</v>
      </c>
      <c r="B19" s="75"/>
      <c r="C19" s="75"/>
      <c r="D19" s="75"/>
      <c r="E19" s="75"/>
      <c r="F19" s="73">
        <v>0.89</v>
      </c>
      <c r="G19" t="s">
        <v>108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2CD7-D08C-4547-92FA-A5D4F28628C3}">
  <dimension ref="A1:H42"/>
  <sheetViews>
    <sheetView workbookViewId="0">
      <selection activeCell="D39" sqref="D39"/>
    </sheetView>
  </sheetViews>
  <sheetFormatPr baseColWidth="10" defaultRowHeight="15" x14ac:dyDescent="0.25"/>
  <cols>
    <col min="2" max="2" width="30.7109375" customWidth="1"/>
    <col min="3" max="8" width="16.140625" customWidth="1"/>
  </cols>
  <sheetData>
    <row r="1" spans="1:8" x14ac:dyDescent="0.25"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 x14ac:dyDescent="0.25">
      <c r="A2">
        <v>0</v>
      </c>
      <c r="B2" s="58">
        <v>0</v>
      </c>
      <c r="C2" s="58">
        <v>0</v>
      </c>
      <c r="D2" s="58">
        <v>0</v>
      </c>
      <c r="E2" s="58">
        <v>0</v>
      </c>
      <c r="F2" s="58">
        <v>0</v>
      </c>
      <c r="G2" s="58">
        <v>0</v>
      </c>
      <c r="H2">
        <v>-9</v>
      </c>
    </row>
    <row r="3" spans="1:8" x14ac:dyDescent="0.25">
      <c r="A3">
        <v>2.7397260273972599E-3</v>
      </c>
      <c r="B3" s="58">
        <v>3.8324090287771E-2</v>
      </c>
      <c r="C3" s="58">
        <v>4.3744437896949297E-2</v>
      </c>
      <c r="D3" s="58">
        <v>-8.56563601149033</v>
      </c>
      <c r="E3" s="58">
        <v>0.13829168016891399</v>
      </c>
      <c r="F3" s="58">
        <v>6.2359554759596897E-2</v>
      </c>
      <c r="G3" s="58">
        <v>-7.7526075555752598</v>
      </c>
      <c r="H3">
        <v>-8</v>
      </c>
    </row>
    <row r="4" spans="1:8" x14ac:dyDescent="0.25">
      <c r="A4">
        <v>5.4794520547945197E-3</v>
      </c>
      <c r="B4" s="58">
        <v>0.160871784257865</v>
      </c>
      <c r="C4" s="58">
        <v>0.170876044444182</v>
      </c>
      <c r="D4" s="58">
        <v>-16.386536260293202</v>
      </c>
      <c r="E4" s="58">
        <v>0.409003859254635</v>
      </c>
      <c r="F4" s="58">
        <v>0.15726605245139</v>
      </c>
      <c r="G4" s="58">
        <v>-14.857379226941401</v>
      </c>
      <c r="H4">
        <v>-7</v>
      </c>
    </row>
    <row r="5" spans="1:8" x14ac:dyDescent="0.25">
      <c r="A5">
        <v>8.21917808219178E-3</v>
      </c>
      <c r="B5" s="58">
        <v>0.36222376358620301</v>
      </c>
      <c r="C5" s="58">
        <v>0.37687000530753201</v>
      </c>
      <c r="D5" s="58">
        <v>-23.527067322816301</v>
      </c>
      <c r="E5" s="58">
        <v>0.76091845761158405</v>
      </c>
      <c r="F5" s="58">
        <v>0.256880863933311</v>
      </c>
      <c r="G5" s="58">
        <v>-21.409758859981601</v>
      </c>
      <c r="H5">
        <v>-6</v>
      </c>
    </row>
    <row r="6" spans="1:8" x14ac:dyDescent="0.25">
      <c r="A6">
        <v>1.9178082191780799E-2</v>
      </c>
      <c r="B6" s="58">
        <v>1.8741392025091299</v>
      </c>
      <c r="C6" s="58">
        <v>1.90880783471046</v>
      </c>
      <c r="D6" s="58">
        <v>-46.389954605326103</v>
      </c>
      <c r="E6" s="58">
        <v>2.8893967482819298</v>
      </c>
      <c r="F6" s="58">
        <v>0.68968165689135297</v>
      </c>
      <c r="G6" s="58">
        <v>-42.918050157123098</v>
      </c>
      <c r="H6">
        <v>-2</v>
      </c>
    </row>
    <row r="7" spans="1:8" x14ac:dyDescent="0.25">
      <c r="A7">
        <v>2.19178082191781E-2</v>
      </c>
      <c r="B7" s="58">
        <v>2.39644501293595</v>
      </c>
      <c r="C7" s="58">
        <v>2.4355203007880402</v>
      </c>
      <c r="D7" s="58">
        <v>-50.818762356881201</v>
      </c>
      <c r="E7" s="58">
        <v>3.5701385179400802</v>
      </c>
      <c r="F7" s="58">
        <v>0.80448550935676599</v>
      </c>
      <c r="G7" s="58">
        <v>-47.198357970559599</v>
      </c>
      <c r="H7">
        <v>-1</v>
      </c>
    </row>
    <row r="8" spans="1:8" x14ac:dyDescent="0.25">
      <c r="A8">
        <v>2.7397260273972601E-2</v>
      </c>
      <c r="B8" s="58">
        <v>3.5529737145850899</v>
      </c>
      <c r="C8" s="58">
        <v>3.60154422444197</v>
      </c>
      <c r="D8" s="58">
        <v>-56.874287134518603</v>
      </c>
      <c r="E8" s="58">
        <v>5.05065252297267</v>
      </c>
      <c r="F8" s="58">
        <v>1.0382777425135801</v>
      </c>
      <c r="G8" s="58">
        <v>-53.117043555344701</v>
      </c>
      <c r="H8">
        <v>1</v>
      </c>
    </row>
    <row r="9" spans="1:8" x14ac:dyDescent="0.25">
      <c r="A9">
        <v>3.8356164383561597E-2</v>
      </c>
      <c r="B9" s="58">
        <v>6.5636685628902498</v>
      </c>
      <c r="C9" s="58">
        <v>6.63427310788789</v>
      </c>
      <c r="D9" s="58">
        <v>-58.607244345597202</v>
      </c>
      <c r="E9" s="58">
        <v>8.9749436910499707</v>
      </c>
      <c r="F9" s="58">
        <v>1.6437303237479</v>
      </c>
      <c r="G9" s="58">
        <v>-54.821874270071397</v>
      </c>
      <c r="H9">
        <v>5</v>
      </c>
    </row>
    <row r="10" spans="1:8" x14ac:dyDescent="0.25">
      <c r="A10">
        <v>4.1095890410958902E-2</v>
      </c>
      <c r="B10" s="58">
        <v>7.42016120882161</v>
      </c>
      <c r="C10" s="58">
        <v>7.4967451123723299</v>
      </c>
      <c r="D10" s="58">
        <v>-59.472896791563898</v>
      </c>
      <c r="E10" s="58">
        <v>10.120533430995801</v>
      </c>
      <c r="F10" s="58">
        <v>1.82046998331915</v>
      </c>
      <c r="G10" s="58">
        <v>-55.697211384450704</v>
      </c>
      <c r="H10">
        <v>6</v>
      </c>
    </row>
    <row r="11" spans="1:8" x14ac:dyDescent="0.25">
      <c r="A11">
        <v>4.3835616438356199E-2</v>
      </c>
      <c r="B11" s="58">
        <v>8.3102809709646408</v>
      </c>
      <c r="C11" s="58">
        <v>8.3926519645353999</v>
      </c>
      <c r="D11" s="58">
        <v>-60.788676388611698</v>
      </c>
      <c r="E11" s="58">
        <v>11.3196493271693</v>
      </c>
      <c r="F11" s="58">
        <v>2.00425090962232</v>
      </c>
      <c r="G11" s="58">
        <v>-57.031116982514298</v>
      </c>
      <c r="H11">
        <v>7</v>
      </c>
    </row>
    <row r="12" spans="1:8" x14ac:dyDescent="0.25">
      <c r="A12">
        <v>4.9315068493150697E-2</v>
      </c>
      <c r="B12" s="58">
        <v>10.213993171221199</v>
      </c>
      <c r="C12" s="58">
        <v>10.308123704548199</v>
      </c>
      <c r="D12" s="58">
        <v>-63.853254121533503</v>
      </c>
      <c r="E12" s="58">
        <v>13.903108001849599</v>
      </c>
      <c r="F12" s="58">
        <v>2.3933933348776</v>
      </c>
      <c r="G12" s="58">
        <v>-60.1640453086588</v>
      </c>
      <c r="H12">
        <v>9</v>
      </c>
    </row>
    <row r="13" spans="1:8" x14ac:dyDescent="0.25">
      <c r="A13">
        <v>5.75342465753425E-2</v>
      </c>
      <c r="B13" s="58">
        <v>13.540134932533499</v>
      </c>
      <c r="C13" s="58">
        <v>13.653540915732799</v>
      </c>
      <c r="D13" s="58">
        <v>-66.857982510854796</v>
      </c>
      <c r="E13" s="58">
        <v>18.505657488119901</v>
      </c>
      <c r="F13" s="58">
        <v>3.0749600648486299</v>
      </c>
      <c r="G13" s="58">
        <v>-63.339561342684803</v>
      </c>
      <c r="H13">
        <v>12</v>
      </c>
    </row>
    <row r="14" spans="1:8" x14ac:dyDescent="0.25">
      <c r="A14">
        <v>6.02739726027397E-2</v>
      </c>
      <c r="B14" s="58">
        <v>14.802730185629001</v>
      </c>
      <c r="C14" s="58">
        <v>14.9229347468124</v>
      </c>
      <c r="D14" s="58">
        <v>-67.123225910091605</v>
      </c>
      <c r="E14" s="58">
        <v>20.293384384560699</v>
      </c>
      <c r="F14" s="58">
        <v>3.3388950095841698</v>
      </c>
      <c r="G14" s="58">
        <v>-63.675529791343898</v>
      </c>
      <c r="H14">
        <v>13</v>
      </c>
    </row>
    <row r="15" spans="1:8" x14ac:dyDescent="0.25">
      <c r="A15">
        <v>6.3013698630137005E-2</v>
      </c>
      <c r="B15" s="58">
        <v>16.129237617584099</v>
      </c>
      <c r="C15" s="58">
        <v>16.256480110543301</v>
      </c>
      <c r="D15" s="58">
        <v>-66.970390776066097</v>
      </c>
      <c r="E15" s="58">
        <v>22.205352375723798</v>
      </c>
      <c r="F15" s="58">
        <v>3.6228391350369802</v>
      </c>
      <c r="G15" s="58">
        <v>-63.6013907589819</v>
      </c>
      <c r="H15">
        <v>14</v>
      </c>
    </row>
    <row r="16" spans="1:8" x14ac:dyDescent="0.25">
      <c r="A16">
        <v>6.5753424657534199E-2</v>
      </c>
      <c r="B16" s="58">
        <v>17.4365399430426</v>
      </c>
      <c r="C16" s="58">
        <v>17.570757284696501</v>
      </c>
      <c r="D16" s="58">
        <v>-66.771845678406905</v>
      </c>
      <c r="E16" s="58">
        <v>24.127692948825999</v>
      </c>
      <c r="F16" s="58">
        <v>3.9107778106577902</v>
      </c>
      <c r="G16" s="58">
        <v>-63.4886182391528</v>
      </c>
      <c r="H16">
        <v>15</v>
      </c>
    </row>
    <row r="17" spans="1:8" x14ac:dyDescent="0.25">
      <c r="A17">
        <v>8.2191780821917804E-2</v>
      </c>
      <c r="B17" s="58">
        <v>23.495223252639899</v>
      </c>
      <c r="C17" s="58">
        <v>23.661174479117101</v>
      </c>
      <c r="D17" s="58">
        <v>-65.709743891621301</v>
      </c>
      <c r="E17" s="58">
        <v>33.613935528240901</v>
      </c>
      <c r="F17" s="58">
        <v>5.3704246201842096</v>
      </c>
      <c r="G17" s="58">
        <v>-62.931391569333698</v>
      </c>
      <c r="H17">
        <v>21</v>
      </c>
    </row>
    <row r="18" spans="1:8" x14ac:dyDescent="0.25">
      <c r="A18">
        <v>8.4931506849315094E-2</v>
      </c>
      <c r="B18" s="58">
        <v>24.261400282204001</v>
      </c>
      <c r="C18" s="58">
        <v>24.4313347676507</v>
      </c>
      <c r="D18" s="58">
        <v>-65.557366281848999</v>
      </c>
      <c r="E18" s="58">
        <v>34.895355292144501</v>
      </c>
      <c r="F18" s="58">
        <v>5.5725786356397</v>
      </c>
      <c r="G18" s="58">
        <v>-62.855417887478701</v>
      </c>
      <c r="H18">
        <v>22</v>
      </c>
    </row>
    <row r="19" spans="1:8" x14ac:dyDescent="0.25">
      <c r="A19">
        <v>9.8630136986301395E-2</v>
      </c>
      <c r="B19" s="58">
        <v>27.387382128712702</v>
      </c>
      <c r="C19" s="58">
        <v>27.5664668210832</v>
      </c>
      <c r="D19" s="58">
        <v>-64.881913869489495</v>
      </c>
      <c r="E19" s="58">
        <v>40.340657034318603</v>
      </c>
      <c r="F19" s="58">
        <v>6.4571089987804902</v>
      </c>
      <c r="G19" s="58">
        <v>-62.524062305668402</v>
      </c>
      <c r="H19">
        <v>27</v>
      </c>
    </row>
    <row r="20" spans="1:8" x14ac:dyDescent="0.25">
      <c r="A20">
        <v>0.101369863013699</v>
      </c>
      <c r="B20" s="58">
        <v>27.9139101276361</v>
      </c>
      <c r="C20" s="58">
        <v>28.090461605472999</v>
      </c>
      <c r="D20" s="58">
        <v>-64.756829792630896</v>
      </c>
      <c r="E20" s="58">
        <v>41.285064432447903</v>
      </c>
      <c r="F20" s="58">
        <v>6.6198890248612203</v>
      </c>
      <c r="G20" s="58">
        <v>-62.462903685848602</v>
      </c>
      <c r="H20">
        <v>28</v>
      </c>
    </row>
    <row r="21" spans="1:8" x14ac:dyDescent="0.25">
      <c r="A21">
        <v>0.104109589041096</v>
      </c>
      <c r="B21" s="58">
        <v>28.4085439836809</v>
      </c>
      <c r="C21" s="58">
        <v>28.578936505900799</v>
      </c>
      <c r="D21" s="58">
        <v>-64.633688896296306</v>
      </c>
      <c r="E21" s="58">
        <v>42.166457244485599</v>
      </c>
      <c r="F21" s="58">
        <v>6.7805058811527097</v>
      </c>
      <c r="G21" s="58">
        <v>-62.402198310346499</v>
      </c>
      <c r="H21">
        <v>29</v>
      </c>
    </row>
    <row r="22" spans="1:8" x14ac:dyDescent="0.25">
      <c r="A22">
        <v>0.120547945205479</v>
      </c>
      <c r="B22" s="58">
        <v>31.4082229756226</v>
      </c>
      <c r="C22" s="58">
        <v>31.577515557446802</v>
      </c>
      <c r="D22" s="58">
        <v>-63.846066149073998</v>
      </c>
      <c r="E22" s="58">
        <v>48.048195051914902</v>
      </c>
      <c r="F22" s="58">
        <v>7.8040868244621802</v>
      </c>
      <c r="G22" s="58">
        <v>-62.017834932055301</v>
      </c>
      <c r="H22">
        <v>35</v>
      </c>
    </row>
    <row r="23" spans="1:8" x14ac:dyDescent="0.25">
      <c r="A23">
        <v>0.123287671232877</v>
      </c>
      <c r="B23" s="58">
        <v>31.916128353385002</v>
      </c>
      <c r="C23" s="58">
        <v>32.085799925773998</v>
      </c>
      <c r="D23" s="58">
        <v>-63.699926173523401</v>
      </c>
      <c r="E23" s="58">
        <v>49.1191711570658</v>
      </c>
      <c r="F23" s="58">
        <v>7.9942277412106497</v>
      </c>
      <c r="G23" s="58">
        <v>-61.946396203343298</v>
      </c>
      <c r="H23">
        <v>36</v>
      </c>
    </row>
    <row r="24" spans="1:8" x14ac:dyDescent="0.25">
      <c r="A24">
        <v>0.13698630136986301</v>
      </c>
      <c r="B24" s="58">
        <v>34.655585243918701</v>
      </c>
      <c r="C24" s="58">
        <v>34.838149259375299</v>
      </c>
      <c r="D24" s="58">
        <v>-62.8261201410469</v>
      </c>
      <c r="E24" s="58">
        <v>55.481121067153502</v>
      </c>
      <c r="F24" s="58">
        <v>9.1421287318813302</v>
      </c>
      <c r="G24" s="58">
        <v>-61.5139844330904</v>
      </c>
      <c r="H24">
        <v>41</v>
      </c>
    </row>
    <row r="25" spans="1:8" x14ac:dyDescent="0.25">
      <c r="A25">
        <v>0.13972602739726001</v>
      </c>
      <c r="B25" s="58">
        <v>35.2282112398224</v>
      </c>
      <c r="C25" s="58">
        <v>35.413753867822599</v>
      </c>
      <c r="D25" s="58">
        <v>-62.618000102927802</v>
      </c>
      <c r="E25" s="58">
        <v>56.963459411863099</v>
      </c>
      <c r="F25" s="58">
        <v>9.41921075996013</v>
      </c>
      <c r="G25" s="58">
        <v>-61.409247813096798</v>
      </c>
      <c r="H25">
        <v>42</v>
      </c>
    </row>
    <row r="26" spans="1:8" x14ac:dyDescent="0.25">
      <c r="A26">
        <v>0.142465753424658</v>
      </c>
      <c r="B26" s="58">
        <v>35.776367467666503</v>
      </c>
      <c r="C26" s="58">
        <v>35.964607189599</v>
      </c>
      <c r="D26" s="58">
        <v>-62.407708336479899</v>
      </c>
      <c r="E26" s="58">
        <v>58.447303537370701</v>
      </c>
      <c r="F26" s="58">
        <v>9.7003732727818601</v>
      </c>
      <c r="G26" s="58">
        <v>-61.302960820085701</v>
      </c>
      <c r="H26">
        <v>43</v>
      </c>
    </row>
    <row r="27" spans="1:8" x14ac:dyDescent="0.25">
      <c r="A27">
        <v>0.158904109589041</v>
      </c>
      <c r="B27" s="58">
        <v>38.1980340935295</v>
      </c>
      <c r="C27" s="58">
        <v>38.413159000172698</v>
      </c>
      <c r="D27" s="58">
        <v>-61.301074244627102</v>
      </c>
      <c r="E27" s="58">
        <v>66.360766356048103</v>
      </c>
      <c r="F27" s="58">
        <v>11.2119264298647</v>
      </c>
      <c r="G27" s="58">
        <v>-60.730288350299297</v>
      </c>
      <c r="H27">
        <v>49</v>
      </c>
    </row>
    <row r="28" spans="1:8" x14ac:dyDescent="0.25">
      <c r="A28">
        <v>0.161643835616438</v>
      </c>
      <c r="B28" s="58">
        <v>38.4765104644408</v>
      </c>
      <c r="C28" s="58">
        <v>38.6954565661933</v>
      </c>
      <c r="D28" s="58">
        <v>-61.141516774126501</v>
      </c>
      <c r="E28" s="58">
        <v>67.481649465657298</v>
      </c>
      <c r="F28" s="58">
        <v>11.436588335850701</v>
      </c>
      <c r="G28" s="58">
        <v>-60.644656653664001</v>
      </c>
      <c r="H28">
        <v>50</v>
      </c>
    </row>
    <row r="29" spans="1:8" x14ac:dyDescent="0.25">
      <c r="A29">
        <v>0.17260273972602699</v>
      </c>
      <c r="B29" s="58">
        <v>39.353995648590498</v>
      </c>
      <c r="C29" s="58">
        <v>39.586895966356003</v>
      </c>
      <c r="D29" s="58">
        <v>-60.548118363035897</v>
      </c>
      <c r="E29" s="58">
        <v>71.608659258087002</v>
      </c>
      <c r="F29" s="58">
        <v>12.290967365673</v>
      </c>
      <c r="G29" s="58">
        <v>-60.317746583342498</v>
      </c>
      <c r="H29">
        <v>54</v>
      </c>
    </row>
    <row r="30" spans="1:8" x14ac:dyDescent="0.25">
      <c r="A30">
        <v>0.17534246575342499</v>
      </c>
      <c r="B30" s="58">
        <v>39.504229624566797</v>
      </c>
      <c r="C30" s="58">
        <v>39.736662801236598</v>
      </c>
      <c r="D30" s="58">
        <v>-60.416179138380897</v>
      </c>
      <c r="E30" s="58">
        <v>72.428756968166994</v>
      </c>
      <c r="F30" s="58">
        <v>12.4879418180769</v>
      </c>
      <c r="G30" s="58">
        <v>-60.2416207686436</v>
      </c>
      <c r="H30">
        <v>55</v>
      </c>
    </row>
    <row r="31" spans="1:8" x14ac:dyDescent="0.25">
      <c r="A31">
        <v>0.17808219178082199</v>
      </c>
      <c r="B31" s="58">
        <v>39.634577949366303</v>
      </c>
      <c r="C31" s="58">
        <v>39.865830175934803</v>
      </c>
      <c r="D31" s="58">
        <v>-60.2893063590002</v>
      </c>
      <c r="E31" s="58">
        <v>73.194704358472407</v>
      </c>
      <c r="F31" s="58">
        <v>12.679847279543401</v>
      </c>
      <c r="G31" s="58">
        <v>-60.167241236105703</v>
      </c>
      <c r="H31">
        <v>56</v>
      </c>
    </row>
    <row r="32" spans="1:8" x14ac:dyDescent="0.25">
      <c r="A32">
        <v>0.18082191780821899</v>
      </c>
      <c r="B32" s="58">
        <v>39.752313550907303</v>
      </c>
      <c r="C32" s="58">
        <v>39.983117549979902</v>
      </c>
      <c r="D32" s="58">
        <v>-60.165591780584002</v>
      </c>
      <c r="E32" s="58">
        <v>73.958470366925596</v>
      </c>
      <c r="F32" s="58">
        <v>12.8684881798688</v>
      </c>
      <c r="G32" s="58">
        <v>-60.094101213539297</v>
      </c>
      <c r="H32">
        <v>57</v>
      </c>
    </row>
    <row r="33" spans="1:8" x14ac:dyDescent="0.25">
      <c r="A33">
        <v>0.19726027397260301</v>
      </c>
      <c r="B33" s="58">
        <v>40.133963439678503</v>
      </c>
      <c r="C33" s="58">
        <v>40.348772342708799</v>
      </c>
      <c r="D33" s="58">
        <v>-59.531949427175597</v>
      </c>
      <c r="E33" s="58">
        <v>77.431334968478495</v>
      </c>
      <c r="F33" s="58">
        <v>13.8824737994552</v>
      </c>
      <c r="G33" s="58">
        <v>-59.6971883252398</v>
      </c>
      <c r="H33">
        <v>63</v>
      </c>
    </row>
    <row r="34" spans="1:8" x14ac:dyDescent="0.25">
      <c r="A34">
        <v>0.2</v>
      </c>
      <c r="B34" s="58">
        <v>40.1632775650897</v>
      </c>
      <c r="C34" s="58">
        <v>40.375515253825299</v>
      </c>
      <c r="D34" s="58">
        <v>-59.438827221207298</v>
      </c>
      <c r="E34" s="58">
        <v>77.941825735560002</v>
      </c>
      <c r="F34" s="58">
        <v>14.037716767990499</v>
      </c>
      <c r="G34" s="58">
        <v>-59.636121997680902</v>
      </c>
      <c r="H34">
        <v>64</v>
      </c>
    </row>
    <row r="35" spans="1:8" x14ac:dyDescent="0.25">
      <c r="A35">
        <v>0.21369863013698601</v>
      </c>
      <c r="B35" s="58">
        <v>40.225906956423799</v>
      </c>
      <c r="C35" s="58">
        <v>40.434751013167499</v>
      </c>
      <c r="D35" s="58">
        <v>-58.996695658338602</v>
      </c>
      <c r="E35" s="58">
        <v>80.646969887689494</v>
      </c>
      <c r="F35" s="58">
        <v>14.791465698541099</v>
      </c>
      <c r="G35" s="58">
        <v>-59.339674390141099</v>
      </c>
      <c r="H35">
        <v>69</v>
      </c>
    </row>
    <row r="36" spans="1:8" x14ac:dyDescent="0.25">
      <c r="A36">
        <v>0.216438356164384</v>
      </c>
      <c r="B36" s="58">
        <v>40.222400490892198</v>
      </c>
      <c r="C36" s="58">
        <v>40.432205688765499</v>
      </c>
      <c r="D36" s="58">
        <v>-58.909264362794701</v>
      </c>
      <c r="E36" s="58">
        <v>81.219547415331107</v>
      </c>
      <c r="F36" s="58">
        <v>14.9432682538009</v>
      </c>
      <c r="G36" s="58">
        <v>-59.280057788218201</v>
      </c>
      <c r="H36">
        <v>70</v>
      </c>
    </row>
    <row r="37" spans="1:8" x14ac:dyDescent="0.25">
      <c r="A37">
        <v>0.219178082191781</v>
      </c>
      <c r="B37" s="58">
        <v>40.207964114543302</v>
      </c>
      <c r="C37" s="58">
        <v>40.4181677401114</v>
      </c>
      <c r="D37" s="58">
        <v>-58.820744470461101</v>
      </c>
      <c r="E37" s="58">
        <v>81.778061047051295</v>
      </c>
      <c r="F37" s="58">
        <v>15.100793263352999</v>
      </c>
      <c r="G37" s="58">
        <v>-59.217793520709797</v>
      </c>
      <c r="H37">
        <v>71</v>
      </c>
    </row>
    <row r="38" spans="1:8" x14ac:dyDescent="0.25">
      <c r="A38">
        <v>0.232876712328767</v>
      </c>
      <c r="B38" s="58">
        <v>40.016891965236702</v>
      </c>
      <c r="C38" s="58">
        <v>40.230038564072998</v>
      </c>
      <c r="D38" s="58">
        <v>-58.324947155396501</v>
      </c>
      <c r="E38" s="58">
        <v>84.936573147928698</v>
      </c>
      <c r="F38" s="58">
        <v>16.002602842554101</v>
      </c>
      <c r="G38" s="58">
        <v>-58.862016527576102</v>
      </c>
      <c r="H38">
        <v>76</v>
      </c>
    </row>
    <row r="39" spans="1:8" x14ac:dyDescent="0.25">
      <c r="A39">
        <v>0.235616438356164</v>
      </c>
      <c r="B39" s="58">
        <v>39.950912972508299</v>
      </c>
      <c r="C39" s="58">
        <v>40.164495027974802</v>
      </c>
      <c r="D39" s="58">
        <v>-58.218377577825301</v>
      </c>
      <c r="E39" s="58">
        <v>85.620017888333507</v>
      </c>
      <c r="F39" s="58">
        <v>16.2015701241031</v>
      </c>
      <c r="G39" s="58">
        <v>-58.783666394858102</v>
      </c>
      <c r="H39">
        <v>77</v>
      </c>
    </row>
    <row r="40" spans="1:8" x14ac:dyDescent="0.25">
      <c r="A40">
        <v>0.24931506849315099</v>
      </c>
      <c r="B40" s="58">
        <v>39.561219611600002</v>
      </c>
      <c r="C40" s="58">
        <v>39.774905491146299</v>
      </c>
      <c r="D40" s="58">
        <v>-57.755934135872799</v>
      </c>
      <c r="E40" s="58">
        <v>88.620091770067901</v>
      </c>
      <c r="F40" s="58">
        <v>17.0893813359673</v>
      </c>
      <c r="G40" s="58">
        <v>-58.434763904311097</v>
      </c>
      <c r="H40">
        <v>82</v>
      </c>
    </row>
    <row r="41" spans="1:8" x14ac:dyDescent="0.25">
      <c r="A41">
        <v>0.25205479452054802</v>
      </c>
      <c r="B41" s="58">
        <v>39.477215560987098</v>
      </c>
      <c r="C41" s="58">
        <v>39.690772047508503</v>
      </c>
      <c r="D41" s="58">
        <v>-57.6812748925813</v>
      </c>
      <c r="E41" s="58">
        <v>89.094935896294004</v>
      </c>
      <c r="F41" s="58">
        <v>17.2397479730006</v>
      </c>
      <c r="G41" s="58">
        <v>-58.375397839978298</v>
      </c>
      <c r="H41">
        <v>83</v>
      </c>
    </row>
    <row r="42" spans="1:8" x14ac:dyDescent="0.25">
      <c r="A42">
        <v>0.25753424657534202</v>
      </c>
      <c r="B42" s="58">
        <v>39.299783676095799</v>
      </c>
      <c r="C42" s="58">
        <v>39.512882569096298</v>
      </c>
      <c r="D42" s="58">
        <v>-57.539243856671</v>
      </c>
      <c r="E42" s="58">
        <v>89.990300882112706</v>
      </c>
      <c r="F42" s="58">
        <v>17.532100360941001</v>
      </c>
      <c r="G42" s="58">
        <v>-58.259745646328902</v>
      </c>
      <c r="H42">
        <v>85</v>
      </c>
    </row>
  </sheetData>
  <autoFilter ref="A1:H42" xr:uid="{D6C22CD7-D08C-4547-92FA-A5D4F28628C3}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5A361FC52636644AF018940F5BBAE47" ma:contentTypeVersion="16" ma:contentTypeDescription="Ein neues Dokument erstellen." ma:contentTypeScope="" ma:versionID="cd1529957c7d17fe4a80e725ffea5175">
  <xsd:schema xmlns:xsd="http://www.w3.org/2001/XMLSchema" xmlns:xs="http://www.w3.org/2001/XMLSchema" xmlns:p="http://schemas.microsoft.com/office/2006/metadata/properties" xmlns:ns2="e8c9f281-3412-4e7c-aa99-f11e77b29808" xmlns:ns3="12b2bc4a-8c05-4ac9-8444-39aa43079f4e" targetNamespace="http://schemas.microsoft.com/office/2006/metadata/properties" ma:root="true" ma:fieldsID="d684b0cbbc2c5e1d636bbda5fbd3ff3e" ns2:_="" ns3:_="">
    <xsd:import namespace="e8c9f281-3412-4e7c-aa99-f11e77b29808"/>
    <xsd:import namespace="12b2bc4a-8c05-4ac9-8444-39aa43079f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9f281-3412-4e7c-aa99-f11e77b298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2bc4a-8c05-4ac9-8444-39aa43079f4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2c757e8-f5ca-42fb-966e-1bf4dd28d8b4}" ma:internalName="TaxCatchAll" ma:showField="CatchAllData" ma:web="12b2bc4a-8c05-4ac9-8444-39aa43079f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b2bc4a-8c05-4ac9-8444-39aa43079f4e" xsi:nil="true"/>
    <lcf76f155ced4ddcb4097134ff3c332f xmlns="e8c9f281-3412-4e7c-aa99-f11e77b298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A4A558-6EFD-4DEB-AB49-A6171604C050}"/>
</file>

<file path=customXml/itemProps2.xml><?xml version="1.0" encoding="utf-8"?>
<ds:datastoreItem xmlns:ds="http://schemas.openxmlformats.org/officeDocument/2006/customXml" ds:itemID="{905D3370-F15A-4ABD-AECB-ABF52C7EB3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7609DB-CBF3-43BE-8CAF-13834A8DC6D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Info</vt:lpstr>
      <vt:lpstr>Phytoplankton</vt:lpstr>
      <vt:lpstr>Copepoda predatory</vt:lpstr>
      <vt:lpstr>Nauplia</vt:lpstr>
      <vt:lpstr>Copepoda predatory - ALL</vt:lpstr>
      <vt:lpstr>Rotifera herbivorous 2</vt:lpstr>
      <vt:lpstr>Cladocera small</vt:lpstr>
      <vt:lpstr>Daphnidae</vt:lpstr>
      <vt:lpstr>Final</vt:lpstr>
      <vt:lpstr>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Chiara Accolla</dc:creator>
  <cp:keywords/>
  <dc:description/>
  <cp:lastModifiedBy>OConnor, Isabel</cp:lastModifiedBy>
  <cp:revision/>
  <dcterms:created xsi:type="dcterms:W3CDTF">2022-02-22T18:19:44Z</dcterms:created>
  <dcterms:modified xsi:type="dcterms:W3CDTF">2023-04-17T11:25:54Z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0x01010065A361FC52636644AF018940F5BBAE47</vt:lpwstr>
  </property>
  <property fmtid="{D5CDD505-2E9C-101B-9397-08002B2CF9AE}" pid="3" name="MediaServiceImageTags">
    <vt:lpwstr/>
  </property>
</Properties>
</file>