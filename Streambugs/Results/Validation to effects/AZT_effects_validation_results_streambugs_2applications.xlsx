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bpgroup.sharepoint.com/sites/CH_P_220256/Documents/40_BEARBEITUNG/3_0_0_Documentation/08_FINAL_Github/Results/5_Validation to effects/"/>
    </mc:Choice>
  </mc:AlternateContent>
  <xr:revisionPtr revIDLastSave="4" documentId="13_ncr:1_{E129CE34-FDF0-4264-9BFD-FA6E8FB39587}" xr6:coauthVersionLast="47" xr6:coauthVersionMax="47" xr10:uidLastSave="{4AA121DF-9225-4C10-9C79-11AF65BDAD19}"/>
  <bookViews>
    <workbookView xWindow="-28920" yWindow="-120" windowWidth="29040" windowHeight="15840" xr2:uid="{D6307FC1-56E5-4FFB-9BD9-3284609FB3FE}"/>
  </bookViews>
  <sheets>
    <sheet name="Info" sheetId="1" r:id="rId1"/>
    <sheet name="Phytoplankton" sheetId="2" r:id="rId2"/>
    <sheet name="Copepoda predatory" sheetId="3" state="hidden" r:id="rId3"/>
    <sheet name="Nauplia" sheetId="8" state="hidden" r:id="rId4"/>
    <sheet name="Copepoda predatory - ALL" sheetId="10" r:id="rId5"/>
    <sheet name="Rotifera herbivorous 2" sheetId="4" r:id="rId6"/>
    <sheet name="Cladocera small" sheetId="5" r:id="rId7"/>
    <sheet name="Daphnidae" sheetId="6" r:id="rId8"/>
    <sheet name="no effect" sheetId="14" r:id="rId9"/>
    <sheet name="raw_data_effect" sheetId="11" state="hidden" r:id="rId10"/>
    <sheet name="raw_data_no_effect" sheetId="13" state="hidden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5" i="2" l="1"/>
  <c r="B6" i="2"/>
  <c r="C9" i="13"/>
  <c r="C10" i="13"/>
  <c r="C12" i="13"/>
  <c r="C8" i="13"/>
  <c r="B12" i="13"/>
  <c r="B11" i="13"/>
  <c r="B10" i="13"/>
  <c r="B9" i="13"/>
  <c r="B8" i="13"/>
  <c r="I3" i="11"/>
  <c r="I4" i="11"/>
  <c r="I5" i="11"/>
  <c r="I6" i="11"/>
  <c r="I7" i="11"/>
  <c r="I8" i="11"/>
  <c r="W6" i="5" s="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30" i="11"/>
  <c r="I31" i="11"/>
  <c r="I32" i="11"/>
  <c r="I33" i="11"/>
  <c r="I34" i="11"/>
  <c r="I35" i="11"/>
  <c r="I36" i="11"/>
  <c r="I37" i="11"/>
  <c r="I38" i="11"/>
  <c r="I39" i="11"/>
  <c r="I40" i="11"/>
  <c r="I41" i="11"/>
  <c r="I42" i="11"/>
  <c r="I43" i="11"/>
  <c r="I44" i="11"/>
  <c r="I45" i="11"/>
  <c r="I46" i="11"/>
  <c r="I47" i="11"/>
  <c r="I48" i="11"/>
  <c r="I49" i="11"/>
  <c r="I50" i="11"/>
  <c r="I51" i="11"/>
  <c r="I52" i="11"/>
  <c r="I53" i="11"/>
  <c r="I54" i="11"/>
  <c r="I55" i="11"/>
  <c r="I56" i="11"/>
  <c r="I57" i="11"/>
  <c r="I58" i="11"/>
  <c r="I59" i="11"/>
  <c r="I60" i="11"/>
  <c r="I61" i="11"/>
  <c r="I62" i="11"/>
  <c r="I63" i="11"/>
  <c r="I64" i="11"/>
  <c r="I65" i="11"/>
  <c r="I66" i="11"/>
  <c r="I67" i="11"/>
  <c r="I68" i="11"/>
  <c r="I69" i="11"/>
  <c r="I70" i="11"/>
  <c r="I71" i="11"/>
  <c r="I72" i="11"/>
  <c r="I73" i="11"/>
  <c r="I74" i="11"/>
  <c r="I75" i="11"/>
  <c r="I76" i="11"/>
  <c r="I77" i="11"/>
  <c r="I78" i="11"/>
  <c r="I79" i="11"/>
  <c r="I80" i="11"/>
  <c r="I81" i="11"/>
  <c r="I82" i="11"/>
  <c r="I83" i="11"/>
  <c r="I84" i="11"/>
  <c r="I85" i="11"/>
  <c r="I86" i="11"/>
  <c r="I87" i="11"/>
  <c r="I88" i="11"/>
  <c r="I89" i="11"/>
  <c r="I90" i="11"/>
  <c r="I91" i="11"/>
  <c r="I92" i="11"/>
  <c r="I93" i="11"/>
  <c r="I94" i="11"/>
  <c r="I95" i="11"/>
  <c r="I96" i="11"/>
  <c r="I97" i="11"/>
  <c r="I98" i="11"/>
  <c r="I99" i="11"/>
  <c r="I100" i="11"/>
  <c r="I101" i="11"/>
  <c r="I102" i="11"/>
  <c r="K6" i="5" l="1"/>
  <c r="J7" i="10"/>
  <c r="R7" i="10"/>
  <c r="F7" i="10"/>
  <c r="T6" i="4"/>
  <c r="H6" i="4"/>
  <c r="V6" i="5"/>
  <c r="J6" i="5"/>
  <c r="B6" i="5"/>
  <c r="L6" i="4"/>
  <c r="Q7" i="10"/>
  <c r="E7" i="10"/>
  <c r="S6" i="4"/>
  <c r="G6" i="4"/>
  <c r="U6" i="5"/>
  <c r="I6" i="5"/>
  <c r="Z6" i="4"/>
  <c r="B7" i="10"/>
  <c r="P7" i="10"/>
  <c r="D7" i="10"/>
  <c r="R6" i="4"/>
  <c r="F6" i="4"/>
  <c r="T6" i="5"/>
  <c r="H6" i="5"/>
  <c r="AA7" i="10"/>
  <c r="O7" i="10"/>
  <c r="C7" i="10"/>
  <c r="Q6" i="4"/>
  <c r="E6" i="4"/>
  <c r="S6" i="5"/>
  <c r="G6" i="5"/>
  <c r="N6" i="4"/>
  <c r="Z7" i="10"/>
  <c r="N7" i="10"/>
  <c r="B6" i="4"/>
  <c r="P6" i="4"/>
  <c r="D6" i="4"/>
  <c r="R6" i="5"/>
  <c r="F6" i="5"/>
  <c r="Y7" i="10"/>
  <c r="M7" i="10"/>
  <c r="AA6" i="4"/>
  <c r="O6" i="4"/>
  <c r="C6" i="4"/>
  <c r="Q6" i="5"/>
  <c r="E6" i="5"/>
  <c r="D6" i="5"/>
  <c r="W7" i="10"/>
  <c r="K7" i="10"/>
  <c r="Y6" i="4"/>
  <c r="M6" i="4"/>
  <c r="AA6" i="5"/>
  <c r="O6" i="5"/>
  <c r="C6" i="5"/>
  <c r="Z6" i="5"/>
  <c r="N6" i="5"/>
  <c r="P6" i="5"/>
  <c r="X6" i="4"/>
  <c r="U7" i="10"/>
  <c r="I7" i="10"/>
  <c r="W6" i="4"/>
  <c r="K6" i="4"/>
  <c r="Y6" i="5"/>
  <c r="M6" i="5"/>
  <c r="X7" i="10"/>
  <c r="V7" i="10"/>
  <c r="T7" i="10"/>
  <c r="H7" i="10"/>
  <c r="V6" i="4"/>
  <c r="J6" i="4"/>
  <c r="X6" i="5"/>
  <c r="L6" i="5"/>
  <c r="L7" i="10"/>
  <c r="S7" i="10"/>
  <c r="G7" i="10"/>
  <c r="U6" i="4"/>
  <c r="I6" i="4"/>
  <c r="C6" i="6"/>
  <c r="D6" i="6"/>
  <c r="E6" i="6"/>
  <c r="F6" i="6"/>
  <c r="G6" i="6"/>
  <c r="H6" i="6"/>
  <c r="I6" i="6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X6" i="6"/>
  <c r="Y6" i="6"/>
  <c r="Z6" i="6"/>
  <c r="AA6" i="6"/>
  <c r="B6" i="6"/>
  <c r="C15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C6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</calcChain>
</file>

<file path=xl/sharedStrings.xml><?xml version="1.0" encoding="utf-8"?>
<sst xmlns="http://schemas.openxmlformats.org/spreadsheetml/2006/main" count="5137" uniqueCount="135">
  <si>
    <t>day 63</t>
  </si>
  <si>
    <t>day 69</t>
  </si>
  <si>
    <t>day 76</t>
  </si>
  <si>
    <t>day 14</t>
  </si>
  <si>
    <t>day 21</t>
  </si>
  <si>
    <t>day 27</t>
  </si>
  <si>
    <t>day 35</t>
  </si>
  <si>
    <t>day 42</t>
  </si>
  <si>
    <t>day 49</t>
  </si>
  <si>
    <t>day 55</t>
  </si>
  <si>
    <t>day 7</t>
  </si>
  <si>
    <t>day 85</t>
  </si>
  <si>
    <t>day 29</t>
  </si>
  <si>
    <t>day 1</t>
  </si>
  <si>
    <t>day 9</t>
  </si>
  <si>
    <t>day 15</t>
  </si>
  <si>
    <t>****</t>
  </si>
  <si>
    <t>Species group</t>
  </si>
  <si>
    <t>day 5</t>
  </si>
  <si>
    <t>day 22</t>
  </si>
  <si>
    <t>day 36</t>
  </si>
  <si>
    <t>day 43</t>
  </si>
  <si>
    <t>day 50</t>
  </si>
  <si>
    <t>day 57</t>
  </si>
  <si>
    <t>day 64</t>
  </si>
  <si>
    <t>day 71</t>
  </si>
  <si>
    <t>day 77</t>
  </si>
  <si>
    <t>CRITERIA TO ANALYZE MODEL OUTPUTS WHEN SIMULATING EFFECTS</t>
  </si>
  <si>
    <t>Day after first application</t>
  </si>
  <si>
    <t>Date</t>
  </si>
  <si>
    <t>**** NOTE</t>
  </si>
  <si>
    <r>
      <t>You have to fill this table (and the table in the next sheet) only if you</t>
    </r>
    <r>
      <rPr>
        <b/>
        <u/>
        <sz val="18"/>
        <color rgb="FFFF0000"/>
        <rFont val="Calibri"/>
        <family val="2"/>
        <scheme val="minor"/>
      </rPr>
      <t xml:space="preserve"> explicitly represented</t>
    </r>
    <r>
      <rPr>
        <b/>
        <sz val="18"/>
        <color rgb="FFFF0000"/>
        <rFont val="Calibri"/>
        <family val="2"/>
        <scheme val="minor"/>
      </rPr>
      <t xml:space="preserve"> Nauplii</t>
    </r>
  </si>
  <si>
    <r>
      <t xml:space="preserve">You have to fill this table only if you </t>
    </r>
    <r>
      <rPr>
        <b/>
        <u/>
        <sz val="18"/>
        <color rgb="FFFF0000"/>
        <rFont val="Calibri"/>
        <family val="2"/>
        <scheme val="minor"/>
      </rPr>
      <t>DID NOT explicitly represented</t>
    </r>
    <r>
      <rPr>
        <b/>
        <sz val="18"/>
        <color rgb="FFFF0000"/>
        <rFont val="Calibri"/>
        <family val="2"/>
        <scheme val="minor"/>
      </rPr>
      <t xml:space="preserve"> Nauplii</t>
    </r>
  </si>
  <si>
    <r>
      <t>You have to fill this table (and the table in the previous sheet) only if you</t>
    </r>
    <r>
      <rPr>
        <b/>
        <u/>
        <sz val="18"/>
        <color rgb="FFFF0000"/>
        <rFont val="Calibri"/>
        <family val="2"/>
        <scheme val="minor"/>
      </rPr>
      <t xml:space="preserve"> explicitly represented</t>
    </r>
    <r>
      <rPr>
        <b/>
        <sz val="18"/>
        <color rgb="FFFF0000"/>
        <rFont val="Calibri"/>
        <family val="2"/>
        <scheme val="minor"/>
      </rPr>
      <t xml:space="preserve"> Nauplii</t>
    </r>
  </si>
  <si>
    <t>day 83</t>
  </si>
  <si>
    <t>ME</t>
  </si>
  <si>
    <t>Simulated effect size  [%]</t>
  </si>
  <si>
    <t>Simulated effect size [%]</t>
  </si>
  <si>
    <t>Date: Jan 25 2023</t>
  </si>
  <si>
    <t>Prepared by: Chiara Accolla, Amelie Schmolke</t>
  </si>
  <si>
    <r>
      <t xml:space="preserve">The following sheets in this file provide the numerical effect criteria for relevant,treatment-related effects and templates for the reporting of the effect </t>
    </r>
    <r>
      <rPr>
        <b/>
        <sz val="11"/>
        <color theme="1"/>
        <rFont val="Calibri"/>
        <family val="2"/>
        <scheme val="minor"/>
      </rPr>
      <t>VALIDATION</t>
    </r>
    <r>
      <rPr>
        <sz val="11"/>
        <color theme="1"/>
        <rFont val="Calibri"/>
        <family val="2"/>
        <scheme val="minor"/>
      </rPr>
      <t xml:space="preserve"> outcomes. The following points summarize the steps for presentation of the simulated effects. </t>
    </r>
    <r>
      <rPr>
        <b/>
        <sz val="11"/>
        <color rgb="FFFF0000"/>
        <rFont val="Calibri"/>
        <family val="2"/>
        <scheme val="minor"/>
      </rPr>
      <t>Relevant, treatment-related effects that apply to consensus species groups were only observed in the highest treatment level (33 µg ai/L) applied in the 2021 AZT mesocsom study and thus, all criteria listed apply to this treatment level only.</t>
    </r>
    <r>
      <rPr>
        <sz val="11"/>
        <color theme="1"/>
        <rFont val="Calibri"/>
        <family val="2"/>
        <scheme val="minor"/>
      </rPr>
      <t xml:space="preserve"> Reporting on simulated effects in species groups without observed, treatment-related effects in the mesocosm study is </t>
    </r>
    <r>
      <rPr>
        <i/>
        <sz val="11"/>
        <color theme="1"/>
        <rFont val="Calibri"/>
        <family val="2"/>
        <scheme val="minor"/>
      </rPr>
      <t>not</t>
    </r>
    <r>
      <rPr>
        <sz val="11"/>
        <color theme="1"/>
        <rFont val="Calibri"/>
        <family val="2"/>
        <scheme val="minor"/>
      </rPr>
      <t xml:space="preserve"> included in this template (see Section II. in the accompanying document). </t>
    </r>
  </si>
  <si>
    <t xml:space="preserve">Instructions:  In each tab, fill in the simulated percentage effect size. </t>
  </si>
  <si>
    <t>Note: you will have to fill some extra dates in comparison to the dates you filled in the effect-calibration simulations</t>
  </si>
  <si>
    <t xml:space="preserve">Graphical instructions: you will have to prepare the same graphs you did for the effect-calibration simuatiations. For each species group, you will plot: </t>
  </si>
  <si>
    <t xml:space="preserve">1. the biomass/abundance/chl-a resulting from the simulated control and treatment </t>
  </si>
  <si>
    <t>2. the % simulated effect size and the MDD grey area (this latter will be the same as the one plotted in the effect-calibration figures).</t>
  </si>
  <si>
    <t>day 19</t>
  </si>
  <si>
    <t>day 28</t>
  </si>
  <si>
    <t>day 56</t>
  </si>
  <si>
    <t>day 70</t>
  </si>
  <si>
    <t>day 84</t>
  </si>
  <si>
    <t xml:space="preserve">Diatoms </t>
  </si>
  <si>
    <t>Cryptophytes</t>
  </si>
  <si>
    <r>
      <t xml:space="preserve">Model output for the </t>
    </r>
    <r>
      <rPr>
        <b/>
        <sz val="14"/>
        <color rgb="FFFF0000"/>
        <rFont val="Calibri"/>
        <family val="2"/>
        <scheme val="minor"/>
      </rPr>
      <t>2-application study</t>
    </r>
  </si>
  <si>
    <t>Copepodit + adults</t>
  </si>
  <si>
    <t>day 12</t>
  </si>
  <si>
    <t>day 26</t>
  </si>
  <si>
    <t>day 33</t>
  </si>
  <si>
    <t>day 40</t>
  </si>
  <si>
    <t>day 47</t>
  </si>
  <si>
    <t>day 54</t>
  </si>
  <si>
    <t>day 61</t>
  </si>
  <si>
    <t>day 68</t>
  </si>
  <si>
    <t>day 75</t>
  </si>
  <si>
    <t>day 82</t>
  </si>
  <si>
    <t>Nauplia</t>
  </si>
  <si>
    <t>Sum Copepoda</t>
  </si>
  <si>
    <t>Sum Rotatoria</t>
  </si>
  <si>
    <t>Daphnia</t>
  </si>
  <si>
    <t>Ecosystem modeling of mesocosm studies: Azoxystrobin effect validation criteria - 2-application scenario</t>
  </si>
  <si>
    <t>E212p33_hab1_PhDiatoms_Algae</t>
  </si>
  <si>
    <t>E212p33_hab1_PhCryptophytes_Algae</t>
  </si>
  <si>
    <t>E212p33_hab1_CopepodaPredatory_Invertebrates</t>
  </si>
  <si>
    <t>E212p33_hab1_RotiferaHerbivorous2_Invertebrates</t>
  </si>
  <si>
    <t>E212p33_hab1_CladoceraSmall_Invertebrates</t>
  </si>
  <si>
    <t>E212p33_hab1_Daphnidae_Invertebrates</t>
  </si>
  <si>
    <t>sim.b$DAT</t>
  </si>
  <si>
    <t>NA</t>
  </si>
  <si>
    <t>DAT 1 =17.06.2021</t>
  </si>
  <si>
    <t>CladoceraSmall</t>
  </si>
  <si>
    <t>E212p33_hab1_FPOM_POM</t>
  </si>
  <si>
    <t>E212p33_hab1_PhBlueGreens_Algae</t>
  </si>
  <si>
    <t>E212p33_hab1_PhGreens_Algae</t>
  </si>
  <si>
    <t>E212p33_hab1_PeBlueGreens_Algae</t>
  </si>
  <si>
    <t>E212p33_hab1_PeGreens_Algae</t>
  </si>
  <si>
    <t>E212p33_hab1_PeDiatoms_Algae</t>
  </si>
  <si>
    <t>E212p33_hab1_CladoceraPhytophilous_Invertebrates</t>
  </si>
  <si>
    <t>E212p33_hab1_CopepodaHerbivorous_Invertebrates</t>
  </si>
  <si>
    <t>E212p33_hab1_Simocephalus_Invertebrates</t>
  </si>
  <si>
    <t>E212p33_hab1_RotiferaHerbivorous1_Invertebrates</t>
  </si>
  <si>
    <t>E212p33_hab1_Asellus_Invertebrates</t>
  </si>
  <si>
    <t>E212p33_hab1_Chaoborus_Invertebrates</t>
  </si>
  <si>
    <t>E212p33_hab1_Chironomidae_Invertebrates</t>
  </si>
  <si>
    <t>E212p33_hab1_Cloeon_Invertebrates</t>
  </si>
  <si>
    <t>E212p33_hab1_Gammarus_Invertebrates</t>
  </si>
  <si>
    <t>E212p33_hab1_Gastropoda_Invertebrates</t>
  </si>
  <si>
    <t>E212p33_hab1_Hirudinea_Invertebrates</t>
  </si>
  <si>
    <t>E212p33_hab1_Nepomorpha_Invertebrates</t>
  </si>
  <si>
    <t>E212p33_hab1_Odonata_Invertebrates</t>
  </si>
  <si>
    <t>E212p33_hab1_Oligochaeta_Invertebrates</t>
  </si>
  <si>
    <t>E212p33_hab1_Tanypodinae_Invertebrates</t>
  </si>
  <si>
    <t>E212p10_hab1_FPOM_POM</t>
  </si>
  <si>
    <t>E212p10_hab1_PhBlueGreens_Algae</t>
  </si>
  <si>
    <t>E212p10_hab1_PhGreens_Algae</t>
  </si>
  <si>
    <t>E212p10_hab1_PhDiatoms_Algae</t>
  </si>
  <si>
    <t>E212p10_hab1_PhCryptophytes_Algae</t>
  </si>
  <si>
    <t>E212p10_hab1_PeBlueGreens_Algae</t>
  </si>
  <si>
    <t>E212p10_hab1_PeGreens_Algae</t>
  </si>
  <si>
    <t>E212p10_hab1_PeDiatoms_Algae</t>
  </si>
  <si>
    <t>E212p10_hab1_CladoceraPhytophilous_Invertebrates</t>
  </si>
  <si>
    <t>E212p10_hab1_CladoceraSmall_Invertebrates</t>
  </si>
  <si>
    <t>E212p10_hab1_CopepodaHerbivorous_Invertebrates</t>
  </si>
  <si>
    <t>E212p10_hab1_CopepodaPredatory_Invertebrates</t>
  </si>
  <si>
    <t>E212p10_hab1_Daphnidae_Invertebrates</t>
  </si>
  <si>
    <t>E212p10_hab1_Simocephalus_Invertebrates</t>
  </si>
  <si>
    <t>E212p10_hab1_RotiferaHerbivorous1_Invertebrates</t>
  </si>
  <si>
    <t>E212p10_hab1_RotiferaHerbivorous2_Invertebrates</t>
  </si>
  <si>
    <t>E212p10_hab1_Asellus_Invertebrates</t>
  </si>
  <si>
    <t>E212p10_hab1_Chaoborus_Invertebrates</t>
  </si>
  <si>
    <t>E212p10_hab1_Chironomidae_Invertebrates</t>
  </si>
  <si>
    <t>E212p10_hab1_Cloeon_Invertebrates</t>
  </si>
  <si>
    <t>E212p10_hab1_Gammarus_Invertebrates</t>
  </si>
  <si>
    <t>E212p10_hab1_Gastropoda_Invertebrates</t>
  </si>
  <si>
    <t>E212p10_hab1_Hirudinea_Invertebrates</t>
  </si>
  <si>
    <t>E212p10_hab1_Nepomorpha_Invertebrates</t>
  </si>
  <si>
    <t>E212p10_hab1_Odonata_Invertebrates</t>
  </si>
  <si>
    <t>E212p10_hab1_Oligochaeta_Invertebrates</t>
  </si>
  <si>
    <t>E212p10_hab1_Tanypodinae_Invertebrates</t>
  </si>
  <si>
    <t>TRUE</t>
  </si>
  <si>
    <t>FALSE</t>
  </si>
  <si>
    <t>excluded because not relevant for assessment (FPOM: no criteria, Gammarus and Copepoda Herbivorous: not occuring)</t>
  </si>
  <si>
    <t>Score</t>
  </si>
  <si>
    <t>Total</t>
  </si>
  <si>
    <t>How many species - sampling days fulfill the criterion? (criterion: effect size &lt;20%)</t>
  </si>
  <si>
    <t>88% of the species - sampling date combinations fulfill the criterion of no effect (effect size &lt;20%)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</si>
</sst>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0.0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18"/>
      <color theme="1"/>
      <name val="Calibri"/>
      <family val="2"/>
      <scheme val="minor"/>
    </font>
    <font>
      <b/>
      <u/>
      <sz val="18"/>
      <color rgb="FFFF0000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0" tint="-0.34998626667073579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0" fontId="10" fillId="0" borderId="0"/>
    <xf numFmtId="43" fontId="13" fillId="0" borderId="0" applyFont="0" applyFill="0" applyBorder="0" applyAlignment="0" applyProtection="0"/>
    <xf numFmtId="9" fontId="13" fillId="0" borderId="0" applyFont="0" applyFill="0" applyBorder="0" applyAlignment="0" applyProtection="0"/>
  </cellStyleXfs>
  <cellXfs count="61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1" xfId="0" applyBorder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5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4" xfId="0" applyBorder="1" applyAlignment="1">
      <alignment wrapText="1"/>
    </xf>
    <xf numFmtId="0" fontId="1" fillId="0" borderId="0" xfId="0" applyFont="1" applyAlignment="1">
      <alignment horizontal="left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0" fillId="0" borderId="1" xfId="0" applyBorder="1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horizontal="center" vertical="center" wrapText="1"/>
    </xf>
    <xf numFmtId="0" fontId="5" fillId="0" borderId="0" xfId="0" applyFont="1" applyAlignment="1">
      <alignment vertical="center" wrapText="1"/>
    </xf>
    <xf numFmtId="14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4" fontId="0" fillId="2" borderId="10" xfId="0" applyNumberFormat="1" applyFill="1" applyBorder="1" applyAlignment="1">
      <alignment horizontal="center" vertical="center"/>
    </xf>
    <xf numFmtId="0" fontId="0" fillId="2" borderId="4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1" fillId="2" borderId="2" xfId="0" applyFont="1" applyFill="1" applyBorder="1" applyAlignment="1">
      <alignment horizontal="center" vertical="center" wrapText="1"/>
    </xf>
    <xf numFmtId="1" fontId="8" fillId="0" borderId="0" xfId="0" applyNumberFormat="1" applyFont="1" applyAlignment="1">
      <alignment horizontal="center"/>
    </xf>
    <xf numFmtId="1" fontId="11" fillId="0" borderId="0" xfId="0" applyNumberFormat="1" applyFont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164" fontId="0" fillId="0" borderId="1" xfId="2" applyNumberFormat="1" applyFont="1" applyBorder="1" applyAlignment="1">
      <alignment vertical="center"/>
    </xf>
    <xf numFmtId="0" fontId="1" fillId="3" borderId="6" xfId="0" applyFont="1" applyFill="1" applyBorder="1" applyAlignment="1">
      <alignment horizontal="center" vertical="center" wrapText="1"/>
    </xf>
    <xf numFmtId="0" fontId="0" fillId="3" borderId="0" xfId="0" applyFill="1" applyAlignment="1">
      <alignment wrapText="1"/>
    </xf>
    <xf numFmtId="165" fontId="0" fillId="0" borderId="0" xfId="0" applyNumberFormat="1"/>
    <xf numFmtId="1" fontId="0" fillId="0" borderId="0" xfId="0" applyNumberFormat="1"/>
    <xf numFmtId="9" fontId="0" fillId="0" borderId="0" xfId="3" applyFont="1"/>
    <xf numFmtId="0" fontId="0" fillId="0" borderId="9" xfId="0" applyBorder="1"/>
    <xf numFmtId="9" fontId="0" fillId="0" borderId="9" xfId="3" applyFont="1" applyBorder="1"/>
    <xf numFmtId="0" fontId="0" fillId="0" borderId="12" xfId="0" applyBorder="1"/>
    <xf numFmtId="9" fontId="0" fillId="0" borderId="12" xfId="3" applyFont="1" applyBorder="1"/>
    <xf numFmtId="0" fontId="1" fillId="0" borderId="2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</cellXfs>
  <cellStyles count="4">
    <cellStyle name="Komma" xfId="2" builtinId="3"/>
    <cellStyle name="Prozent" xfId="3" builtinId="5"/>
    <cellStyle name="Standard" xfId="0" builtinId="0"/>
    <cellStyle name="Standard 2" xfId="1" xr:uid="{B2FB46BC-564C-46C8-BD68-D13FD50BCEAB}"/>
  </cellStyles>
  <dxfs count="0"/>
  <tableStyles count="0" defaultTableStyle="TableStyleMedium2" defaultPivotStyle="PivotStyleLight16"/>
  <colors>
    <mruColors>
      <color rgb="FF5F5F5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A09DA-28BA-440B-8F0A-AF8BC4F620D1}">
  <dimension ref="A1:O53"/>
  <sheetViews>
    <sheetView tabSelected="1" workbookViewId="0">
      <selection activeCell="B22" sqref="B22"/>
    </sheetView>
  </sheetViews>
  <sheetFormatPr baseColWidth="10" defaultColWidth="9.140625" defaultRowHeight="15" x14ac:dyDescent="0.25"/>
  <cols>
    <col min="1" max="1" width="9.140625" style="3"/>
    <col min="2" max="2" width="200.42578125" customWidth="1"/>
    <col min="4" max="4" width="11" customWidth="1"/>
  </cols>
  <sheetData>
    <row r="1" spans="1:7" ht="27.95" customHeight="1" x14ac:dyDescent="0.25">
      <c r="A1" s="51" t="s">
        <v>27</v>
      </c>
      <c r="B1" s="52"/>
      <c r="C1" s="52"/>
      <c r="D1" s="52"/>
      <c r="E1" s="52"/>
      <c r="F1" s="52"/>
      <c r="G1" s="53"/>
    </row>
    <row r="2" spans="1:7" ht="27.95" customHeight="1" x14ac:dyDescent="0.25">
      <c r="A2" s="4"/>
      <c r="B2" s="4"/>
      <c r="C2" s="4"/>
      <c r="D2" s="4"/>
      <c r="E2" s="4"/>
      <c r="F2" s="4"/>
      <c r="G2" s="4"/>
    </row>
    <row r="3" spans="1:7" ht="27.95" customHeight="1" x14ac:dyDescent="0.25">
      <c r="A3" s="12" t="s">
        <v>69</v>
      </c>
      <c r="B3" s="4"/>
      <c r="C3" s="4"/>
      <c r="D3" s="4"/>
      <c r="E3" s="4"/>
      <c r="F3" s="4"/>
      <c r="G3" s="4"/>
    </row>
    <row r="4" spans="1:7" ht="27.95" customHeight="1" x14ac:dyDescent="0.25">
      <c r="A4" s="12" t="s">
        <v>38</v>
      </c>
      <c r="B4" s="4"/>
      <c r="C4" s="4"/>
      <c r="D4" s="4"/>
      <c r="E4" s="4"/>
      <c r="F4" s="4"/>
      <c r="G4" s="4"/>
    </row>
    <row r="5" spans="1:7" ht="27.95" customHeight="1" x14ac:dyDescent="0.25">
      <c r="A5" s="12" t="s">
        <v>39</v>
      </c>
      <c r="B5" s="4"/>
      <c r="C5" s="4"/>
      <c r="D5" s="4"/>
      <c r="E5" s="4"/>
      <c r="F5" s="4"/>
      <c r="G5" s="4"/>
    </row>
    <row r="6" spans="1:7" ht="66" customHeight="1" x14ac:dyDescent="0.25">
      <c r="B6" s="13" t="s">
        <v>40</v>
      </c>
      <c r="C6" s="14"/>
      <c r="D6" s="15"/>
      <c r="E6" s="4"/>
      <c r="F6" s="4"/>
      <c r="G6" s="4"/>
    </row>
    <row r="7" spans="1:7" ht="39" customHeight="1" x14ac:dyDescent="0.25">
      <c r="B7" s="13" t="s">
        <v>41</v>
      </c>
      <c r="C7" s="4"/>
      <c r="D7" s="4"/>
      <c r="E7" s="4"/>
      <c r="F7" s="4"/>
      <c r="G7" s="4"/>
    </row>
    <row r="8" spans="1:7" ht="27.95" customHeight="1" x14ac:dyDescent="0.25">
      <c r="A8" s="4"/>
      <c r="B8" s="4"/>
      <c r="C8" s="4"/>
      <c r="D8" s="4"/>
      <c r="E8" s="4"/>
      <c r="F8" s="4"/>
      <c r="G8" s="4"/>
    </row>
    <row r="9" spans="1:7" x14ac:dyDescent="0.25">
      <c r="A9" s="3" t="s">
        <v>16</v>
      </c>
      <c r="B9" t="s">
        <v>42</v>
      </c>
    </row>
    <row r="10" spans="1:7" x14ac:dyDescent="0.25">
      <c r="A10" t="s">
        <v>16</v>
      </c>
      <c r="B10" t="s">
        <v>43</v>
      </c>
    </row>
    <row r="11" spans="1:7" x14ac:dyDescent="0.25">
      <c r="A11"/>
      <c r="B11" t="s">
        <v>44</v>
      </c>
    </row>
    <row r="12" spans="1:7" x14ac:dyDescent="0.25">
      <c r="A12"/>
      <c r="B12" t="s">
        <v>45</v>
      </c>
    </row>
    <row r="13" spans="1:7" x14ac:dyDescent="0.25">
      <c r="A13"/>
    </row>
    <row r="14" spans="1:7" x14ac:dyDescent="0.25">
      <c r="A14"/>
    </row>
    <row r="15" spans="1:7" x14ac:dyDescent="0.25">
      <c r="A15"/>
    </row>
    <row r="16" spans="1:7" x14ac:dyDescent="0.25">
      <c r="A16"/>
      <c r="B16" s="1"/>
    </row>
    <row r="17" spans="1:15" x14ac:dyDescent="0.25">
      <c r="B17" s="1"/>
    </row>
    <row r="18" spans="1:15" x14ac:dyDescent="0.25">
      <c r="A18"/>
    </row>
    <row r="20" spans="1:15" x14ac:dyDescent="0.25">
      <c r="B20" s="4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5">
      <c r="C21" s="1"/>
    </row>
    <row r="22" spans="1:15" x14ac:dyDescent="0.25">
      <c r="B22" s="10"/>
      <c r="C22" s="1"/>
      <c r="D22" s="1"/>
    </row>
    <row r="23" spans="1:15" x14ac:dyDescent="0.25">
      <c r="B23" s="10"/>
      <c r="C23" s="1"/>
      <c r="D23" s="1"/>
    </row>
    <row r="26" spans="1:15" x14ac:dyDescent="0.25">
      <c r="C26" s="1"/>
    </row>
    <row r="27" spans="1:15" x14ac:dyDescent="0.25">
      <c r="C27" s="1"/>
      <c r="D27" s="1"/>
      <c r="E27" s="1"/>
      <c r="F27" s="1"/>
      <c r="G27" s="1"/>
      <c r="H27" s="1"/>
    </row>
    <row r="28" spans="1:15" x14ac:dyDescent="0.25">
      <c r="A28"/>
      <c r="B28" s="1"/>
      <c r="C28" s="1"/>
      <c r="D28" s="1"/>
      <c r="E28" s="1"/>
      <c r="F28" s="1"/>
      <c r="G28" s="1"/>
      <c r="H28" s="1"/>
    </row>
    <row r="29" spans="1:15" x14ac:dyDescent="0.25">
      <c r="B29" s="1"/>
    </row>
    <row r="31" spans="1:15" x14ac:dyDescent="0.25">
      <c r="A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</row>
    <row r="32" spans="1:15" x14ac:dyDescent="0.25">
      <c r="B32" s="1"/>
      <c r="C32" s="1"/>
    </row>
    <row r="33" spans="1:4" x14ac:dyDescent="0.25">
      <c r="A33" s="4"/>
      <c r="B33" s="1"/>
      <c r="C33" s="10"/>
      <c r="D33" s="10"/>
    </row>
    <row r="34" spans="1:4" x14ac:dyDescent="0.25">
      <c r="A34" s="10"/>
      <c r="C34" s="10"/>
      <c r="D34" s="10"/>
    </row>
    <row r="36" spans="1:4" x14ac:dyDescent="0.25">
      <c r="B36" s="1"/>
    </row>
    <row r="37" spans="1:4" x14ac:dyDescent="0.25">
      <c r="B37" s="1"/>
    </row>
    <row r="38" spans="1:4" x14ac:dyDescent="0.25">
      <c r="C38" s="1"/>
    </row>
    <row r="39" spans="1:4" x14ac:dyDescent="0.25">
      <c r="C39" s="1"/>
      <c r="D39" s="1"/>
    </row>
    <row r="40" spans="1:4" x14ac:dyDescent="0.25">
      <c r="A40"/>
      <c r="B40" s="1"/>
      <c r="C40" s="1"/>
      <c r="D40" s="1"/>
    </row>
    <row r="41" spans="1:4" x14ac:dyDescent="0.25">
      <c r="B41" s="1"/>
    </row>
    <row r="42" spans="1:4" x14ac:dyDescent="0.25">
      <c r="B42" s="1"/>
      <c r="C42" s="1"/>
    </row>
    <row r="43" spans="1:4" x14ac:dyDescent="0.25">
      <c r="C43" s="1"/>
    </row>
    <row r="44" spans="1:4" x14ac:dyDescent="0.25">
      <c r="A44"/>
      <c r="C44" s="1"/>
    </row>
    <row r="46" spans="1:4" x14ac:dyDescent="0.25">
      <c r="C46" s="1"/>
    </row>
    <row r="47" spans="1:4" x14ac:dyDescent="0.25">
      <c r="C47" s="1"/>
      <c r="D47" s="1"/>
    </row>
    <row r="48" spans="1:4" x14ac:dyDescent="0.25">
      <c r="A48"/>
      <c r="C48" s="1"/>
      <c r="D48" s="1"/>
    </row>
    <row r="50" spans="1:5" x14ac:dyDescent="0.25">
      <c r="C50" s="1"/>
    </row>
    <row r="51" spans="1:5" x14ac:dyDescent="0.25">
      <c r="C51" s="1"/>
      <c r="D51" s="1"/>
      <c r="E51" s="1"/>
    </row>
    <row r="52" spans="1:5" x14ac:dyDescent="0.25">
      <c r="A52"/>
      <c r="C52" s="1"/>
      <c r="D52" s="1"/>
      <c r="E52" s="1"/>
    </row>
    <row r="53" spans="1:5" x14ac:dyDescent="0.25">
      <c r="A53"/>
      <c r="C53" s="1"/>
      <c r="D53" s="1"/>
      <c r="E53" s="1"/>
    </row>
  </sheetData>
  <mergeCells count="1">
    <mergeCell ref="A1:G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A9DBD-3F56-4320-80EA-B5DBDB2DF94E}">
  <dimension ref="A1:AA45"/>
  <sheetViews>
    <sheetView zoomScale="70" zoomScaleNormal="70" workbookViewId="0">
      <selection activeCell="B16" sqref="B16"/>
    </sheetView>
  </sheetViews>
  <sheetFormatPr baseColWidth="10" defaultColWidth="9.140625" defaultRowHeight="15" x14ac:dyDescent="0.25"/>
  <cols>
    <col min="1" max="1" width="18.7109375" style="17" customWidth="1"/>
    <col min="2" max="20" width="10.7109375" customWidth="1"/>
    <col min="21" max="21" width="11.140625" customWidth="1"/>
  </cols>
  <sheetData>
    <row r="1" spans="1:27" ht="35.1" customHeight="1" thickBot="1" x14ac:dyDescent="0.3">
      <c r="A1" s="23"/>
      <c r="B1" s="57"/>
      <c r="C1" s="57"/>
      <c r="D1" s="57"/>
      <c r="E1" s="57"/>
      <c r="F1" s="57"/>
      <c r="G1" s="57"/>
      <c r="H1" s="57"/>
      <c r="I1" s="57"/>
      <c r="J1" s="1"/>
      <c r="K1" s="1"/>
      <c r="Q1" s="8"/>
      <c r="R1" s="8"/>
      <c r="S1" s="8"/>
      <c r="T1" s="8"/>
      <c r="U1" s="8"/>
    </row>
    <row r="2" spans="1:27" ht="35.1" customHeight="1" thickBot="1" x14ac:dyDescent="0.3">
      <c r="A2" s="9" t="s">
        <v>17</v>
      </c>
      <c r="O2" s="7"/>
      <c r="P2" s="6"/>
      <c r="Q2" s="6"/>
      <c r="R2" s="6"/>
      <c r="S2" s="6"/>
      <c r="T2" s="6"/>
      <c r="U2" s="6"/>
    </row>
    <row r="3" spans="1:27" ht="35.1" customHeight="1" thickBot="1" x14ac:dyDescent="0.3">
      <c r="A3" s="39" t="s">
        <v>51</v>
      </c>
      <c r="B3" s="58" t="s">
        <v>53</v>
      </c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60"/>
      <c r="V3" s="18"/>
      <c r="W3" s="18"/>
      <c r="X3" s="18"/>
      <c r="Y3" s="18"/>
      <c r="Z3" s="18"/>
      <c r="AA3" s="18"/>
    </row>
    <row r="4" spans="1:27" ht="35.1" customHeight="1" x14ac:dyDescent="0.25">
      <c r="A4" s="11" t="s">
        <v>29</v>
      </c>
      <c r="B4" s="37">
        <v>44364</v>
      </c>
      <c r="C4" s="38">
        <v>44368</v>
      </c>
      <c r="D4" s="38">
        <v>44372</v>
      </c>
      <c r="E4" s="38">
        <v>44377</v>
      </c>
      <c r="F4" s="38">
        <v>44382</v>
      </c>
      <c r="G4" s="38">
        <v>44384</v>
      </c>
      <c r="H4" s="38">
        <v>44390</v>
      </c>
      <c r="I4" s="38">
        <v>44391</v>
      </c>
      <c r="J4" s="38">
        <v>44398</v>
      </c>
      <c r="K4" s="38">
        <v>44405</v>
      </c>
      <c r="L4" s="38">
        <v>44412</v>
      </c>
      <c r="M4" s="38">
        <v>44418</v>
      </c>
      <c r="N4" s="38">
        <v>44419</v>
      </c>
      <c r="O4" s="38">
        <v>44426</v>
      </c>
      <c r="P4" s="38">
        <v>44432</v>
      </c>
      <c r="Q4" s="38">
        <v>44433</v>
      </c>
      <c r="R4" s="38">
        <v>44439</v>
      </c>
      <c r="S4" s="38">
        <v>44440</v>
      </c>
      <c r="T4" s="38">
        <v>44446</v>
      </c>
      <c r="U4" s="37">
        <v>44447</v>
      </c>
    </row>
    <row r="5" spans="1:27" ht="35.1" customHeight="1" x14ac:dyDescent="0.25">
      <c r="A5" s="11" t="s">
        <v>28</v>
      </c>
      <c r="B5" s="2" t="s">
        <v>13</v>
      </c>
      <c r="C5" s="2" t="s">
        <v>18</v>
      </c>
      <c r="D5" s="2" t="s">
        <v>14</v>
      </c>
      <c r="E5" s="2" t="s">
        <v>3</v>
      </c>
      <c r="F5" s="2" t="s">
        <v>46</v>
      </c>
      <c r="G5" s="2" t="s">
        <v>4</v>
      </c>
      <c r="H5" s="2" t="s">
        <v>5</v>
      </c>
      <c r="I5" s="2" t="s">
        <v>47</v>
      </c>
      <c r="J5" s="2" t="s">
        <v>6</v>
      </c>
      <c r="K5" s="2" t="s">
        <v>7</v>
      </c>
      <c r="L5" s="2" t="s">
        <v>8</v>
      </c>
      <c r="M5" s="2" t="s">
        <v>9</v>
      </c>
      <c r="N5" s="2" t="s">
        <v>48</v>
      </c>
      <c r="O5" s="2" t="s">
        <v>0</v>
      </c>
      <c r="P5" s="2" t="s">
        <v>1</v>
      </c>
      <c r="Q5" s="2" t="s">
        <v>49</v>
      </c>
      <c r="R5" s="2" t="s">
        <v>2</v>
      </c>
      <c r="S5" s="2" t="s">
        <v>26</v>
      </c>
      <c r="T5" s="2" t="s">
        <v>34</v>
      </c>
      <c r="U5" s="2" t="s">
        <v>50</v>
      </c>
    </row>
    <row r="6" spans="1:27" ht="35.1" customHeight="1" x14ac:dyDescent="0.25">
      <c r="A6" s="21" t="s">
        <v>36</v>
      </c>
      <c r="B6" s="41">
        <f>INDEX(raw_data_effect!$1:$1048576,MATCH(B$5,raw_data_effect!$I:$I,0),MATCH($A$3,raw_data_effect!$1:$1,0))</f>
        <v>-0.20851851824784201</v>
      </c>
      <c r="C6" s="41">
        <f>INDEX(raw_data_effect!$1:$1048576,MATCH(C$5,raw_data_effect!$I:$I,0),MATCH($A$3,raw_data_effect!$1:$1,0))</f>
        <v>-0.44296627190737597</v>
      </c>
      <c r="D6" s="41">
        <f>INDEX(raw_data_effect!$1:$1048576,MATCH(D$5,raw_data_effect!$I:$I,0),MATCH($A$3,raw_data_effect!$1:$1,0))</f>
        <v>-0.75059604507641098</v>
      </c>
      <c r="E6" s="41">
        <f>INDEX(raw_data_effect!$1:$1048576,MATCH(E$5,raw_data_effect!$I:$I,0),MATCH($A$3,raw_data_effect!$1:$1,0))</f>
        <v>-1.3140461439325599</v>
      </c>
      <c r="F6" s="41">
        <f>INDEX(raw_data_effect!$1:$1048576,MATCH(F$5,raw_data_effect!$I:$I,0),MATCH($A$3,raw_data_effect!$1:$1,0))</f>
        <v>-2.0286262938273798</v>
      </c>
      <c r="G6" s="41">
        <f>INDEX(raw_data_effect!$1:$1048576,MATCH(G$5,raw_data_effect!$I:$I,0),MATCH($A$3,raw_data_effect!$1:$1,0))</f>
        <v>-2.3652994795358699</v>
      </c>
      <c r="H6" s="41">
        <f>INDEX(raw_data_effect!$1:$1048576,MATCH(H$5,raw_data_effect!$I:$I,0),MATCH($A$3,raw_data_effect!$1:$1,0))</f>
        <v>-3.5776371561331102</v>
      </c>
      <c r="I6" s="41">
        <f>INDEX(raw_data_effect!$1:$1048576,MATCH(I$5,raw_data_effect!$I:$I,0),MATCH($A$3,raw_data_effect!$1:$1,0))</f>
        <v>-3.8186054499465598</v>
      </c>
      <c r="J6" s="41">
        <f>INDEX(raw_data_effect!$1:$1048576,MATCH(J$5,raw_data_effect!$I:$I,0),MATCH($A$3,raw_data_effect!$1:$1,0))</f>
        <v>-5.7718707351114604</v>
      </c>
      <c r="K6" s="41">
        <f>INDEX(raw_data_effect!$1:$1048576,MATCH(K$5,raw_data_effect!$I:$I,0),MATCH($A$3,raw_data_effect!$1:$1,0))</f>
        <v>-8.0069649661349196</v>
      </c>
      <c r="L6" s="41">
        <f>INDEX(raw_data_effect!$1:$1048576,MATCH(L$5,raw_data_effect!$I:$I,0),MATCH($A$3,raw_data_effect!$1:$1,0))</f>
        <v>-9.8141561680984601</v>
      </c>
      <c r="M6" s="41">
        <f>INDEX(raw_data_effect!$1:$1048576,MATCH(M$5,raw_data_effect!$I:$I,0),MATCH($A$3,raw_data_effect!$1:$1,0))</f>
        <v>-11.1178035981166</v>
      </c>
      <c r="N6" s="41">
        <f>INDEX(raw_data_effect!$1:$1048576,MATCH(N$5,raw_data_effect!$I:$I,0),MATCH($A$3,raw_data_effect!$1:$1,0))</f>
        <v>-11.342772449449599</v>
      </c>
      <c r="O6" s="41">
        <f>INDEX(raw_data_effect!$1:$1048576,MATCH(O$5,raw_data_effect!$I:$I,0),MATCH($A$3,raw_data_effect!$1:$1,0))</f>
        <v>-13.0719324509001</v>
      </c>
      <c r="P6" s="41">
        <f>INDEX(raw_data_effect!$1:$1048576,MATCH(P$5,raw_data_effect!$I:$I,0),MATCH($A$3,raw_data_effect!$1:$1,0))</f>
        <v>-14.405980720812501</v>
      </c>
      <c r="Q6" s="41">
        <f>INDEX(raw_data_effect!$1:$1048576,MATCH(Q$5,raw_data_effect!$I:$I,0),MATCH($A$3,raw_data_effect!$1:$1,0))</f>
        <v>-14.6022901940176</v>
      </c>
      <c r="R6" s="41">
        <f>INDEX(raw_data_effect!$1:$1048576,MATCH(R$5,raw_data_effect!$I:$I,0),MATCH($A$3,raw_data_effect!$1:$1,0))</f>
        <v>-15.693196926312</v>
      </c>
      <c r="S6" s="41">
        <f>INDEX(raw_data_effect!$1:$1048576,MATCH(S$5,raw_data_effect!$I:$I,0),MATCH($A$3,raw_data_effect!$1:$1,0))</f>
        <v>-15.863362914382099</v>
      </c>
      <c r="T6" s="41">
        <f>INDEX(raw_data_effect!$1:$1048576,MATCH(T$5,raw_data_effect!$I:$I,0),MATCH($A$3,raw_data_effect!$1:$1,0))</f>
        <v>-16.934293122957001</v>
      </c>
      <c r="U6" s="41">
        <f>INDEX(raw_data_effect!$1:$1048576,MATCH(U$5,raw_data_effect!$I:$I,0),MATCH($A$3,raw_data_effect!$1:$1,0))</f>
        <v>-17.114697718937599</v>
      </c>
    </row>
    <row r="7" spans="1:27" ht="35.1" customHeight="1" x14ac:dyDescent="0.25">
      <c r="B7" s="1"/>
      <c r="C7" s="1"/>
      <c r="D7" s="1"/>
      <c r="F7" s="1"/>
      <c r="G7" s="1"/>
      <c r="I7" s="1"/>
      <c r="J7" s="1"/>
      <c r="K7" s="1"/>
      <c r="L7" s="1"/>
      <c r="N7" s="1"/>
      <c r="O7" s="1"/>
      <c r="Q7" s="1"/>
      <c r="S7" s="1"/>
    </row>
    <row r="8" spans="1:27" ht="35.1" customHeight="1" x14ac:dyDescent="0.25"/>
    <row r="9" spans="1:27" ht="35.1" customHeight="1" x14ac:dyDescent="0.25">
      <c r="A9" s="6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</row>
    <row r="10" spans="1:27" ht="35.1" customHeight="1" thickBot="1" x14ac:dyDescent="0.3"/>
    <row r="11" spans="1:27" ht="35.1" customHeight="1" thickBot="1" x14ac:dyDescent="0.3">
      <c r="A11" s="9" t="s">
        <v>17</v>
      </c>
    </row>
    <row r="12" spans="1:27" ht="35.1" customHeight="1" thickBot="1" x14ac:dyDescent="0.3">
      <c r="A12" s="40" t="s">
        <v>52</v>
      </c>
      <c r="B12" s="58" t="s">
        <v>53</v>
      </c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60"/>
      <c r="V12" s="18"/>
      <c r="W12" s="18"/>
      <c r="X12" s="18"/>
      <c r="Y12" s="18"/>
      <c r="Z12" s="18"/>
      <c r="AA12" s="18"/>
    </row>
    <row r="13" spans="1:27" ht="35.1" customHeight="1" x14ac:dyDescent="0.25">
      <c r="A13" s="21" t="s">
        <v>29</v>
      </c>
      <c r="B13" s="37">
        <v>44364</v>
      </c>
      <c r="C13" s="38">
        <v>44368</v>
      </c>
      <c r="D13" s="38">
        <v>44372</v>
      </c>
      <c r="E13" s="38">
        <v>44377</v>
      </c>
      <c r="F13" s="38">
        <v>44382</v>
      </c>
      <c r="G13" s="38">
        <v>44384</v>
      </c>
      <c r="H13" s="38">
        <v>44390</v>
      </c>
      <c r="I13" s="38">
        <v>44391</v>
      </c>
      <c r="J13" s="38">
        <v>44398</v>
      </c>
      <c r="K13" s="38">
        <v>44405</v>
      </c>
      <c r="L13" s="38">
        <v>44412</v>
      </c>
      <c r="M13" s="38">
        <v>44418</v>
      </c>
      <c r="N13" s="38">
        <v>44419</v>
      </c>
      <c r="O13" s="38">
        <v>44426</v>
      </c>
      <c r="P13" s="38">
        <v>44432</v>
      </c>
      <c r="Q13" s="38">
        <v>44433</v>
      </c>
      <c r="R13" s="38">
        <v>44439</v>
      </c>
      <c r="S13" s="38">
        <v>44440</v>
      </c>
      <c r="T13" s="38">
        <v>44446</v>
      </c>
      <c r="U13" s="37">
        <v>44447</v>
      </c>
    </row>
    <row r="14" spans="1:27" ht="35.1" customHeight="1" x14ac:dyDescent="0.25">
      <c r="A14" s="21" t="s">
        <v>28</v>
      </c>
      <c r="B14" s="2" t="s">
        <v>13</v>
      </c>
      <c r="C14" s="2" t="s">
        <v>18</v>
      </c>
      <c r="D14" s="2" t="s">
        <v>14</v>
      </c>
      <c r="E14" s="2" t="s">
        <v>3</v>
      </c>
      <c r="F14" s="2" t="s">
        <v>46</v>
      </c>
      <c r="G14" s="2" t="s">
        <v>4</v>
      </c>
      <c r="H14" s="2" t="s">
        <v>5</v>
      </c>
      <c r="I14" s="2" t="s">
        <v>47</v>
      </c>
      <c r="J14" s="2" t="s">
        <v>6</v>
      </c>
      <c r="K14" s="2" t="s">
        <v>7</v>
      </c>
      <c r="L14" s="2" t="s">
        <v>8</v>
      </c>
      <c r="M14" s="2" t="s">
        <v>9</v>
      </c>
      <c r="N14" s="2" t="s">
        <v>48</v>
      </c>
      <c r="O14" s="2" t="s">
        <v>0</v>
      </c>
      <c r="P14" s="2" t="s">
        <v>1</v>
      </c>
      <c r="Q14" s="2" t="s">
        <v>49</v>
      </c>
      <c r="R14" s="2" t="s">
        <v>2</v>
      </c>
      <c r="S14" s="2" t="s">
        <v>26</v>
      </c>
      <c r="T14" s="2" t="s">
        <v>34</v>
      </c>
      <c r="U14" s="2" t="s">
        <v>50</v>
      </c>
    </row>
    <row r="15" spans="1:27" ht="35.1" customHeight="1" x14ac:dyDescent="0.25">
      <c r="A15" s="21" t="s">
        <v>36</v>
      </c>
      <c r="B15" s="41">
        <f>INDEX(raw_data_effect!$1:$1048576,MATCH(B$14,raw_data_effect!$I:$I,0),MATCH($A$12,raw_data_effect!$1:$1,0))</f>
        <v>-0.189866048607995</v>
      </c>
      <c r="C15" s="41">
        <f>INDEX(raw_data_effect!$1:$1048576,MATCH(C$14,raw_data_effect!$I:$I,0),MATCH($A$12,raw_data_effect!$1:$1,0))</f>
        <v>-0.418630426502343</v>
      </c>
      <c r="D15" s="41">
        <f>INDEX(raw_data_effect!$1:$1048576,MATCH(D$14,raw_data_effect!$I:$I,0),MATCH($A$12,raw_data_effect!$1:$1,0))</f>
        <v>-0.72362769928938797</v>
      </c>
      <c r="E15" s="41">
        <f>INDEX(raw_data_effect!$1:$1048576,MATCH(E$14,raw_data_effect!$I:$I,0),MATCH($A$12,raw_data_effect!$1:$1,0))</f>
        <v>-1.2837478456072999</v>
      </c>
      <c r="F15" s="41">
        <f>INDEX(raw_data_effect!$1:$1048576,MATCH(F$14,raw_data_effect!$I:$I,0),MATCH($A$12,raw_data_effect!$1:$1,0))</f>
        <v>-1.99651239324715</v>
      </c>
      <c r="G15" s="41">
        <f>INDEX(raw_data_effect!$1:$1048576,MATCH(G$14,raw_data_effect!$I:$I,0),MATCH($A$12,raw_data_effect!$1:$1,0))</f>
        <v>-2.33268655925069</v>
      </c>
      <c r="H15" s="41">
        <f>INDEX(raw_data_effect!$1:$1048576,MATCH(H$14,raw_data_effect!$I:$I,0),MATCH($A$12,raw_data_effect!$1:$1,0))</f>
        <v>-3.5442990838956301</v>
      </c>
      <c r="I15" s="41">
        <f>INDEX(raw_data_effect!$1:$1048576,MATCH(I$14,raw_data_effect!$I:$I,0),MATCH($A$12,raw_data_effect!$1:$1,0))</f>
        <v>-3.78530545842824</v>
      </c>
      <c r="J15" s="41">
        <f>INDEX(raw_data_effect!$1:$1048576,MATCH(J$14,raw_data_effect!$I:$I,0),MATCH($A$12,raw_data_effect!$1:$1,0))</f>
        <v>-5.7383748332309699</v>
      </c>
      <c r="K15" s="41">
        <f>INDEX(raw_data_effect!$1:$1048576,MATCH(K$14,raw_data_effect!$I:$I,0),MATCH($A$12,raw_data_effect!$1:$1,0))</f>
        <v>-7.97340835679445</v>
      </c>
      <c r="L15" s="41">
        <f>INDEX(raw_data_effect!$1:$1048576,MATCH(L$14,raw_data_effect!$I:$I,0),MATCH($A$12,raw_data_effect!$1:$1,0))</f>
        <v>-9.7805424552158104</v>
      </c>
      <c r="M15" s="41">
        <f>INDEX(raw_data_effect!$1:$1048576,MATCH(M$14,raw_data_effect!$I:$I,0),MATCH($A$12,raw_data_effect!$1:$1,0))</f>
        <v>-11.0840426238015</v>
      </c>
      <c r="N15" s="41">
        <f>INDEX(raw_data_effect!$1:$1048576,MATCH(N$14,raw_data_effect!$I:$I,0),MATCH($A$12,raw_data_effect!$1:$1,0))</f>
        <v>-11.308993171106501</v>
      </c>
      <c r="O15" s="41">
        <f>INDEX(raw_data_effect!$1:$1048576,MATCH(O$14,raw_data_effect!$I:$I,0),MATCH($A$12,raw_data_effect!$1:$1,0))</f>
        <v>-13.038178784944201</v>
      </c>
      <c r="P15" s="41">
        <f>INDEX(raw_data_effect!$1:$1048576,MATCH(P$14,raw_data_effect!$I:$I,0),MATCH($A$12,raw_data_effect!$1:$1,0))</f>
        <v>-14.3722867983128</v>
      </c>
      <c r="Q15" s="41">
        <f>INDEX(raw_data_effect!$1:$1048576,MATCH(Q$14,raw_data_effect!$I:$I,0),MATCH($A$12,raw_data_effect!$1:$1,0))</f>
        <v>-14.5685923511525</v>
      </c>
      <c r="R15" s="41">
        <f>INDEX(raw_data_effect!$1:$1048576,MATCH(R$14,raw_data_effect!$I:$I,0),MATCH($A$12,raw_data_effect!$1:$1,0))</f>
        <v>-15.659659597034199</v>
      </c>
      <c r="S15" s="41">
        <f>INDEX(raw_data_effect!$1:$1048576,MATCH(S$14,raw_data_effect!$I:$I,0),MATCH($A$12,raw_data_effect!$1:$1,0))</f>
        <v>-15.829860074699299</v>
      </c>
      <c r="T15" s="41">
        <f>INDEX(raw_data_effect!$1:$1048576,MATCH(T$14,raw_data_effect!$I:$I,0),MATCH($A$12,raw_data_effect!$1:$1,0))</f>
        <v>-16.901028006446101</v>
      </c>
      <c r="U15" s="41">
        <f>INDEX(raw_data_effect!$1:$1048576,MATCH(U$14,raw_data_effect!$I:$I,0),MATCH($A$12,raw_data_effect!$1:$1,0))</f>
        <v>-17.081492453355398</v>
      </c>
    </row>
    <row r="16" spans="1:27" ht="35.1" customHeight="1" x14ac:dyDescent="0.25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ht="35.1" customHeight="1" x14ac:dyDescent="0.25">
      <c r="A17" s="22"/>
      <c r="B17" s="3"/>
      <c r="C17" s="3"/>
      <c r="K17" s="3"/>
    </row>
    <row r="18" spans="1:14" ht="35.1" customHeight="1" x14ac:dyDescent="0.25">
      <c r="A18" s="6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</row>
    <row r="19" spans="1:14" ht="35.1" customHeight="1" x14ac:dyDescent="0.25">
      <c r="A19" s="6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6"/>
    </row>
    <row r="20" spans="1:14" ht="35.1" customHeight="1" x14ac:dyDescent="0.25"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"/>
    </row>
    <row r="21" spans="1:14" ht="35.1" customHeight="1" x14ac:dyDescent="0.25">
      <c r="B21" s="1"/>
      <c r="C21" s="35"/>
      <c r="D21" s="1"/>
      <c r="E21" s="1"/>
      <c r="F21" s="1"/>
      <c r="G21" s="35"/>
      <c r="H21" s="1"/>
      <c r="I21" s="35"/>
      <c r="J21" s="1"/>
      <c r="K21" s="1"/>
      <c r="L21" s="1"/>
      <c r="M21" s="1"/>
      <c r="N21" s="1"/>
    </row>
    <row r="22" spans="1:14" ht="35.1" customHeight="1" x14ac:dyDescent="0.25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ht="35.1" customHeight="1" x14ac:dyDescent="0.25"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</row>
    <row r="24" spans="1:14" ht="35.1" customHeight="1" x14ac:dyDescent="0.25"/>
    <row r="25" spans="1:14" ht="35.1" customHeight="1" x14ac:dyDescent="0.25"/>
    <row r="26" spans="1:14" ht="35.1" customHeight="1" x14ac:dyDescent="0.25">
      <c r="N26" s="18"/>
    </row>
    <row r="27" spans="1:14" ht="35.1" customHeight="1" x14ac:dyDescent="0.25">
      <c r="N27" s="16"/>
    </row>
    <row r="28" spans="1:14" ht="35.1" customHeight="1" x14ac:dyDescent="0.25">
      <c r="N28" s="1"/>
    </row>
    <row r="29" spans="1:14" ht="35.1" customHeight="1" x14ac:dyDescent="0.25">
      <c r="N29" s="1"/>
    </row>
    <row r="30" spans="1:14" ht="35.1" customHeight="1" x14ac:dyDescent="0.25">
      <c r="N30" s="1"/>
    </row>
    <row r="31" spans="1:14" ht="35.1" customHeight="1" thickBot="1" x14ac:dyDescent="0.3">
      <c r="A31" s="22"/>
      <c r="B31" s="3"/>
      <c r="C31" s="3"/>
      <c r="K31" s="3"/>
    </row>
    <row r="32" spans="1:14" ht="35.1" customHeight="1" thickBot="1" x14ac:dyDescent="0.3">
      <c r="A32" s="30"/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6"/>
      <c r="N32" s="18"/>
    </row>
    <row r="33" spans="1:14" ht="35.1" customHeight="1" x14ac:dyDescent="0.25">
      <c r="A33" s="29" t="s">
        <v>29</v>
      </c>
      <c r="B33" s="25">
        <v>44372</v>
      </c>
      <c r="C33" s="25">
        <v>44377</v>
      </c>
      <c r="D33" s="25">
        <v>44382</v>
      </c>
      <c r="E33" s="25">
        <v>44391</v>
      </c>
      <c r="F33" s="25">
        <v>44398</v>
      </c>
      <c r="G33" s="25">
        <v>44405</v>
      </c>
      <c r="H33" s="25">
        <v>44412</v>
      </c>
      <c r="I33" s="25">
        <v>44419</v>
      </c>
      <c r="J33" s="25">
        <v>44426</v>
      </c>
      <c r="K33" s="25">
        <v>44433</v>
      </c>
      <c r="L33" s="25">
        <v>44440</v>
      </c>
      <c r="M33" s="27">
        <v>44447</v>
      </c>
      <c r="N33" s="16"/>
    </row>
    <row r="34" spans="1:14" ht="35.1" customHeight="1" x14ac:dyDescent="0.25">
      <c r="A34" s="28" t="s">
        <v>28</v>
      </c>
      <c r="B34" s="26">
        <v>9</v>
      </c>
      <c r="C34" s="33">
        <v>14</v>
      </c>
      <c r="D34" s="26">
        <v>19</v>
      </c>
      <c r="E34" s="26">
        <v>28</v>
      </c>
      <c r="F34" s="26">
        <v>35</v>
      </c>
      <c r="G34" s="33">
        <v>42</v>
      </c>
      <c r="H34" s="26">
        <v>49</v>
      </c>
      <c r="I34" s="33">
        <v>56</v>
      </c>
      <c r="J34" s="26">
        <v>63</v>
      </c>
      <c r="K34" s="26">
        <v>70</v>
      </c>
      <c r="L34" s="26">
        <v>77</v>
      </c>
      <c r="M34" s="26">
        <v>84</v>
      </c>
      <c r="N34" s="1"/>
    </row>
    <row r="35" spans="1:14" ht="35.1" customHeight="1" x14ac:dyDescent="0.25">
      <c r="A35" s="29" t="s">
        <v>37</v>
      </c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1"/>
    </row>
    <row r="36" spans="1:14" x14ac:dyDescent="0.25">
      <c r="A36" s="29" t="s">
        <v>35</v>
      </c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1"/>
    </row>
    <row r="40" spans="1:14" ht="18.75" x14ac:dyDescent="0.25">
      <c r="A40" s="6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</row>
    <row r="41" spans="1:14" x14ac:dyDescent="0.25"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</row>
    <row r="42" spans="1:14" x14ac:dyDescent="0.2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x14ac:dyDescent="0.2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x14ac:dyDescent="0.25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x14ac:dyDescent="0.25">
      <c r="A45" s="22"/>
      <c r="B45" s="3"/>
      <c r="C45" s="3"/>
      <c r="K45" s="3"/>
    </row>
  </sheetData>
  <mergeCells count="5">
    <mergeCell ref="B40:N40"/>
    <mergeCell ref="B32:M32"/>
    <mergeCell ref="B1:I1"/>
    <mergeCell ref="B3:U3"/>
    <mergeCell ref="B12:U1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75E1B-747D-47E0-9633-D1AC379F6319}">
  <dimension ref="A1:AA23"/>
  <sheetViews>
    <sheetView workbookViewId="0">
      <selection activeCell="B4" sqref="B4:AA4"/>
    </sheetView>
  </sheetViews>
  <sheetFormatPr baseColWidth="10" defaultColWidth="9.140625" defaultRowHeight="15" x14ac:dyDescent="0.25"/>
  <cols>
    <col min="1" max="1" width="22.7109375" style="17" customWidth="1"/>
    <col min="2" max="27" width="10.7109375" customWidth="1"/>
  </cols>
  <sheetData>
    <row r="1" spans="1:27" ht="36" customHeight="1" x14ac:dyDescent="0.25">
      <c r="A1" s="24" t="s">
        <v>30</v>
      </c>
      <c r="B1" s="19" t="s">
        <v>31</v>
      </c>
      <c r="C1" s="20"/>
      <c r="D1" s="20"/>
      <c r="E1" s="20"/>
      <c r="F1" s="20"/>
      <c r="G1" s="20"/>
      <c r="H1" s="8"/>
      <c r="I1" s="8"/>
      <c r="J1" s="8"/>
      <c r="K1" s="8"/>
      <c r="L1" s="8"/>
      <c r="M1" s="8"/>
      <c r="N1" s="8"/>
    </row>
    <row r="2" spans="1:27" ht="15.75" thickBot="1" x14ac:dyDescent="0.3"/>
    <row r="3" spans="1:27" ht="27.95" customHeight="1" thickBot="1" x14ac:dyDescent="0.3">
      <c r="A3" s="9" t="s">
        <v>17</v>
      </c>
      <c r="P3" s="7"/>
      <c r="Q3" s="6"/>
      <c r="R3" s="6"/>
      <c r="S3" s="6"/>
      <c r="T3" s="6"/>
      <c r="U3" s="6"/>
    </row>
    <row r="4" spans="1:27" ht="30" customHeight="1" thickBot="1" x14ac:dyDescent="0.3">
      <c r="A4" s="39" t="s">
        <v>54</v>
      </c>
      <c r="B4" s="58" t="s">
        <v>53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60"/>
    </row>
    <row r="5" spans="1:27" ht="30" customHeight="1" x14ac:dyDescent="0.25">
      <c r="A5" s="11" t="s">
        <v>29</v>
      </c>
      <c r="B5" s="38">
        <v>44364</v>
      </c>
      <c r="C5" s="38">
        <v>44368</v>
      </c>
      <c r="D5" s="38">
        <v>44369</v>
      </c>
      <c r="E5" s="38">
        <v>44372</v>
      </c>
      <c r="F5" s="38">
        <v>44375</v>
      </c>
      <c r="G5" s="38">
        <v>44378</v>
      </c>
      <c r="H5" s="38">
        <v>44382</v>
      </c>
      <c r="I5" s="38">
        <v>44385</v>
      </c>
      <c r="J5" s="38">
        <v>44389</v>
      </c>
      <c r="K5" s="38">
        <v>44392</v>
      </c>
      <c r="L5" s="38">
        <v>44396</v>
      </c>
      <c r="M5" s="38">
        <v>44399</v>
      </c>
      <c r="N5" s="38">
        <v>44403</v>
      </c>
      <c r="O5" s="38">
        <v>44406</v>
      </c>
      <c r="P5" s="38">
        <v>44410</v>
      </c>
      <c r="Q5" s="38">
        <v>44413</v>
      </c>
      <c r="R5" s="38">
        <v>44417</v>
      </c>
      <c r="S5" s="38">
        <v>44420</v>
      </c>
      <c r="T5" s="38">
        <v>44424</v>
      </c>
      <c r="U5" s="38">
        <v>44427</v>
      </c>
      <c r="V5" s="38">
        <v>44431</v>
      </c>
      <c r="W5" s="38">
        <v>44434</v>
      </c>
      <c r="X5" s="38">
        <v>44438</v>
      </c>
      <c r="Y5" s="38">
        <v>44440</v>
      </c>
      <c r="Z5" s="38">
        <v>44445</v>
      </c>
      <c r="AA5" s="38">
        <v>44448</v>
      </c>
    </row>
    <row r="6" spans="1:27" ht="30" customHeight="1" x14ac:dyDescent="0.25">
      <c r="A6" s="11" t="s">
        <v>28</v>
      </c>
      <c r="B6" s="2" t="s">
        <v>13</v>
      </c>
      <c r="C6" s="2" t="s">
        <v>18</v>
      </c>
      <c r="D6" s="2" t="s">
        <v>10</v>
      </c>
      <c r="E6" s="2" t="s">
        <v>14</v>
      </c>
      <c r="F6" s="2" t="s">
        <v>55</v>
      </c>
      <c r="G6" s="2" t="s">
        <v>15</v>
      </c>
      <c r="H6" s="2" t="s">
        <v>46</v>
      </c>
      <c r="I6" s="2" t="s">
        <v>19</v>
      </c>
      <c r="J6" s="2" t="s">
        <v>56</v>
      </c>
      <c r="K6" s="2" t="s">
        <v>12</v>
      </c>
      <c r="L6" s="2" t="s">
        <v>57</v>
      </c>
      <c r="M6" s="2" t="s">
        <v>20</v>
      </c>
      <c r="N6" s="2" t="s">
        <v>58</v>
      </c>
      <c r="O6" s="2" t="s">
        <v>21</v>
      </c>
      <c r="P6" s="2" t="s">
        <v>59</v>
      </c>
      <c r="Q6" s="2" t="s">
        <v>22</v>
      </c>
      <c r="R6" s="2" t="s">
        <v>60</v>
      </c>
      <c r="S6" s="2" t="s">
        <v>23</v>
      </c>
      <c r="T6" s="2" t="s">
        <v>61</v>
      </c>
      <c r="U6" s="2" t="s">
        <v>24</v>
      </c>
      <c r="V6" s="2" t="s">
        <v>62</v>
      </c>
      <c r="W6" s="2" t="s">
        <v>25</v>
      </c>
      <c r="X6" s="2" t="s">
        <v>63</v>
      </c>
      <c r="Y6" s="2" t="s">
        <v>26</v>
      </c>
      <c r="Z6" s="2" t="s">
        <v>64</v>
      </c>
      <c r="AA6" s="2" t="s">
        <v>11</v>
      </c>
    </row>
    <row r="7" spans="1:27" ht="30" customHeight="1" x14ac:dyDescent="0.25">
      <c r="A7" s="21" t="s">
        <v>36</v>
      </c>
      <c r="B7" s="5"/>
      <c r="C7" s="2"/>
      <c r="D7" s="5"/>
      <c r="E7" s="2"/>
      <c r="F7" s="5"/>
      <c r="G7" s="2"/>
      <c r="H7" s="5"/>
      <c r="I7" s="2"/>
      <c r="J7" s="2"/>
      <c r="K7" s="5"/>
      <c r="L7" s="5"/>
      <c r="M7" s="2"/>
      <c r="N7" s="2"/>
      <c r="O7" s="5"/>
      <c r="P7" s="5"/>
      <c r="Q7" s="2"/>
      <c r="R7" s="2"/>
      <c r="S7" s="5"/>
      <c r="T7" s="2"/>
      <c r="U7" s="2"/>
      <c r="V7" s="5"/>
      <c r="W7" s="2"/>
      <c r="X7" s="5"/>
      <c r="Y7" s="5"/>
      <c r="Z7" s="2"/>
      <c r="AA7" s="5"/>
    </row>
    <row r="8" spans="1:27" ht="30" customHeight="1" x14ac:dyDescent="0.25">
      <c r="A8" s="6"/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</row>
    <row r="9" spans="1:27" ht="30" customHeight="1" x14ac:dyDescent="0.25">
      <c r="A9" s="34"/>
    </row>
    <row r="10" spans="1:27" ht="30" customHeight="1" x14ac:dyDescent="0.25">
      <c r="A10" s="6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</row>
    <row r="11" spans="1:27" ht="30" customHeight="1" x14ac:dyDescent="0.25"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31"/>
    </row>
    <row r="12" spans="1:27" ht="30" customHeight="1" x14ac:dyDescent="0.25"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1"/>
      <c r="M12" s="1"/>
      <c r="N12" s="1"/>
      <c r="O12" s="1"/>
      <c r="P12" s="31"/>
    </row>
    <row r="13" spans="1:27" ht="30" customHeight="1" x14ac:dyDescent="0.25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23"/>
      <c r="P13" s="32"/>
    </row>
    <row r="14" spans="1:27" ht="30" customHeight="1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23"/>
      <c r="P14" s="31"/>
    </row>
    <row r="15" spans="1:27" ht="30" customHeight="1" x14ac:dyDescent="0.25">
      <c r="A15" s="22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P15" s="32"/>
    </row>
    <row r="16" spans="1:27" ht="18.75" x14ac:dyDescent="0.25">
      <c r="A16" s="22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32"/>
    </row>
    <row r="17" spans="2:16" x14ac:dyDescent="0.25"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31"/>
    </row>
    <row r="18" spans="2:16" x14ac:dyDescent="0.25"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1"/>
      <c r="M18" s="1"/>
      <c r="N18" s="1"/>
      <c r="O18" s="1"/>
      <c r="P18" s="31"/>
    </row>
    <row r="19" spans="2:16" x14ac:dyDescent="0.25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31"/>
    </row>
    <row r="20" spans="2:16" x14ac:dyDescent="0.25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31"/>
    </row>
    <row r="21" spans="2:16" x14ac:dyDescent="0.25">
      <c r="P21" s="32"/>
    </row>
    <row r="22" spans="2:16" x14ac:dyDescent="0.25">
      <c r="P22" s="32"/>
    </row>
    <row r="23" spans="2:16" x14ac:dyDescent="0.25">
      <c r="P23" s="32"/>
    </row>
  </sheetData>
  <mergeCells count="2">
    <mergeCell ref="B8:O8"/>
    <mergeCell ref="B4:AA4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AB7B8-F3FC-439E-9177-A162F19909E3}">
  <dimension ref="A1:AA17"/>
  <sheetViews>
    <sheetView workbookViewId="0">
      <selection activeCell="L12" sqref="L12"/>
    </sheetView>
  </sheetViews>
  <sheetFormatPr baseColWidth="10" defaultColWidth="9.140625" defaultRowHeight="15" x14ac:dyDescent="0.25"/>
  <cols>
    <col min="1" max="1" width="20.7109375" style="17" customWidth="1"/>
    <col min="2" max="27" width="10.7109375" customWidth="1"/>
  </cols>
  <sheetData>
    <row r="1" spans="1:27" ht="35.1" customHeight="1" x14ac:dyDescent="0.25">
      <c r="A1" s="24" t="s">
        <v>30</v>
      </c>
      <c r="B1" s="19" t="s">
        <v>33</v>
      </c>
      <c r="C1" s="20"/>
      <c r="D1" s="20"/>
      <c r="E1" s="20"/>
      <c r="F1" s="20"/>
      <c r="G1" s="20"/>
      <c r="H1" s="8"/>
      <c r="I1" s="8"/>
      <c r="J1" s="8"/>
      <c r="K1" s="8"/>
      <c r="L1" s="8"/>
      <c r="M1" s="8"/>
      <c r="N1" s="8"/>
    </row>
    <row r="2" spans="1:27" ht="15.75" thickBot="1" x14ac:dyDescent="0.3"/>
    <row r="3" spans="1:27" ht="30" customHeight="1" thickBot="1" x14ac:dyDescent="0.3">
      <c r="A3" s="9" t="s">
        <v>17</v>
      </c>
      <c r="P3" s="7"/>
      <c r="Q3" s="6"/>
      <c r="R3" s="6"/>
      <c r="S3" s="6"/>
      <c r="T3" s="6"/>
      <c r="U3" s="6"/>
    </row>
    <row r="4" spans="1:27" ht="30" customHeight="1" thickBot="1" x14ac:dyDescent="0.3">
      <c r="A4" s="39" t="s">
        <v>65</v>
      </c>
      <c r="B4" s="58" t="s">
        <v>53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60"/>
    </row>
    <row r="5" spans="1:27" ht="30" customHeight="1" x14ac:dyDescent="0.25">
      <c r="A5" s="11" t="s">
        <v>29</v>
      </c>
      <c r="B5" s="38">
        <v>44364</v>
      </c>
      <c r="C5" s="38">
        <v>44368</v>
      </c>
      <c r="D5" s="38">
        <v>44369</v>
      </c>
      <c r="E5" s="38">
        <v>44372</v>
      </c>
      <c r="F5" s="38">
        <v>44375</v>
      </c>
      <c r="G5" s="38">
        <v>44378</v>
      </c>
      <c r="H5" s="38">
        <v>44382</v>
      </c>
      <c r="I5" s="38">
        <v>44385</v>
      </c>
      <c r="J5" s="38">
        <v>44389</v>
      </c>
      <c r="K5" s="38">
        <v>44392</v>
      </c>
      <c r="L5" s="38">
        <v>44396</v>
      </c>
      <c r="M5" s="38">
        <v>44399</v>
      </c>
      <c r="N5" s="38">
        <v>44403</v>
      </c>
      <c r="O5" s="38">
        <v>44406</v>
      </c>
      <c r="P5" s="38">
        <v>44410</v>
      </c>
      <c r="Q5" s="38">
        <v>44413</v>
      </c>
      <c r="R5" s="38">
        <v>44417</v>
      </c>
      <c r="S5" s="38">
        <v>44420</v>
      </c>
      <c r="T5" s="38">
        <v>44424</v>
      </c>
      <c r="U5" s="38">
        <v>44427</v>
      </c>
      <c r="V5" s="38">
        <v>44431</v>
      </c>
      <c r="W5" s="38">
        <v>44434</v>
      </c>
      <c r="X5" s="38">
        <v>44438</v>
      </c>
      <c r="Y5" s="38">
        <v>44440</v>
      </c>
      <c r="Z5" s="38">
        <v>44445</v>
      </c>
      <c r="AA5" s="38">
        <v>44448</v>
      </c>
    </row>
    <row r="6" spans="1:27" ht="30" customHeight="1" x14ac:dyDescent="0.25">
      <c r="A6" s="11" t="s">
        <v>28</v>
      </c>
      <c r="B6" s="2" t="s">
        <v>13</v>
      </c>
      <c r="C6" s="2" t="s">
        <v>18</v>
      </c>
      <c r="D6" s="2" t="s">
        <v>10</v>
      </c>
      <c r="E6" s="2" t="s">
        <v>14</v>
      </c>
      <c r="F6" s="2" t="s">
        <v>55</v>
      </c>
      <c r="G6" s="2" t="s">
        <v>15</v>
      </c>
      <c r="H6" s="2" t="s">
        <v>46</v>
      </c>
      <c r="I6" s="2" t="s">
        <v>19</v>
      </c>
      <c r="J6" s="2" t="s">
        <v>56</v>
      </c>
      <c r="K6" s="2" t="s">
        <v>12</v>
      </c>
      <c r="L6" s="2" t="s">
        <v>57</v>
      </c>
      <c r="M6" s="2" t="s">
        <v>20</v>
      </c>
      <c r="N6" s="2" t="s">
        <v>58</v>
      </c>
      <c r="O6" s="2" t="s">
        <v>21</v>
      </c>
      <c r="P6" s="2" t="s">
        <v>59</v>
      </c>
      <c r="Q6" s="2" t="s">
        <v>22</v>
      </c>
      <c r="R6" s="2" t="s">
        <v>60</v>
      </c>
      <c r="S6" s="2" t="s">
        <v>23</v>
      </c>
      <c r="T6" s="2" t="s">
        <v>61</v>
      </c>
      <c r="U6" s="2" t="s">
        <v>24</v>
      </c>
      <c r="V6" s="2" t="s">
        <v>62</v>
      </c>
      <c r="W6" s="2" t="s">
        <v>25</v>
      </c>
      <c r="X6" s="2" t="s">
        <v>63</v>
      </c>
      <c r="Y6" s="2" t="s">
        <v>26</v>
      </c>
      <c r="Z6" s="2" t="s">
        <v>64</v>
      </c>
      <c r="AA6" s="2" t="s">
        <v>11</v>
      </c>
    </row>
    <row r="7" spans="1:27" ht="30" customHeight="1" x14ac:dyDescent="0.25">
      <c r="A7" s="21" t="s">
        <v>36</v>
      </c>
      <c r="B7" s="5"/>
      <c r="C7" s="2"/>
      <c r="D7" s="5"/>
      <c r="E7" s="2"/>
      <c r="F7" s="5"/>
      <c r="G7" s="2"/>
      <c r="H7" s="5"/>
      <c r="I7" s="2"/>
      <c r="J7" s="2"/>
      <c r="K7" s="5"/>
      <c r="L7" s="5"/>
      <c r="M7" s="2"/>
      <c r="N7" s="2"/>
      <c r="O7" s="5"/>
      <c r="P7" s="5"/>
      <c r="Q7" s="2"/>
      <c r="R7" s="2"/>
      <c r="S7" s="5"/>
      <c r="T7" s="2"/>
      <c r="U7" s="2"/>
      <c r="V7" s="5"/>
      <c r="W7" s="2"/>
      <c r="X7" s="5"/>
      <c r="Y7" s="5"/>
      <c r="Z7" s="2"/>
      <c r="AA7" s="5"/>
    </row>
    <row r="8" spans="1:27" ht="30" customHeight="1" x14ac:dyDescent="0.25"/>
    <row r="9" spans="1:27" ht="30" customHeight="1" x14ac:dyDescent="0.25">
      <c r="Q9" s="31"/>
    </row>
    <row r="10" spans="1:27" ht="30" customHeight="1" x14ac:dyDescent="0.25"/>
    <row r="11" spans="1:27" ht="30" customHeight="1" x14ac:dyDescent="0.25"/>
    <row r="12" spans="1:27" ht="30" customHeight="1" x14ac:dyDescent="0.25"/>
    <row r="13" spans="1:27" ht="30" customHeight="1" x14ac:dyDescent="0.25"/>
    <row r="14" spans="1:27" ht="30" customHeight="1" x14ac:dyDescent="0.25"/>
    <row r="15" spans="1:27" ht="30" customHeight="1" x14ac:dyDescent="0.25"/>
    <row r="16" spans="1:27" ht="30" customHeight="1" x14ac:dyDescent="0.25"/>
    <row r="17" ht="30" customHeight="1" x14ac:dyDescent="0.25"/>
  </sheetData>
  <mergeCells count="1">
    <mergeCell ref="B4:AA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C497F-0AE2-4751-9EA9-BEAEBF00E3C1}">
  <dimension ref="A1:AA9"/>
  <sheetViews>
    <sheetView workbookViewId="0">
      <selection activeCell="B7" sqref="B7:AA7"/>
    </sheetView>
  </sheetViews>
  <sheetFormatPr baseColWidth="10" defaultColWidth="9.140625" defaultRowHeight="15" x14ac:dyDescent="0.25"/>
  <cols>
    <col min="1" max="1" width="20.42578125" customWidth="1"/>
    <col min="2" max="27" width="10.7109375" customWidth="1"/>
  </cols>
  <sheetData>
    <row r="1" spans="1:27" s="8" customFormat="1" ht="35.1" customHeight="1" x14ac:dyDescent="0.25">
      <c r="A1" s="19" t="s">
        <v>30</v>
      </c>
      <c r="B1" s="19" t="s">
        <v>32</v>
      </c>
      <c r="C1" s="20"/>
      <c r="D1" s="20"/>
      <c r="E1" s="20"/>
      <c r="F1" s="20"/>
      <c r="G1" s="20"/>
    </row>
    <row r="2" spans="1:27" ht="15.75" thickBot="1" x14ac:dyDescent="0.3"/>
    <row r="3" spans="1:27" ht="30" customHeight="1" thickBot="1" x14ac:dyDescent="0.3">
      <c r="A3" s="9" t="s">
        <v>17</v>
      </c>
      <c r="P3" s="7"/>
      <c r="Q3" s="6"/>
      <c r="R3" s="6"/>
      <c r="S3" s="6"/>
      <c r="T3" s="6"/>
      <c r="U3" s="6"/>
    </row>
    <row r="4" spans="1:27" ht="30" customHeight="1" thickBot="1" x14ac:dyDescent="0.3">
      <c r="A4" s="39" t="s">
        <v>66</v>
      </c>
      <c r="B4" s="58" t="s">
        <v>53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60"/>
    </row>
    <row r="5" spans="1:27" ht="30" customHeight="1" x14ac:dyDescent="0.25">
      <c r="A5" s="11" t="s">
        <v>29</v>
      </c>
      <c r="B5" s="38">
        <v>44364</v>
      </c>
      <c r="C5" s="38">
        <v>44368</v>
      </c>
      <c r="D5" s="38">
        <v>44369</v>
      </c>
      <c r="E5" s="38">
        <v>44372</v>
      </c>
      <c r="F5" s="38">
        <v>44375</v>
      </c>
      <c r="G5" s="38">
        <v>44378</v>
      </c>
      <c r="H5" s="38">
        <v>44382</v>
      </c>
      <c r="I5" s="38">
        <v>44385</v>
      </c>
      <c r="J5" s="38">
        <v>44389</v>
      </c>
      <c r="K5" s="38">
        <v>44392</v>
      </c>
      <c r="L5" s="38">
        <v>44396</v>
      </c>
      <c r="M5" s="38">
        <v>44399</v>
      </c>
      <c r="N5" s="38">
        <v>44403</v>
      </c>
      <c r="O5" s="38">
        <v>44406</v>
      </c>
      <c r="P5" s="38">
        <v>44410</v>
      </c>
      <c r="Q5" s="38">
        <v>44413</v>
      </c>
      <c r="R5" s="38">
        <v>44417</v>
      </c>
      <c r="S5" s="38">
        <v>44420</v>
      </c>
      <c r="T5" s="38">
        <v>44424</v>
      </c>
      <c r="U5" s="38">
        <v>44427</v>
      </c>
      <c r="V5" s="38">
        <v>44431</v>
      </c>
      <c r="W5" s="38">
        <v>44434</v>
      </c>
      <c r="X5" s="38">
        <v>44438</v>
      </c>
      <c r="Y5" s="38">
        <v>44440</v>
      </c>
      <c r="Z5" s="38">
        <v>44445</v>
      </c>
      <c r="AA5" s="38">
        <v>44448</v>
      </c>
    </row>
    <row r="6" spans="1:27" ht="30" customHeight="1" x14ac:dyDescent="0.25">
      <c r="A6" s="11" t="s">
        <v>28</v>
      </c>
      <c r="B6" s="2" t="s">
        <v>13</v>
      </c>
      <c r="C6" s="2" t="s">
        <v>18</v>
      </c>
      <c r="D6" s="2" t="s">
        <v>10</v>
      </c>
      <c r="E6" s="2" t="s">
        <v>14</v>
      </c>
      <c r="F6" s="2" t="s">
        <v>55</v>
      </c>
      <c r="G6" s="2" t="s">
        <v>15</v>
      </c>
      <c r="H6" s="2" t="s">
        <v>46</v>
      </c>
      <c r="I6" s="2" t="s">
        <v>19</v>
      </c>
      <c r="J6" s="2" t="s">
        <v>56</v>
      </c>
      <c r="K6" s="2" t="s">
        <v>12</v>
      </c>
      <c r="L6" s="2" t="s">
        <v>57</v>
      </c>
      <c r="M6" s="2" t="s">
        <v>20</v>
      </c>
      <c r="N6" s="2" t="s">
        <v>58</v>
      </c>
      <c r="O6" s="2" t="s">
        <v>21</v>
      </c>
      <c r="P6" s="2" t="s">
        <v>59</v>
      </c>
      <c r="Q6" s="2" t="s">
        <v>22</v>
      </c>
      <c r="R6" s="2" t="s">
        <v>60</v>
      </c>
      <c r="S6" s="2" t="s">
        <v>23</v>
      </c>
      <c r="T6" s="2" t="s">
        <v>61</v>
      </c>
      <c r="U6" s="2" t="s">
        <v>24</v>
      </c>
      <c r="V6" s="2" t="s">
        <v>62</v>
      </c>
      <c r="W6" s="2" t="s">
        <v>25</v>
      </c>
      <c r="X6" s="2" t="s">
        <v>63</v>
      </c>
      <c r="Y6" s="2" t="s">
        <v>26</v>
      </c>
      <c r="Z6" s="2" t="s">
        <v>64</v>
      </c>
      <c r="AA6" s="2" t="s">
        <v>11</v>
      </c>
    </row>
    <row r="7" spans="1:27" ht="30" customHeight="1" x14ac:dyDescent="0.25">
      <c r="A7" s="21" t="s">
        <v>36</v>
      </c>
      <c r="B7" s="41">
        <f>INDEX(raw_data_effect!$1:$1048576,MATCH(B$6,raw_data_effect!$I:$I,0),MATCH($A$4,raw_data_effect!$1:$1,0))</f>
        <v>0.19487394099866401</v>
      </c>
      <c r="C7" s="41">
        <f>INDEX(raw_data_effect!$1:$1048576,MATCH(C$6,raw_data_effect!$I:$I,0),MATCH($A$4,raw_data_effect!$1:$1,0))</f>
        <v>0.44475013921871898</v>
      </c>
      <c r="D7" s="41">
        <f>INDEX(raw_data_effect!$1:$1048576,MATCH(D$6,raw_data_effect!$I:$I,0),MATCH($A$4,raw_data_effect!$1:$1,0))</f>
        <v>0.58582232623297203</v>
      </c>
      <c r="E7" s="41">
        <f>INDEX(raw_data_effect!$1:$1048576,MATCH(E$6,raw_data_effect!$I:$I,0),MATCH($A$4,raw_data_effect!$1:$1,0))</f>
        <v>0.73398381701911097</v>
      </c>
      <c r="F7" s="41">
        <f>INDEX(raw_data_effect!$1:$1048576,MATCH(F$6,raw_data_effect!$I:$I,0),MATCH($A$4,raw_data_effect!$1:$1,0))</f>
        <v>0.96915521789070802</v>
      </c>
      <c r="G7" s="41">
        <f>INDEX(raw_data_effect!$1:$1048576,MATCH(G$6,raw_data_effect!$I:$I,0),MATCH($A$4,raw_data_effect!$1:$1,0))</f>
        <v>1.2182538810910799</v>
      </c>
      <c r="H7" s="41">
        <f>INDEX(raw_data_effect!$1:$1048576,MATCH(H$6,raw_data_effect!$I:$I,0),MATCH($A$4,raw_data_effect!$1:$1,0))</f>
        <v>1.4901312539072</v>
      </c>
      <c r="I7" s="41">
        <f>INDEX(raw_data_effect!$1:$1048576,MATCH(I$6,raw_data_effect!$I:$I,0),MATCH($A$4,raw_data_effect!$1:$1,0))</f>
        <v>1.68065017249059</v>
      </c>
      <c r="J7" s="41">
        <f>INDEX(raw_data_effect!$1:$1048576,MATCH(J$6,raw_data_effect!$I:$I,0),MATCH($A$4,raw_data_effect!$1:$1,0))</f>
        <v>1.9134447899646501</v>
      </c>
      <c r="K7" s="41">
        <f>INDEX(raw_data_effect!$1:$1048576,MATCH(K$6,raw_data_effect!$I:$I,0),MATCH($A$4,raw_data_effect!$1:$1,0))</f>
        <v>2.07016828124772</v>
      </c>
      <c r="L7" s="41">
        <f>INDEX(raw_data_effect!$1:$1048576,MATCH(L$6,raw_data_effect!$I:$I,0),MATCH($A$4,raw_data_effect!$1:$1,0))</f>
        <v>2.2601175107223201</v>
      </c>
      <c r="M7" s="41">
        <f>INDEX(raw_data_effect!$1:$1048576,MATCH(M$6,raw_data_effect!$I:$I,0),MATCH($A$4,raw_data_effect!$1:$1,0))</f>
        <v>2.38167091884816</v>
      </c>
      <c r="N7" s="41">
        <f>INDEX(raw_data_effect!$1:$1048576,MATCH(N$6,raw_data_effect!$I:$I,0),MATCH($A$4,raw_data_effect!$1:$1,0))</f>
        <v>2.5144405817567002</v>
      </c>
      <c r="O7" s="41">
        <f>INDEX(raw_data_effect!$1:$1048576,MATCH(O$6,raw_data_effect!$I:$I,0),MATCH($A$4,raw_data_effect!$1:$1,0))</f>
        <v>2.59146966975772</v>
      </c>
      <c r="P7" s="41">
        <f>INDEX(raw_data_effect!$1:$1048576,MATCH(P$6,raw_data_effect!$I:$I,0),MATCH($A$4,raw_data_effect!$1:$1,0))</f>
        <v>2.6631075654273602</v>
      </c>
      <c r="Q7" s="41">
        <f>INDEX(raw_data_effect!$1:$1048576,MATCH(Q$6,raw_data_effect!$I:$I,0),MATCH($A$4,raw_data_effect!$1:$1,0))</f>
        <v>2.7039965383322699</v>
      </c>
      <c r="R7" s="41">
        <f>INDEX(raw_data_effect!$1:$1048576,MATCH(R$6,raw_data_effect!$I:$I,0),MATCH($A$4,raw_data_effect!$1:$1,0))</f>
        <v>2.7495063431920301</v>
      </c>
      <c r="S7" s="41">
        <f>INDEX(raw_data_effect!$1:$1048576,MATCH(S$6,raw_data_effect!$I:$I,0),MATCH($A$4,raw_data_effect!$1:$1,0))</f>
        <v>2.7800005794077198</v>
      </c>
      <c r="T7" s="41">
        <f>INDEX(raw_data_effect!$1:$1048576,MATCH(T$6,raw_data_effect!$I:$I,0),MATCH($A$4,raw_data_effect!$1:$1,0))</f>
        <v>2.8206799128614701</v>
      </c>
      <c r="U7" s="41">
        <f>INDEX(raw_data_effect!$1:$1048576,MATCH(U$6,raw_data_effect!$I:$I,0),MATCH($A$4,raw_data_effect!$1:$1,0))</f>
        <v>2.8478181507187301</v>
      </c>
      <c r="V7" s="41">
        <f>INDEX(raw_data_effect!$1:$1048576,MATCH(V$6,raw_data_effect!$I:$I,0),MATCH($A$4,raw_data_effect!$1:$1,0))</f>
        <v>2.87661514615804</v>
      </c>
      <c r="W7" s="41">
        <f>INDEX(raw_data_effect!$1:$1048576,MATCH(W$6,raw_data_effect!$I:$I,0),MATCH($A$4,raw_data_effect!$1:$1,0))</f>
        <v>2.8939740053540799</v>
      </c>
      <c r="X7" s="41">
        <f>INDEX(raw_data_effect!$1:$1048576,MATCH(X$6,raw_data_effect!$I:$I,0),MATCH($A$4,raw_data_effect!$1:$1,0))</f>
        <v>2.9131479104276998</v>
      </c>
      <c r="Y7" s="41">
        <f>INDEX(raw_data_effect!$1:$1048576,MATCH(Y$6,raw_data_effect!$I:$I,0),MATCH($A$4,raw_data_effect!$1:$1,0))</f>
        <v>2.9217491433879799</v>
      </c>
      <c r="Z7" s="41">
        <f>INDEX(raw_data_effect!$1:$1048576,MATCH(Z$6,raw_data_effect!$I:$I,0),MATCH($A$4,raw_data_effect!$1:$1,0))</f>
        <v>2.94221992314773</v>
      </c>
      <c r="AA7" s="41">
        <f>INDEX(raw_data_effect!$1:$1048576,MATCH(AA$6,raw_data_effect!$I:$I,0),MATCH($A$4,raw_data_effect!$1:$1,0))</f>
        <v>2.9535572143953899</v>
      </c>
    </row>
    <row r="8" spans="1:27" ht="30" customHeight="1" x14ac:dyDescent="0.25"/>
    <row r="9" spans="1:27" x14ac:dyDescent="0.25">
      <c r="Q9" s="31"/>
    </row>
  </sheetData>
  <mergeCells count="1">
    <mergeCell ref="B4:AA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63B93-9DA5-4FC6-BBC3-F5CEC41B30AA}">
  <dimension ref="A1:AA7"/>
  <sheetViews>
    <sheetView workbookViewId="0">
      <selection activeCell="B6" sqref="B6:AA6"/>
    </sheetView>
  </sheetViews>
  <sheetFormatPr baseColWidth="10" defaultColWidth="10.7109375" defaultRowHeight="15" x14ac:dyDescent="0.25"/>
  <cols>
    <col min="1" max="1" width="21" style="17" customWidth="1"/>
    <col min="2" max="9" width="10.85546875" bestFit="1" customWidth="1"/>
    <col min="10" max="27" width="11.42578125" bestFit="1" customWidth="1"/>
  </cols>
  <sheetData>
    <row r="1" spans="1:27" ht="15.75" thickBot="1" x14ac:dyDescent="0.3"/>
    <row r="2" spans="1:27" ht="30" customHeight="1" thickBot="1" x14ac:dyDescent="0.3">
      <c r="A2" s="9" t="s">
        <v>17</v>
      </c>
      <c r="P2" s="7"/>
      <c r="Q2" s="6"/>
      <c r="R2" s="6"/>
      <c r="S2" s="6"/>
      <c r="T2" s="6"/>
      <c r="U2" s="6"/>
    </row>
    <row r="3" spans="1:27" ht="30" customHeight="1" thickBot="1" x14ac:dyDescent="0.3">
      <c r="A3" s="39" t="s">
        <v>67</v>
      </c>
      <c r="B3" s="58" t="s">
        <v>53</v>
      </c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60"/>
    </row>
    <row r="4" spans="1:27" ht="30" customHeight="1" x14ac:dyDescent="0.25">
      <c r="A4" s="11" t="s">
        <v>29</v>
      </c>
      <c r="B4" s="38">
        <v>44364</v>
      </c>
      <c r="C4" s="38">
        <v>44368</v>
      </c>
      <c r="D4" s="38">
        <v>44369</v>
      </c>
      <c r="E4" s="38">
        <v>44372</v>
      </c>
      <c r="F4" s="38">
        <v>44375</v>
      </c>
      <c r="G4" s="38">
        <v>44378</v>
      </c>
      <c r="H4" s="38">
        <v>44382</v>
      </c>
      <c r="I4" s="38">
        <v>44385</v>
      </c>
      <c r="J4" s="38">
        <v>44389</v>
      </c>
      <c r="K4" s="38">
        <v>44392</v>
      </c>
      <c r="L4" s="38">
        <v>44396</v>
      </c>
      <c r="M4" s="38">
        <v>44399</v>
      </c>
      <c r="N4" s="38">
        <v>44403</v>
      </c>
      <c r="O4" s="38">
        <v>44406</v>
      </c>
      <c r="P4" s="38">
        <v>44410</v>
      </c>
      <c r="Q4" s="38">
        <v>44413</v>
      </c>
      <c r="R4" s="38">
        <v>44417</v>
      </c>
      <c r="S4" s="38">
        <v>44420</v>
      </c>
      <c r="T4" s="38">
        <v>44424</v>
      </c>
      <c r="U4" s="38">
        <v>44427</v>
      </c>
      <c r="V4" s="38">
        <v>44431</v>
      </c>
      <c r="W4" s="38">
        <v>44434</v>
      </c>
      <c r="X4" s="38">
        <v>44438</v>
      </c>
      <c r="Y4" s="38">
        <v>44440</v>
      </c>
      <c r="Z4" s="38">
        <v>44445</v>
      </c>
      <c r="AA4" s="38">
        <v>44448</v>
      </c>
    </row>
    <row r="5" spans="1:27" ht="30" customHeight="1" x14ac:dyDescent="0.25">
      <c r="A5" s="11" t="s">
        <v>28</v>
      </c>
      <c r="B5" s="2" t="s">
        <v>13</v>
      </c>
      <c r="C5" s="2" t="s">
        <v>18</v>
      </c>
      <c r="D5" s="2" t="s">
        <v>10</v>
      </c>
      <c r="E5" s="2" t="s">
        <v>14</v>
      </c>
      <c r="F5" s="2" t="s">
        <v>55</v>
      </c>
      <c r="G5" s="2" t="s">
        <v>15</v>
      </c>
      <c r="H5" s="2" t="s">
        <v>46</v>
      </c>
      <c r="I5" s="2" t="s">
        <v>19</v>
      </c>
      <c r="J5" s="2" t="s">
        <v>56</v>
      </c>
      <c r="K5" s="2" t="s">
        <v>12</v>
      </c>
      <c r="L5" s="2" t="s">
        <v>57</v>
      </c>
      <c r="M5" s="2" t="s">
        <v>20</v>
      </c>
      <c r="N5" s="2" t="s">
        <v>58</v>
      </c>
      <c r="O5" s="2" t="s">
        <v>21</v>
      </c>
      <c r="P5" s="2" t="s">
        <v>59</v>
      </c>
      <c r="Q5" s="2" t="s">
        <v>22</v>
      </c>
      <c r="R5" s="2" t="s">
        <v>60</v>
      </c>
      <c r="S5" s="2" t="s">
        <v>23</v>
      </c>
      <c r="T5" s="2" t="s">
        <v>61</v>
      </c>
      <c r="U5" s="2" t="s">
        <v>24</v>
      </c>
      <c r="V5" s="2" t="s">
        <v>62</v>
      </c>
      <c r="W5" s="2" t="s">
        <v>25</v>
      </c>
      <c r="X5" s="2" t="s">
        <v>63</v>
      </c>
      <c r="Y5" s="2" t="s">
        <v>26</v>
      </c>
      <c r="Z5" s="2" t="s">
        <v>64</v>
      </c>
      <c r="AA5" s="2" t="s">
        <v>11</v>
      </c>
    </row>
    <row r="6" spans="1:27" ht="30" customHeight="1" x14ac:dyDescent="0.25">
      <c r="A6" s="21" t="s">
        <v>36</v>
      </c>
      <c r="B6" s="41">
        <f>INDEX(raw_data_effect!$1:$1048576,MATCH(B$5,raw_data_effect!$I:$I,0),MATCH($A$3,raw_data_effect!$1:$1,0))</f>
        <v>2.7165255442016001</v>
      </c>
      <c r="C6" s="41">
        <f>INDEX(raw_data_effect!$1:$1048576,MATCH(C$5,raw_data_effect!$I:$I,0),MATCH($A$3,raw_data_effect!$1:$1,0))</f>
        <v>4.1845294700763702</v>
      </c>
      <c r="D6" s="41">
        <f>INDEX(raw_data_effect!$1:$1048576,MATCH(D$5,raw_data_effect!$I:$I,0),MATCH($A$3,raw_data_effect!$1:$1,0))</f>
        <v>4.8775779281532703</v>
      </c>
      <c r="E6" s="41">
        <f>INDEX(raw_data_effect!$1:$1048576,MATCH(E$5,raw_data_effect!$I:$I,0),MATCH($A$3,raw_data_effect!$1:$1,0))</f>
        <v>5.54977007837382</v>
      </c>
      <c r="F6" s="41">
        <f>INDEX(raw_data_effect!$1:$1048576,MATCH(F$5,raw_data_effect!$I:$I,0),MATCH($A$3,raw_data_effect!$1:$1,0))</f>
        <v>6.5325162356364004</v>
      </c>
      <c r="G6" s="41">
        <f>INDEX(raw_data_effect!$1:$1048576,MATCH(G$5,raw_data_effect!$I:$I,0),MATCH($A$3,raw_data_effect!$1:$1,0))</f>
        <v>7.5301382682673497</v>
      </c>
      <c r="H6" s="41">
        <f>INDEX(raw_data_effect!$1:$1048576,MATCH(H$5,raw_data_effect!$I:$I,0),MATCH($A$3,raw_data_effect!$1:$1,0))</f>
        <v>8.5918449137134498</v>
      </c>
      <c r="I6" s="41">
        <f>INDEX(raw_data_effect!$1:$1048576,MATCH(I$5,raw_data_effect!$I:$I,0),MATCH($A$3,raw_data_effect!$1:$1,0))</f>
        <v>9.3541765362176097</v>
      </c>
      <c r="J6" s="41">
        <f>INDEX(raw_data_effect!$1:$1048576,MATCH(J$5,raw_data_effect!$I:$I,0),MATCH($A$3,raw_data_effect!$1:$1,0))</f>
        <v>10.3458772539369</v>
      </c>
      <c r="K6" s="41">
        <f>INDEX(raw_data_effect!$1:$1048576,MATCH(K$5,raw_data_effect!$I:$I,0),MATCH($A$3,raw_data_effect!$1:$1,0))</f>
        <v>11.085784456075</v>
      </c>
      <c r="L6" s="41">
        <f>INDEX(raw_data_effect!$1:$1048576,MATCH(L$5,raw_data_effect!$I:$I,0),MATCH($A$3,raw_data_effect!$1:$1,0))</f>
        <v>12.129166070856099</v>
      </c>
      <c r="M6" s="41">
        <f>INDEX(raw_data_effect!$1:$1048576,MATCH(M$5,raw_data_effect!$I:$I,0),MATCH($A$3,raw_data_effect!$1:$1,0))</f>
        <v>12.9387391977366</v>
      </c>
      <c r="N6" s="41">
        <f>INDEX(raw_data_effect!$1:$1048576,MATCH(N$5,raw_data_effect!$I:$I,0),MATCH($A$3,raw_data_effect!$1:$1,0))</f>
        <v>14.0464658776768</v>
      </c>
      <c r="O6" s="41">
        <f>INDEX(raw_data_effect!$1:$1048576,MATCH(O$5,raw_data_effect!$I:$I,0),MATCH($A$3,raw_data_effect!$1:$1,0))</f>
        <v>14.858868650546</v>
      </c>
      <c r="P6" s="41">
        <f>INDEX(raw_data_effect!$1:$1048576,MATCH(P$5,raw_data_effect!$I:$I,0),MATCH($A$3,raw_data_effect!$1:$1,0))</f>
        <v>15.791159922777201</v>
      </c>
      <c r="Q6" s="41">
        <f>INDEX(raw_data_effect!$1:$1048576,MATCH(Q$5,raw_data_effect!$I:$I,0),MATCH($A$3,raw_data_effect!$1:$1,0))</f>
        <v>16.428830387389301</v>
      </c>
      <c r="R6" s="41">
        <f>INDEX(raw_data_effect!$1:$1048576,MATCH(R$5,raw_data_effect!$I:$I,0),MATCH($A$3,raw_data_effect!$1:$1,0))</f>
        <v>17.262695846885499</v>
      </c>
      <c r="S6" s="41">
        <f>INDEX(raw_data_effect!$1:$1048576,MATCH(S$5,raw_data_effect!$I:$I,0),MATCH($A$3,raw_data_effect!$1:$1,0))</f>
        <v>17.9148789048363</v>
      </c>
      <c r="T6" s="41">
        <f>INDEX(raw_data_effect!$1:$1048576,MATCH(T$5,raw_data_effect!$I:$I,0),MATCH($A$3,raw_data_effect!$1:$1,0))</f>
        <v>18.9400081259604</v>
      </c>
      <c r="U6" s="41">
        <f>INDEX(raw_data_effect!$1:$1048576,MATCH(U$5,raw_data_effect!$I:$I,0),MATCH($A$3,raw_data_effect!$1:$1,0))</f>
        <v>19.751642578009601</v>
      </c>
      <c r="V6" s="41">
        <f>INDEX(raw_data_effect!$1:$1048576,MATCH(V$5,raw_data_effect!$I:$I,0),MATCH($A$3,raw_data_effect!$1:$1,0))</f>
        <v>20.759899504124999</v>
      </c>
      <c r="W6" s="41">
        <f>INDEX(raw_data_effect!$1:$1048576,MATCH(W$5,raw_data_effect!$I:$I,0),MATCH($A$3,raw_data_effect!$1:$1,0))</f>
        <v>21.459452915607699</v>
      </c>
      <c r="X6" s="41">
        <f>INDEX(raw_data_effect!$1:$1048576,MATCH(X$5,raw_data_effect!$I:$I,0),MATCH($A$3,raw_data_effect!$1:$1,0))</f>
        <v>22.332038248907999</v>
      </c>
      <c r="Y6" s="41">
        <f>INDEX(raw_data_effect!$1:$1048576,MATCH(Y$5,raw_data_effect!$I:$I,0),MATCH($A$3,raw_data_effect!$1:$1,0))</f>
        <v>22.763578063688399</v>
      </c>
      <c r="Z6" s="41">
        <f>INDEX(raw_data_effect!$1:$1048576,MATCH(Z$5,raw_data_effect!$I:$I,0),MATCH($A$3,raw_data_effect!$1:$1,0))</f>
        <v>23.912617976028699</v>
      </c>
      <c r="AA6" s="41">
        <f>INDEX(raw_data_effect!$1:$1048576,MATCH(AA$5,raw_data_effect!$I:$I,0),MATCH($A$3,raw_data_effect!$1:$1,0))</f>
        <v>24.6377968281299</v>
      </c>
    </row>
    <row r="7" spans="1:27" ht="30" customHeight="1" x14ac:dyDescent="0.25"/>
  </sheetData>
  <mergeCells count="1">
    <mergeCell ref="B3:AA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76FAD-5BC8-446B-860F-047479B24EE9}">
  <dimension ref="A1:AA15"/>
  <sheetViews>
    <sheetView workbookViewId="0">
      <selection activeCell="B6" sqref="B6:AA6"/>
    </sheetView>
  </sheetViews>
  <sheetFormatPr baseColWidth="10" defaultColWidth="9.140625" defaultRowHeight="15" x14ac:dyDescent="0.25"/>
  <cols>
    <col min="1" max="1" width="18.85546875" customWidth="1"/>
    <col min="2" max="27" width="10.7109375" customWidth="1"/>
  </cols>
  <sheetData>
    <row r="1" spans="1:27" ht="15.75" thickBot="1" x14ac:dyDescent="0.3">
      <c r="A1" s="43" t="s">
        <v>79</v>
      </c>
    </row>
    <row r="2" spans="1:27" ht="30" customHeight="1" thickBot="1" x14ac:dyDescent="0.3">
      <c r="A2" s="9" t="s">
        <v>17</v>
      </c>
      <c r="P2" s="7"/>
      <c r="Q2" s="6"/>
      <c r="R2" s="6"/>
      <c r="S2" s="6"/>
      <c r="T2" s="6"/>
      <c r="U2" s="6"/>
    </row>
    <row r="3" spans="1:27" ht="30" customHeight="1" thickBot="1" x14ac:dyDescent="0.3">
      <c r="A3" s="42" t="s">
        <v>67</v>
      </c>
      <c r="B3" s="58" t="s">
        <v>53</v>
      </c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60"/>
    </row>
    <row r="4" spans="1:27" ht="30" customHeight="1" x14ac:dyDescent="0.25">
      <c r="A4" s="11" t="s">
        <v>29</v>
      </c>
      <c r="B4" s="38">
        <v>44364</v>
      </c>
      <c r="C4" s="38">
        <v>44368</v>
      </c>
      <c r="D4" s="38">
        <v>44369</v>
      </c>
      <c r="E4" s="38">
        <v>44372</v>
      </c>
      <c r="F4" s="38">
        <v>44375</v>
      </c>
      <c r="G4" s="38">
        <v>44378</v>
      </c>
      <c r="H4" s="38">
        <v>44382</v>
      </c>
      <c r="I4" s="38">
        <v>44385</v>
      </c>
      <c r="J4" s="38">
        <v>44389</v>
      </c>
      <c r="K4" s="38">
        <v>44392</v>
      </c>
      <c r="L4" s="38">
        <v>44396</v>
      </c>
      <c r="M4" s="38">
        <v>44399</v>
      </c>
      <c r="N4" s="38">
        <v>44403</v>
      </c>
      <c r="O4" s="38">
        <v>44406</v>
      </c>
      <c r="P4" s="38">
        <v>44410</v>
      </c>
      <c r="Q4" s="38">
        <v>44413</v>
      </c>
      <c r="R4" s="38">
        <v>44417</v>
      </c>
      <c r="S4" s="38">
        <v>44420</v>
      </c>
      <c r="T4" s="38">
        <v>44424</v>
      </c>
      <c r="U4" s="38">
        <v>44427</v>
      </c>
      <c r="V4" s="38">
        <v>44431</v>
      </c>
      <c r="W4" s="38">
        <v>44434</v>
      </c>
      <c r="X4" s="38">
        <v>44438</v>
      </c>
      <c r="Y4" s="38">
        <v>44440</v>
      </c>
      <c r="Z4" s="38">
        <v>44445</v>
      </c>
      <c r="AA4" s="38">
        <v>44448</v>
      </c>
    </row>
    <row r="5" spans="1:27" ht="30" customHeight="1" x14ac:dyDescent="0.25">
      <c r="A5" s="11" t="s">
        <v>28</v>
      </c>
      <c r="B5" s="2" t="s">
        <v>13</v>
      </c>
      <c r="C5" s="2" t="s">
        <v>18</v>
      </c>
      <c r="D5" s="2" t="s">
        <v>10</v>
      </c>
      <c r="E5" s="2" t="s">
        <v>14</v>
      </c>
      <c r="F5" s="2" t="s">
        <v>55</v>
      </c>
      <c r="G5" s="2" t="s">
        <v>15</v>
      </c>
      <c r="H5" s="2" t="s">
        <v>46</v>
      </c>
      <c r="I5" s="2" t="s">
        <v>19</v>
      </c>
      <c r="J5" s="2" t="s">
        <v>56</v>
      </c>
      <c r="K5" s="2" t="s">
        <v>12</v>
      </c>
      <c r="L5" s="2" t="s">
        <v>57</v>
      </c>
      <c r="M5" s="2" t="s">
        <v>20</v>
      </c>
      <c r="N5" s="2" t="s">
        <v>58</v>
      </c>
      <c r="O5" s="2" t="s">
        <v>21</v>
      </c>
      <c r="P5" s="2" t="s">
        <v>59</v>
      </c>
      <c r="Q5" s="2" t="s">
        <v>22</v>
      </c>
      <c r="R5" s="2" t="s">
        <v>60</v>
      </c>
      <c r="S5" s="2" t="s">
        <v>23</v>
      </c>
      <c r="T5" s="2" t="s">
        <v>61</v>
      </c>
      <c r="U5" s="2" t="s">
        <v>24</v>
      </c>
      <c r="V5" s="2" t="s">
        <v>62</v>
      </c>
      <c r="W5" s="2" t="s">
        <v>25</v>
      </c>
      <c r="X5" s="2" t="s">
        <v>63</v>
      </c>
      <c r="Y5" s="2" t="s">
        <v>26</v>
      </c>
      <c r="Z5" s="2" t="s">
        <v>64</v>
      </c>
      <c r="AA5" s="2" t="s">
        <v>11</v>
      </c>
    </row>
    <row r="6" spans="1:27" ht="30" customHeight="1" x14ac:dyDescent="0.25">
      <c r="A6" s="21" t="s">
        <v>36</v>
      </c>
      <c r="B6" s="41">
        <f>INDEX(raw_data_effect!$1:$1048576,MATCH(B$5,raw_data_effect!$I:$I,0),MATCH($A$1,raw_data_effect!$1:$1,0))</f>
        <v>1.9239350832831901</v>
      </c>
      <c r="C6" s="41">
        <f>INDEX(raw_data_effect!$1:$1048576,MATCH(C$5,raw_data_effect!$I:$I,0),MATCH($A$1,raw_data_effect!$1:$1,0))</f>
        <v>2.9178328878010098</v>
      </c>
      <c r="D6" s="41">
        <f>INDEX(raw_data_effect!$1:$1048576,MATCH(D$5,raw_data_effect!$I:$I,0),MATCH($A$1,raw_data_effect!$1:$1,0))</f>
        <v>3.3836353970517301</v>
      </c>
      <c r="E6" s="41">
        <f>INDEX(raw_data_effect!$1:$1048576,MATCH(E$5,raw_data_effect!$I:$I,0),MATCH($A$1,raw_data_effect!$1:$1,0))</f>
        <v>3.8404843568609701</v>
      </c>
      <c r="F6" s="41">
        <f>INDEX(raw_data_effect!$1:$1048576,MATCH(F$5,raw_data_effect!$I:$I,0),MATCH($A$1,raw_data_effect!$1:$1,0))</f>
        <v>4.5354071447658697</v>
      </c>
      <c r="G6" s="41">
        <f>INDEX(raw_data_effect!$1:$1048576,MATCH(G$5,raw_data_effect!$I:$I,0),MATCH($A$1,raw_data_effect!$1:$1,0))</f>
        <v>5.2764811729635097</v>
      </c>
      <c r="H6" s="41">
        <f>INDEX(raw_data_effect!$1:$1048576,MATCH(H$5,raw_data_effect!$I:$I,0),MATCH($A$1,raw_data_effect!$1:$1,0))</f>
        <v>6.1367921890592703</v>
      </c>
      <c r="I6" s="41">
        <f>INDEX(raw_data_effect!$1:$1048576,MATCH(I$5,raw_data_effect!$I:$I,0),MATCH($A$1,raw_data_effect!$1:$1,0))</f>
        <v>6.8064319465973497</v>
      </c>
      <c r="J6" s="41">
        <f>INDEX(raw_data_effect!$1:$1048576,MATCH(J$5,raw_data_effect!$I:$I,0),MATCH($A$1,raw_data_effect!$1:$1,0))</f>
        <v>7.7510383040211002</v>
      </c>
      <c r="K6" s="41">
        <f>INDEX(raw_data_effect!$1:$1048576,MATCH(K$5,raw_data_effect!$I:$I,0),MATCH($A$1,raw_data_effect!$1:$1,0))</f>
        <v>8.5079044036765996</v>
      </c>
      <c r="L6" s="41">
        <f>INDEX(raw_data_effect!$1:$1048576,MATCH(L$5,raw_data_effect!$I:$I,0),MATCH($A$1,raw_data_effect!$1:$1,0))</f>
        <v>9.6339366856742092</v>
      </c>
      <c r="M6" s="41">
        <f>INDEX(raw_data_effect!$1:$1048576,MATCH(M$5,raw_data_effect!$I:$I,0),MATCH($A$1,raw_data_effect!$1:$1,0))</f>
        <v>10.539320669721</v>
      </c>
      <c r="N6" s="41">
        <f>INDEX(raw_data_effect!$1:$1048576,MATCH(N$5,raw_data_effect!$I:$I,0),MATCH($A$1,raw_data_effect!$1:$1,0))</f>
        <v>11.791293543118</v>
      </c>
      <c r="O6" s="41">
        <f>INDEX(raw_data_effect!$1:$1048576,MATCH(O$5,raw_data_effect!$I:$I,0),MATCH($A$1,raw_data_effect!$1:$1,0))</f>
        <v>12.707176592985499</v>
      </c>
      <c r="P6" s="41">
        <f>INDEX(raw_data_effect!$1:$1048576,MATCH(P$5,raw_data_effect!$I:$I,0),MATCH($A$1,raw_data_effect!$1:$1,0))</f>
        <v>13.7422116813046</v>
      </c>
      <c r="Q6" s="41">
        <f>INDEX(raw_data_effect!$1:$1048576,MATCH(Q$5,raw_data_effect!$I:$I,0),MATCH($A$1,raw_data_effect!$1:$1,0))</f>
        <v>14.4406763186684</v>
      </c>
      <c r="R6" s="41">
        <f>INDEX(raw_data_effect!$1:$1048576,MATCH(R$5,raw_data_effect!$I:$I,0),MATCH($A$1,raw_data_effect!$1:$1,0))</f>
        <v>15.337960640973501</v>
      </c>
      <c r="S6" s="41">
        <f>INDEX(raw_data_effect!$1:$1048576,MATCH(S$5,raw_data_effect!$I:$I,0),MATCH($A$1,raw_data_effect!$1:$1,0))</f>
        <v>16.0286264535934</v>
      </c>
      <c r="T6" s="41">
        <f>INDEX(raw_data_effect!$1:$1048576,MATCH(T$5,raw_data_effect!$I:$I,0),MATCH($A$1,raw_data_effect!$1:$1,0))</f>
        <v>17.093515186396701</v>
      </c>
      <c r="U6" s="41">
        <f>INDEX(raw_data_effect!$1:$1048576,MATCH(U$5,raw_data_effect!$I:$I,0),MATCH($A$1,raw_data_effect!$1:$1,0))</f>
        <v>17.919972886737099</v>
      </c>
      <c r="V6" s="41">
        <f>INDEX(raw_data_effect!$1:$1048576,MATCH(V$5,raw_data_effect!$I:$I,0),MATCH($A$1,raw_data_effect!$1:$1,0))</f>
        <v>18.928259911784799</v>
      </c>
      <c r="W6" s="41">
        <f>INDEX(raw_data_effect!$1:$1048576,MATCH(W$5,raw_data_effect!$I:$I,0),MATCH($A$1,raw_data_effect!$1:$1,0))</f>
        <v>19.616668791385599</v>
      </c>
      <c r="X6" s="41">
        <f>INDEX(raw_data_effect!$1:$1048576,MATCH(X$5,raw_data_effect!$I:$I,0),MATCH($A$1,raw_data_effect!$1:$1,0))</f>
        <v>20.4637298971181</v>
      </c>
      <c r="Y6" s="41">
        <f>INDEX(raw_data_effect!$1:$1048576,MATCH(Y$5,raw_data_effect!$I:$I,0),MATCH($A$1,raw_data_effect!$1:$1,0))</f>
        <v>20.8782554565874</v>
      </c>
      <c r="Z6" s="41">
        <f>INDEX(raw_data_effect!$1:$1048576,MATCH(Z$5,raw_data_effect!$I:$I,0),MATCH($A$1,raw_data_effect!$1:$1,0))</f>
        <v>21.968735044000699</v>
      </c>
      <c r="AA6" s="41">
        <f>INDEX(raw_data_effect!$1:$1048576,MATCH(AA$5,raw_data_effect!$I:$I,0),MATCH($A$1,raw_data_effect!$1:$1,0))</f>
        <v>22.648203299595298</v>
      </c>
    </row>
    <row r="7" spans="1:27" ht="30" customHeight="1" x14ac:dyDescent="0.25"/>
    <row r="8" spans="1:27" ht="30" customHeight="1" x14ac:dyDescent="0.25"/>
    <row r="9" spans="1:27" ht="30" customHeight="1" x14ac:dyDescent="0.25"/>
    <row r="10" spans="1:27" ht="30" customHeight="1" x14ac:dyDescent="0.25"/>
    <row r="11" spans="1:27" ht="30" customHeight="1" x14ac:dyDescent="0.25"/>
    <row r="12" spans="1:27" ht="30" customHeight="1" x14ac:dyDescent="0.25"/>
    <row r="13" spans="1:27" ht="30" customHeight="1" x14ac:dyDescent="0.25"/>
    <row r="14" spans="1:27" ht="30" customHeight="1" x14ac:dyDescent="0.25"/>
    <row r="15" spans="1:27" ht="30" customHeight="1" x14ac:dyDescent="0.25"/>
  </sheetData>
  <mergeCells count="1">
    <mergeCell ref="B3:AA3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4D8D1-39D9-4530-A288-66AB9C6F6D71}">
  <dimension ref="A1:AA15"/>
  <sheetViews>
    <sheetView workbookViewId="0">
      <selection activeCell="V15" sqref="V15"/>
    </sheetView>
  </sheetViews>
  <sheetFormatPr baseColWidth="10" defaultColWidth="9.140625" defaultRowHeight="15" x14ac:dyDescent="0.25"/>
  <cols>
    <col min="1" max="1" width="18.5703125" customWidth="1"/>
    <col min="2" max="27" width="10.7109375" customWidth="1"/>
  </cols>
  <sheetData>
    <row r="1" spans="1:27" ht="15.75" thickBot="1" x14ac:dyDescent="0.3"/>
    <row r="2" spans="1:27" ht="30" customHeight="1" thickBot="1" x14ac:dyDescent="0.3">
      <c r="A2" s="9" t="s">
        <v>17</v>
      </c>
      <c r="P2" s="7"/>
      <c r="Q2" s="6"/>
      <c r="R2" s="6"/>
      <c r="S2" s="6"/>
      <c r="T2" s="6"/>
      <c r="U2" s="6"/>
    </row>
    <row r="3" spans="1:27" ht="30" customHeight="1" thickBot="1" x14ac:dyDescent="0.3">
      <c r="A3" s="39" t="s">
        <v>68</v>
      </c>
      <c r="B3" s="58" t="s">
        <v>53</v>
      </c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60"/>
    </row>
    <row r="4" spans="1:27" ht="30" customHeight="1" x14ac:dyDescent="0.25">
      <c r="A4" s="11" t="s">
        <v>29</v>
      </c>
      <c r="B4" s="38">
        <v>44364</v>
      </c>
      <c r="C4" s="38">
        <v>44368</v>
      </c>
      <c r="D4" s="38">
        <v>44369</v>
      </c>
      <c r="E4" s="38">
        <v>44372</v>
      </c>
      <c r="F4" s="38">
        <v>44375</v>
      </c>
      <c r="G4" s="38">
        <v>44378</v>
      </c>
      <c r="H4" s="38">
        <v>44382</v>
      </c>
      <c r="I4" s="38">
        <v>44385</v>
      </c>
      <c r="J4" s="38">
        <v>44389</v>
      </c>
      <c r="K4" s="38">
        <v>44392</v>
      </c>
      <c r="L4" s="38">
        <v>44396</v>
      </c>
      <c r="M4" s="38">
        <v>44399</v>
      </c>
      <c r="N4" s="38">
        <v>44403</v>
      </c>
      <c r="O4" s="38">
        <v>44406</v>
      </c>
      <c r="P4" s="38">
        <v>44410</v>
      </c>
      <c r="Q4" s="38">
        <v>44413</v>
      </c>
      <c r="R4" s="38">
        <v>44417</v>
      </c>
      <c r="S4" s="38">
        <v>44420</v>
      </c>
      <c r="T4" s="38">
        <v>44424</v>
      </c>
      <c r="U4" s="38">
        <v>44427</v>
      </c>
      <c r="V4" s="38">
        <v>44431</v>
      </c>
      <c r="W4" s="38">
        <v>44434</v>
      </c>
      <c r="X4" s="38">
        <v>44438</v>
      </c>
      <c r="Y4" s="38">
        <v>44440</v>
      </c>
      <c r="Z4" s="38">
        <v>44445</v>
      </c>
      <c r="AA4" s="38">
        <v>44448</v>
      </c>
    </row>
    <row r="5" spans="1:27" ht="30" customHeight="1" x14ac:dyDescent="0.25">
      <c r="A5" s="11" t="s">
        <v>28</v>
      </c>
      <c r="B5" s="2" t="s">
        <v>13</v>
      </c>
      <c r="C5" s="2" t="s">
        <v>18</v>
      </c>
      <c r="D5" s="2" t="s">
        <v>10</v>
      </c>
      <c r="E5" s="2" t="s">
        <v>14</v>
      </c>
      <c r="F5" s="2" t="s">
        <v>55</v>
      </c>
      <c r="G5" s="2" t="s">
        <v>15</v>
      </c>
      <c r="H5" s="2" t="s">
        <v>46</v>
      </c>
      <c r="I5" s="2" t="s">
        <v>19</v>
      </c>
      <c r="J5" s="2" t="s">
        <v>56</v>
      </c>
      <c r="K5" s="2" t="s">
        <v>12</v>
      </c>
      <c r="L5" s="2" t="s">
        <v>57</v>
      </c>
      <c r="M5" s="2" t="s">
        <v>20</v>
      </c>
      <c r="N5" s="2" t="s">
        <v>58</v>
      </c>
      <c r="O5" s="2" t="s">
        <v>21</v>
      </c>
      <c r="P5" s="2" t="s">
        <v>59</v>
      </c>
      <c r="Q5" s="2" t="s">
        <v>22</v>
      </c>
      <c r="R5" s="2" t="s">
        <v>60</v>
      </c>
      <c r="S5" s="2" t="s">
        <v>23</v>
      </c>
      <c r="T5" s="2" t="s">
        <v>61</v>
      </c>
      <c r="U5" s="2" t="s">
        <v>24</v>
      </c>
      <c r="V5" s="2" t="s">
        <v>62</v>
      </c>
      <c r="W5" s="2" t="s">
        <v>25</v>
      </c>
      <c r="X5" s="2" t="s">
        <v>63</v>
      </c>
      <c r="Y5" s="2" t="s">
        <v>26</v>
      </c>
      <c r="Z5" s="2" t="s">
        <v>64</v>
      </c>
      <c r="AA5" s="2" t="s">
        <v>11</v>
      </c>
    </row>
    <row r="6" spans="1:27" ht="30" customHeight="1" x14ac:dyDescent="0.25">
      <c r="A6" s="21" t="s">
        <v>36</v>
      </c>
      <c r="B6" s="41">
        <f>INDEX(raw_data_effect!$1:$1048576,MATCH(B$5,raw_data_effect!$I:$I,0),MATCH($A$3,raw_data_effect!$1:$1,0))</f>
        <v>2.58457161710098</v>
      </c>
      <c r="C6" s="41">
        <f>INDEX(raw_data_effect!$1:$1048576,MATCH(C$5,raw_data_effect!$I:$I,0),MATCH($A$3,raw_data_effect!$1:$1,0))</f>
        <v>3.9087755251853702</v>
      </c>
      <c r="D6" s="41">
        <f>INDEX(raw_data_effect!$1:$1048576,MATCH(D$5,raw_data_effect!$I:$I,0),MATCH($A$3,raw_data_effect!$1:$1,0))</f>
        <v>4.5265085435543302</v>
      </c>
      <c r="E6" s="41">
        <f>INDEX(raw_data_effect!$1:$1048576,MATCH(E$5,raw_data_effect!$I:$I,0),MATCH($A$3,raw_data_effect!$1:$1,0))</f>
        <v>5.1304044577807497</v>
      </c>
      <c r="F6" s="41">
        <f>INDEX(raw_data_effect!$1:$1048576,MATCH(F$5,raw_data_effect!$I:$I,0),MATCH($A$3,raw_data_effect!$1:$1,0))</f>
        <v>6.0455807504918901</v>
      </c>
      <c r="G6" s="41">
        <f>INDEX(raw_data_effect!$1:$1048576,MATCH(G$5,raw_data_effect!$I:$I,0),MATCH($A$3,raw_data_effect!$1:$1,0))</f>
        <v>7.0180796774711904</v>
      </c>
      <c r="H6" s="41">
        <f>INDEX(raw_data_effect!$1:$1048576,MATCH(H$5,raw_data_effect!$I:$I,0),MATCH($A$3,raw_data_effect!$1:$1,0))</f>
        <v>8.1426728164128797</v>
      </c>
      <c r="I6" s="41">
        <f>INDEX(raw_data_effect!$1:$1048576,MATCH(I$5,raw_data_effect!$I:$I,0),MATCH($A$3,raw_data_effect!$1:$1,0))</f>
        <v>9.0154928713296698</v>
      </c>
      <c r="J6" s="41">
        <f>INDEX(raw_data_effect!$1:$1048576,MATCH(J$5,raw_data_effect!$I:$I,0),MATCH($A$3,raw_data_effect!$1:$1,0))</f>
        <v>10.2434620826858</v>
      </c>
      <c r="K6" s="41">
        <f>INDEX(raw_data_effect!$1:$1048576,MATCH(K$5,raw_data_effect!$I:$I,0),MATCH($A$3,raw_data_effect!$1:$1,0))</f>
        <v>11.2250299476023</v>
      </c>
      <c r="L6" s="41">
        <f>INDEX(raw_data_effect!$1:$1048576,MATCH(L$5,raw_data_effect!$I:$I,0),MATCH($A$3,raw_data_effect!$1:$1,0))</f>
        <v>12.682218652833299</v>
      </c>
      <c r="M6" s="41">
        <f>INDEX(raw_data_effect!$1:$1048576,MATCH(M$5,raw_data_effect!$I:$I,0),MATCH($A$3,raw_data_effect!$1:$1,0))</f>
        <v>13.851647934815499</v>
      </c>
      <c r="N6" s="41">
        <f>INDEX(raw_data_effect!$1:$1048576,MATCH(N$5,raw_data_effect!$I:$I,0),MATCH($A$3,raw_data_effect!$1:$1,0))</f>
        <v>15.466332621210199</v>
      </c>
      <c r="O6" s="41">
        <f>INDEX(raw_data_effect!$1:$1048576,MATCH(O$5,raw_data_effect!$I:$I,0),MATCH($A$3,raw_data_effect!$1:$1,0))</f>
        <v>16.646220663068402</v>
      </c>
      <c r="P6" s="41">
        <f>INDEX(raw_data_effect!$1:$1048576,MATCH(P$5,raw_data_effect!$I:$I,0),MATCH($A$3,raw_data_effect!$1:$1,0))</f>
        <v>17.978542268190299</v>
      </c>
      <c r="Q6" s="41">
        <f>INDEX(raw_data_effect!$1:$1048576,MATCH(Q$5,raw_data_effect!$I:$I,0),MATCH($A$3,raw_data_effect!$1:$1,0))</f>
        <v>18.8773138150192</v>
      </c>
      <c r="R6" s="41">
        <f>INDEX(raw_data_effect!$1:$1048576,MATCH(R$5,raw_data_effect!$I:$I,0),MATCH($A$3,raw_data_effect!$1:$1,0))</f>
        <v>20.031487279582901</v>
      </c>
      <c r="S6" s="41">
        <f>INDEX(raw_data_effect!$1:$1048576,MATCH(S$5,raw_data_effect!$I:$I,0),MATCH($A$3,raw_data_effect!$1:$1,0))</f>
        <v>20.9197622414436</v>
      </c>
      <c r="T6" s="41">
        <f>INDEX(raw_data_effect!$1:$1048576,MATCH(T$5,raw_data_effect!$I:$I,0),MATCH($A$3,raw_data_effect!$1:$1,0))</f>
        <v>22.2891161790923</v>
      </c>
      <c r="U6" s="41">
        <f>INDEX(raw_data_effect!$1:$1048576,MATCH(U$5,raw_data_effect!$I:$I,0),MATCH($A$3,raw_data_effect!$1:$1,0))</f>
        <v>23.3517936700867</v>
      </c>
      <c r="V6" s="41">
        <f>INDEX(raw_data_effect!$1:$1048576,MATCH(V$5,raw_data_effect!$I:$I,0),MATCH($A$3,raw_data_effect!$1:$1,0))</f>
        <v>24.6483476425418</v>
      </c>
      <c r="W6" s="41">
        <f>INDEX(raw_data_effect!$1:$1048576,MATCH(W$5,raw_data_effect!$I:$I,0),MATCH($A$3,raw_data_effect!$1:$1,0))</f>
        <v>25.5336101302156</v>
      </c>
      <c r="X6" s="41">
        <f>INDEX(raw_data_effect!$1:$1048576,MATCH(X$5,raw_data_effect!$I:$I,0),MATCH($A$3,raw_data_effect!$1:$1,0))</f>
        <v>26.622953250130401</v>
      </c>
      <c r="Y6" s="41">
        <f>INDEX(raw_data_effect!$1:$1048576,MATCH(Y$5,raw_data_effect!$I:$I,0),MATCH($A$3,raw_data_effect!$1:$1,0))</f>
        <v>27.156082342019001</v>
      </c>
      <c r="Z6" s="41">
        <f>INDEX(raw_data_effect!$1:$1048576,MATCH(Z$5,raw_data_effect!$I:$I,0),MATCH($A$3,raw_data_effect!$1:$1,0))</f>
        <v>28.558630091992899</v>
      </c>
      <c r="AA6" s="41">
        <f>INDEX(raw_data_effect!$1:$1048576,MATCH(AA$5,raw_data_effect!$I:$I,0),MATCH($A$3,raw_data_effect!$1:$1,0))</f>
        <v>29.4326138379787</v>
      </c>
    </row>
    <row r="7" spans="1:27" ht="30" customHeight="1" x14ac:dyDescent="0.25"/>
    <row r="8" spans="1:27" ht="30" customHeight="1" x14ac:dyDescent="0.25"/>
    <row r="9" spans="1:27" ht="30" customHeight="1" x14ac:dyDescent="0.25"/>
    <row r="10" spans="1:27" ht="30" customHeight="1" x14ac:dyDescent="0.25"/>
    <row r="11" spans="1:27" ht="30" customHeight="1" x14ac:dyDescent="0.25"/>
    <row r="12" spans="1:27" ht="30" customHeight="1" x14ac:dyDescent="0.25"/>
    <row r="13" spans="1:27" ht="30" customHeight="1" x14ac:dyDescent="0.25"/>
    <row r="14" spans="1:27" ht="30" customHeight="1" x14ac:dyDescent="0.25"/>
    <row r="15" spans="1:27" ht="30" customHeight="1" x14ac:dyDescent="0.25"/>
  </sheetData>
  <mergeCells count="1">
    <mergeCell ref="B3:AA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B548F-C592-496F-A358-6FE2699020EF}">
  <dimension ref="A4"/>
  <sheetViews>
    <sheetView workbookViewId="0"/>
  </sheetViews>
  <sheetFormatPr baseColWidth="10" defaultRowHeight="15" x14ac:dyDescent="0.25"/>
  <sheetData>
    <row r="4" spans="1:1" x14ac:dyDescent="0.25">
      <c r="A4" t="s">
        <v>134</v>
      </c>
    </row>
  </sheetData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9DA2B-0466-442E-B2A5-4D52ABF0A9F0}">
  <dimension ref="A1:I102"/>
  <sheetViews>
    <sheetView zoomScale="80" workbookViewId="0">
      <selection activeCell="I1" sqref="I1:I1048576"/>
    </sheetView>
  </sheetViews>
  <sheetFormatPr baseColWidth="10" defaultRowHeight="15" x14ac:dyDescent="0.25"/>
  <cols>
    <col min="2" max="2" width="31.28515625" customWidth="1"/>
    <col min="3" max="3" width="39.28515625" customWidth="1"/>
    <col min="4" max="4" width="46.28515625" customWidth="1"/>
    <col min="5" max="5" width="41" customWidth="1"/>
    <col min="6" max="6" width="52.5703125" customWidth="1"/>
    <col min="7" max="7" width="57.7109375" customWidth="1"/>
  </cols>
  <sheetData>
    <row r="1" spans="1:9" x14ac:dyDescent="0.25">
      <c r="B1" t="s">
        <v>51</v>
      </c>
      <c r="C1" t="s">
        <v>52</v>
      </c>
      <c r="D1" t="s">
        <v>66</v>
      </c>
      <c r="E1" t="s">
        <v>67</v>
      </c>
      <c r="F1" t="s">
        <v>79</v>
      </c>
      <c r="G1" t="s">
        <v>68</v>
      </c>
    </row>
    <row r="2" spans="1:9" x14ac:dyDescent="0.25">
      <c r="B2" t="s">
        <v>70</v>
      </c>
      <c r="C2" t="s">
        <v>71</v>
      </c>
      <c r="D2" t="s">
        <v>72</v>
      </c>
      <c r="E2" t="s">
        <v>73</v>
      </c>
      <c r="F2" t="s">
        <v>74</v>
      </c>
      <c r="G2" t="s">
        <v>75</v>
      </c>
      <c r="H2" t="s">
        <v>76</v>
      </c>
      <c r="I2" t="s">
        <v>78</v>
      </c>
    </row>
    <row r="3" spans="1:9" x14ac:dyDescent="0.25">
      <c r="A3">
        <v>1</v>
      </c>
      <c r="B3" s="45">
        <v>0</v>
      </c>
      <c r="C3">
        <v>0</v>
      </c>
      <c r="D3" s="44">
        <v>0</v>
      </c>
      <c r="E3">
        <v>0</v>
      </c>
      <c r="F3">
        <v>0</v>
      </c>
      <c r="G3">
        <v>0</v>
      </c>
      <c r="H3">
        <v>-9</v>
      </c>
      <c r="I3" t="str">
        <f>"day "&amp;H3</f>
        <v>day -9</v>
      </c>
    </row>
    <row r="4" spans="1:9" x14ac:dyDescent="0.25">
      <c r="A4">
        <v>2</v>
      </c>
      <c r="B4" s="45">
        <v>-2.9098155822138601E-3</v>
      </c>
      <c r="C4" s="44">
        <v>-1.0390476520950201E-3</v>
      </c>
      <c r="D4" s="44">
        <v>-8.0908917469027801E-4</v>
      </c>
      <c r="E4" s="44">
        <v>0.160172764846337</v>
      </c>
      <c r="F4" s="44">
        <v>0.118421658566808</v>
      </c>
      <c r="G4" s="44">
        <v>0.15810184142762301</v>
      </c>
      <c r="H4">
        <v>-8</v>
      </c>
      <c r="I4" t="str">
        <f t="shared" ref="I4:I67" si="0">"day "&amp;H4</f>
        <v>day -8</v>
      </c>
    </row>
    <row r="5" spans="1:9" x14ac:dyDescent="0.25">
      <c r="A5">
        <v>3</v>
      </c>
      <c r="B5" s="45">
        <v>-9.7128462434108703E-3</v>
      </c>
      <c r="C5" s="44">
        <v>-5.7824525895459802E-3</v>
      </c>
      <c r="D5" s="44">
        <v>1.3978628601490099E-3</v>
      </c>
      <c r="E5" s="44">
        <v>0.417022100805373</v>
      </c>
      <c r="F5" s="44">
        <v>0.30540845420531398</v>
      </c>
      <c r="G5" s="44">
        <v>0.41031205839325502</v>
      </c>
      <c r="H5">
        <v>-7</v>
      </c>
      <c r="I5" t="str">
        <f t="shared" si="0"/>
        <v>day -7</v>
      </c>
    </row>
    <row r="6" spans="1:9" x14ac:dyDescent="0.25">
      <c r="A6">
        <v>4</v>
      </c>
      <c r="B6" s="45">
        <v>-2.0122268564530001E-2</v>
      </c>
      <c r="C6" s="44">
        <v>-1.42391848351285E-2</v>
      </c>
      <c r="D6" s="44">
        <v>7.8161173549084906E-3</v>
      </c>
      <c r="E6" s="44">
        <v>0.67361420863309196</v>
      </c>
      <c r="F6" s="44">
        <v>0.49078756774773102</v>
      </c>
      <c r="G6" s="44">
        <v>0.66035662665042605</v>
      </c>
      <c r="H6">
        <v>-6</v>
      </c>
      <c r="I6" t="str">
        <f t="shared" si="0"/>
        <v>day -6</v>
      </c>
    </row>
    <row r="7" spans="1:9" x14ac:dyDescent="0.25">
      <c r="A7">
        <v>5</v>
      </c>
      <c r="B7" s="45">
        <v>-3.4825171174198297E-2</v>
      </c>
      <c r="C7" s="44">
        <v>-2.6965404865423499E-2</v>
      </c>
      <c r="D7" s="44">
        <v>1.9074768025866998E-2</v>
      </c>
      <c r="E7" s="44">
        <v>0.944620285549299</v>
      </c>
      <c r="F7" s="44">
        <v>0.68517326711426996</v>
      </c>
      <c r="G7" s="44">
        <v>0.92229115705881703</v>
      </c>
      <c r="H7">
        <v>-5</v>
      </c>
      <c r="I7" t="str">
        <f t="shared" si="0"/>
        <v>day -5</v>
      </c>
    </row>
    <row r="8" spans="1:9" x14ac:dyDescent="0.25">
      <c r="A8">
        <v>6</v>
      </c>
      <c r="B8" s="45">
        <v>-5.2567136833278801E-2</v>
      </c>
      <c r="C8" s="44">
        <v>-4.2945468990504498E-2</v>
      </c>
      <c r="D8" s="44">
        <v>3.4478380893159098E-2</v>
      </c>
      <c r="E8" s="44">
        <v>1.2107592746543201</v>
      </c>
      <c r="F8" s="44">
        <v>0.87461523201491997</v>
      </c>
      <c r="G8" s="44">
        <v>1.1773078376127899</v>
      </c>
      <c r="H8">
        <v>-4</v>
      </c>
      <c r="I8" t="str">
        <f t="shared" si="0"/>
        <v>day -4</v>
      </c>
    </row>
    <row r="9" spans="1:9" x14ac:dyDescent="0.25">
      <c r="A9">
        <v>7</v>
      </c>
      <c r="B9" s="45">
        <v>-7.3887937249595997E-2</v>
      </c>
      <c r="C9" s="44">
        <v>-6.2451501508495502E-2</v>
      </c>
      <c r="D9" s="44">
        <v>5.4447278588526701E-2</v>
      </c>
      <c r="E9" s="44">
        <v>1.48183945308121</v>
      </c>
      <c r="F9" s="44">
        <v>1.0660179027563801</v>
      </c>
      <c r="G9" s="44">
        <v>1.4347607878859601</v>
      </c>
      <c r="H9">
        <v>-3</v>
      </c>
      <c r="I9" t="str">
        <f t="shared" si="0"/>
        <v>day -3</v>
      </c>
    </row>
    <row r="10" spans="1:9" x14ac:dyDescent="0.25">
      <c r="A10">
        <v>8</v>
      </c>
      <c r="B10" s="45">
        <v>-9.9859672300507296E-2</v>
      </c>
      <c r="C10" s="44">
        <v>-8.65298986070306E-2</v>
      </c>
      <c r="D10" s="44">
        <v>8.0049580704588494E-2</v>
      </c>
      <c r="E10" s="44">
        <v>1.76880359680189</v>
      </c>
      <c r="F10" s="44">
        <v>1.26714980775515</v>
      </c>
      <c r="G10" s="44">
        <v>1.70499127443853</v>
      </c>
      <c r="H10">
        <v>-2</v>
      </c>
      <c r="I10" t="str">
        <f t="shared" si="0"/>
        <v>day -2</v>
      </c>
    </row>
    <row r="11" spans="1:9" x14ac:dyDescent="0.25">
      <c r="A11">
        <v>9</v>
      </c>
      <c r="B11" s="45">
        <v>-0.12932960972492599</v>
      </c>
      <c r="C11" s="44">
        <v>-0.114218087626688</v>
      </c>
      <c r="D11" s="44">
        <v>0.110263101033967</v>
      </c>
      <c r="E11" s="44">
        <v>2.0572635421916599</v>
      </c>
      <c r="F11" s="44">
        <v>1.4682276726435799</v>
      </c>
      <c r="G11" s="44">
        <v>1.9747243728742301</v>
      </c>
      <c r="H11">
        <v>-1</v>
      </c>
      <c r="I11" t="str">
        <f t="shared" si="0"/>
        <v>day -1</v>
      </c>
    </row>
    <row r="12" spans="1:9" x14ac:dyDescent="0.25">
      <c r="A12">
        <v>10</v>
      </c>
      <c r="B12" s="45">
        <v>-0.16560178422667099</v>
      </c>
      <c r="C12" s="44">
        <v>-0.14867699946822999</v>
      </c>
      <c r="D12" s="44">
        <v>0.148608906739151</v>
      </c>
      <c r="E12" s="44">
        <v>2.37590336118219</v>
      </c>
      <c r="F12" s="44">
        <v>1.68917356385807</v>
      </c>
      <c r="G12" s="44">
        <v>2.2706544727465698</v>
      </c>
      <c r="H12">
        <v>0</v>
      </c>
      <c r="I12" t="str">
        <f t="shared" si="0"/>
        <v>day 0</v>
      </c>
    </row>
    <row r="13" spans="1:9" x14ac:dyDescent="0.25">
      <c r="A13">
        <v>11</v>
      </c>
      <c r="B13" s="45">
        <v>-0.20851851824784201</v>
      </c>
      <c r="C13" s="44">
        <v>-0.189866048607995</v>
      </c>
      <c r="D13" s="44">
        <v>0.19487394099866401</v>
      </c>
      <c r="E13" s="44">
        <v>2.7165255442016001</v>
      </c>
      <c r="F13" s="44">
        <v>1.9239350832831901</v>
      </c>
      <c r="G13" s="44">
        <v>2.58457161710098</v>
      </c>
      <c r="H13">
        <v>1</v>
      </c>
      <c r="I13" t="str">
        <f t="shared" si="0"/>
        <v>day 1</v>
      </c>
    </row>
    <row r="14" spans="1:9" x14ac:dyDescent="0.25">
      <c r="A14">
        <v>12</v>
      </c>
      <c r="B14" s="45">
        <v>-0.25882069042348699</v>
      </c>
      <c r="C14" s="44">
        <v>-0.23855268846262401</v>
      </c>
      <c r="D14" s="44">
        <v>0.249483672473821</v>
      </c>
      <c r="E14" s="44">
        <v>3.0799223361563701</v>
      </c>
      <c r="F14" s="44">
        <v>2.1721471426626699</v>
      </c>
      <c r="G14" s="44">
        <v>2.9160144887061898</v>
      </c>
      <c r="H14">
        <v>2</v>
      </c>
      <c r="I14" t="str">
        <f t="shared" si="0"/>
        <v>day 2</v>
      </c>
    </row>
    <row r="15" spans="1:9" x14ac:dyDescent="0.25">
      <c r="A15">
        <v>13</v>
      </c>
      <c r="B15" s="45">
        <v>-0.31613447792390698</v>
      </c>
      <c r="C15" s="44">
        <v>-0.29430260247478102</v>
      </c>
      <c r="D15" s="44">
        <v>0.31141410838106598</v>
      </c>
      <c r="E15" s="44">
        <v>3.45631713294945</v>
      </c>
      <c r="F15" s="44">
        <v>2.4274692465732799</v>
      </c>
      <c r="G15" s="44">
        <v>3.2564301363591701</v>
      </c>
      <c r="H15">
        <v>3</v>
      </c>
      <c r="I15" t="str">
        <f t="shared" si="0"/>
        <v>day 3</v>
      </c>
    </row>
    <row r="16" spans="1:9" x14ac:dyDescent="0.25">
      <c r="A16">
        <v>14</v>
      </c>
      <c r="B16" s="45">
        <v>-0.37610592833747097</v>
      </c>
      <c r="C16" s="44">
        <v>-0.35287703601686898</v>
      </c>
      <c r="D16" s="44">
        <v>0.37524023035082199</v>
      </c>
      <c r="E16" s="44">
        <v>3.8155882518192499</v>
      </c>
      <c r="F16" s="44">
        <v>2.67014600959814</v>
      </c>
      <c r="G16" s="44">
        <v>3.5794738801742998</v>
      </c>
      <c r="H16">
        <v>4</v>
      </c>
      <c r="I16" t="str">
        <f t="shared" si="0"/>
        <v>day 4</v>
      </c>
    </row>
    <row r="17" spans="1:9" x14ac:dyDescent="0.25">
      <c r="A17">
        <v>15</v>
      </c>
      <c r="B17" s="45">
        <v>-0.44296627190737597</v>
      </c>
      <c r="C17" s="44">
        <v>-0.418630426502343</v>
      </c>
      <c r="D17" s="44">
        <v>0.44475013921871898</v>
      </c>
      <c r="E17" s="44">
        <v>4.1845294700763702</v>
      </c>
      <c r="F17" s="44">
        <v>2.9178328878010098</v>
      </c>
      <c r="G17" s="44">
        <v>3.9087755251853702</v>
      </c>
      <c r="H17">
        <v>5</v>
      </c>
      <c r="I17" t="str">
        <f t="shared" si="0"/>
        <v>day 5</v>
      </c>
    </row>
    <row r="18" spans="1:9" x14ac:dyDescent="0.25">
      <c r="A18">
        <v>16</v>
      </c>
      <c r="B18" s="45">
        <v>-0.51186241305031199</v>
      </c>
      <c r="C18" s="44">
        <v>-0.48688496444950102</v>
      </c>
      <c r="D18" s="44">
        <v>0.51436747126002902</v>
      </c>
      <c r="E18" s="44">
        <v>4.5345328138885401</v>
      </c>
      <c r="F18" s="44">
        <v>3.1527365406293901</v>
      </c>
      <c r="G18" s="44">
        <v>4.22055807150908</v>
      </c>
      <c r="H18">
        <v>6</v>
      </c>
      <c r="I18" t="str">
        <f t="shared" si="0"/>
        <v>day 6</v>
      </c>
    </row>
    <row r="19" spans="1:9" x14ac:dyDescent="0.25">
      <c r="A19">
        <v>17</v>
      </c>
      <c r="B19" s="45">
        <v>-0.58547091487813396</v>
      </c>
      <c r="C19" s="44">
        <v>-0.55996182489898705</v>
      </c>
      <c r="D19" s="44">
        <v>0.58582232623297203</v>
      </c>
      <c r="E19" s="44">
        <v>4.8775779281532703</v>
      </c>
      <c r="F19" s="44">
        <v>3.3836353970517301</v>
      </c>
      <c r="G19" s="44">
        <v>4.5265085435543302</v>
      </c>
      <c r="H19">
        <v>7</v>
      </c>
      <c r="I19" t="str">
        <f t="shared" si="0"/>
        <v>day 7</v>
      </c>
    </row>
    <row r="20" spans="1:9" x14ac:dyDescent="0.25">
      <c r="A20">
        <v>18</v>
      </c>
      <c r="B20" s="45">
        <v>-0.66700334701465802</v>
      </c>
      <c r="C20" s="44">
        <v>-0.64081291772893101</v>
      </c>
      <c r="D20" s="44">
        <v>0.66103448108211404</v>
      </c>
      <c r="E20" s="44">
        <v>5.2246510403606896</v>
      </c>
      <c r="F20" s="44">
        <v>3.6185031141089499</v>
      </c>
      <c r="G20" s="44">
        <v>4.8372101426436904</v>
      </c>
      <c r="H20">
        <v>8</v>
      </c>
      <c r="I20" t="str">
        <f t="shared" si="0"/>
        <v>day 8</v>
      </c>
    </row>
    <row r="21" spans="1:9" x14ac:dyDescent="0.25">
      <c r="A21">
        <v>19</v>
      </c>
      <c r="B21" s="45">
        <v>-0.75059604507641098</v>
      </c>
      <c r="C21" s="44">
        <v>-0.72362769928938797</v>
      </c>
      <c r="D21" s="44">
        <v>0.73398381701911097</v>
      </c>
      <c r="E21" s="44">
        <v>5.54977007837382</v>
      </c>
      <c r="F21" s="44">
        <v>3.8404843568609701</v>
      </c>
      <c r="G21" s="44">
        <v>5.1304044577807497</v>
      </c>
      <c r="H21">
        <v>9</v>
      </c>
      <c r="I21" t="str">
        <f t="shared" si="0"/>
        <v>day 9</v>
      </c>
    </row>
    <row r="22" spans="1:9" x14ac:dyDescent="0.25">
      <c r="A22">
        <v>20</v>
      </c>
      <c r="B22" s="45">
        <v>-0.844831052991039</v>
      </c>
      <c r="C22" s="44">
        <v>-0.81701625491491703</v>
      </c>
      <c r="D22" s="44">
        <v>0.81178631979511096</v>
      </c>
      <c r="E22" s="44">
        <v>5.8828319700888398</v>
      </c>
      <c r="F22" s="44">
        <v>4.0724194908179197</v>
      </c>
      <c r="G22" s="44">
        <v>5.43623293380932</v>
      </c>
      <c r="H22">
        <v>10</v>
      </c>
      <c r="I22" t="str">
        <f t="shared" si="0"/>
        <v>day 10</v>
      </c>
    </row>
    <row r="23" spans="1:9" x14ac:dyDescent="0.25">
      <c r="A23">
        <v>21</v>
      </c>
      <c r="B23" s="45">
        <v>-0.94487377118537297</v>
      </c>
      <c r="C23" s="44">
        <v>-0.91632057545310797</v>
      </c>
      <c r="D23" s="44">
        <v>0.88937565002682095</v>
      </c>
      <c r="E23" s="44">
        <v>6.2057345365060499</v>
      </c>
      <c r="F23" s="44">
        <v>4.3010432842474398</v>
      </c>
      <c r="G23" s="44">
        <v>5.7372911385959702</v>
      </c>
      <c r="H23">
        <v>11</v>
      </c>
      <c r="I23" t="str">
        <f t="shared" si="0"/>
        <v>day 11</v>
      </c>
    </row>
    <row r="24" spans="1:9" x14ac:dyDescent="0.25">
      <c r="A24">
        <v>22</v>
      </c>
      <c r="B24" s="45">
        <v>-1.0551971807326801</v>
      </c>
      <c r="C24" s="44">
        <v>-1.0259792287784799</v>
      </c>
      <c r="D24" s="44">
        <v>0.96915521789070802</v>
      </c>
      <c r="E24" s="44">
        <v>6.5325162356364004</v>
      </c>
      <c r="F24" s="44">
        <v>4.5354071447658697</v>
      </c>
      <c r="G24" s="44">
        <v>6.0455807504918901</v>
      </c>
      <c r="H24">
        <v>12</v>
      </c>
      <c r="I24" t="str">
        <f t="shared" si="0"/>
        <v>day 12</v>
      </c>
    </row>
    <row r="25" spans="1:9" x14ac:dyDescent="0.25">
      <c r="A25">
        <v>23</v>
      </c>
      <c r="B25" s="45">
        <v>-1.1814991212663499</v>
      </c>
      <c r="C25" s="44">
        <v>-1.15165568770986</v>
      </c>
      <c r="D25" s="44">
        <v>1.05382829346283</v>
      </c>
      <c r="E25" s="44">
        <v>6.8744679820494197</v>
      </c>
      <c r="F25" s="44">
        <v>4.7847834492677599</v>
      </c>
      <c r="G25" s="44">
        <v>6.3732292513732203</v>
      </c>
      <c r="H25">
        <v>13</v>
      </c>
      <c r="I25" t="str">
        <f t="shared" si="0"/>
        <v>day 13</v>
      </c>
    </row>
    <row r="26" spans="1:9" x14ac:dyDescent="0.25">
      <c r="A26">
        <v>24</v>
      </c>
      <c r="B26" s="45">
        <v>-1.3140461439325599</v>
      </c>
      <c r="C26" s="44">
        <v>-1.2837478456072999</v>
      </c>
      <c r="D26" s="44">
        <v>1.1359345877731599</v>
      </c>
      <c r="E26" s="44">
        <v>7.2034415785597004</v>
      </c>
      <c r="F26" s="44">
        <v>5.0287420468783202</v>
      </c>
      <c r="G26" s="44">
        <v>6.6933814757703702</v>
      </c>
      <c r="H26">
        <v>14</v>
      </c>
      <c r="I26" t="str">
        <f t="shared" si="0"/>
        <v>day 14</v>
      </c>
    </row>
    <row r="27" spans="1:9" x14ac:dyDescent="0.25">
      <c r="A27">
        <v>25</v>
      </c>
      <c r="B27" s="45">
        <v>-1.4577640039253901</v>
      </c>
      <c r="C27" s="44">
        <v>-1.4271025693919901</v>
      </c>
      <c r="D27" s="44">
        <v>1.2182538810910799</v>
      </c>
      <c r="E27" s="44">
        <v>7.5301382682673497</v>
      </c>
      <c r="F27" s="44">
        <v>5.2764811729635097</v>
      </c>
      <c r="G27" s="44">
        <v>7.0180796774711904</v>
      </c>
      <c r="H27">
        <v>15</v>
      </c>
      <c r="I27" t="str">
        <f t="shared" si="0"/>
        <v>day 15</v>
      </c>
    </row>
    <row r="28" spans="1:9" x14ac:dyDescent="0.25">
      <c r="A28">
        <v>26</v>
      </c>
      <c r="B28" s="45">
        <v>-1.59635768698949</v>
      </c>
      <c r="C28" s="44">
        <v>-1.5652649131290299</v>
      </c>
      <c r="D28" s="44">
        <v>1.29176378170319</v>
      </c>
      <c r="E28" s="44">
        <v>7.8175310262916202</v>
      </c>
      <c r="F28" s="44">
        <v>5.5013579860546802</v>
      </c>
      <c r="G28" s="44">
        <v>7.3124388808008298</v>
      </c>
      <c r="H28">
        <v>16</v>
      </c>
      <c r="I28" t="str">
        <f t="shared" si="0"/>
        <v>day 16</v>
      </c>
    </row>
    <row r="29" spans="1:9" x14ac:dyDescent="0.25">
      <c r="A29">
        <v>27</v>
      </c>
      <c r="B29" s="45">
        <v>-1.7327124911596801</v>
      </c>
      <c r="C29" s="44">
        <v>-1.7012049431120799</v>
      </c>
      <c r="D29" s="44">
        <v>1.35892587693436</v>
      </c>
      <c r="E29" s="44">
        <v>8.0793307460243007</v>
      </c>
      <c r="F29" s="44">
        <v>5.7111186233981197</v>
      </c>
      <c r="G29" s="44">
        <v>7.5867247852426001</v>
      </c>
      <c r="H29">
        <v>17</v>
      </c>
      <c r="I29" t="str">
        <f t="shared" si="0"/>
        <v>day 17</v>
      </c>
    </row>
    <row r="30" spans="1:9" x14ac:dyDescent="0.25">
      <c r="A30">
        <v>28</v>
      </c>
      <c r="B30" s="45">
        <v>-1.8781752669933101</v>
      </c>
      <c r="C30" s="44">
        <v>-1.8463228342601199</v>
      </c>
      <c r="D30" s="44">
        <v>1.4257519827710201</v>
      </c>
      <c r="E30" s="44">
        <v>8.33962595033125</v>
      </c>
      <c r="F30" s="44">
        <v>5.92497478842271</v>
      </c>
      <c r="G30" s="44">
        <v>7.8661409265113598</v>
      </c>
      <c r="H30">
        <v>18</v>
      </c>
      <c r="I30" t="str">
        <f t="shared" si="0"/>
        <v>day 18</v>
      </c>
    </row>
    <row r="31" spans="1:9" x14ac:dyDescent="0.25">
      <c r="A31">
        <v>29</v>
      </c>
      <c r="B31" s="45">
        <v>-2.0286262938273798</v>
      </c>
      <c r="C31" s="44">
        <v>-1.99651239324715</v>
      </c>
      <c r="D31" s="44">
        <v>1.4901312539072</v>
      </c>
      <c r="E31" s="44">
        <v>8.5918449137134498</v>
      </c>
      <c r="F31" s="44">
        <v>6.1367921890592703</v>
      </c>
      <c r="G31" s="44">
        <v>8.1426728164128797</v>
      </c>
      <c r="H31">
        <v>19</v>
      </c>
      <c r="I31" t="str">
        <f t="shared" si="0"/>
        <v>day 19</v>
      </c>
    </row>
    <row r="32" spans="1:9" x14ac:dyDescent="0.25">
      <c r="A32">
        <v>30</v>
      </c>
      <c r="B32" s="45">
        <v>-2.1954454228774698</v>
      </c>
      <c r="C32" s="44">
        <v>-2.1630765655408699</v>
      </c>
      <c r="D32" s="44">
        <v>1.5564952505663201</v>
      </c>
      <c r="E32" s="44">
        <v>8.8542298613954493</v>
      </c>
      <c r="F32" s="44">
        <v>6.3620579823694197</v>
      </c>
      <c r="G32" s="44">
        <v>8.4365198591163892</v>
      </c>
      <c r="H32">
        <v>20</v>
      </c>
      <c r="I32" t="str">
        <f t="shared" si="0"/>
        <v>day 20</v>
      </c>
    </row>
    <row r="33" spans="1:9" x14ac:dyDescent="0.25">
      <c r="A33">
        <v>31</v>
      </c>
      <c r="B33" s="45">
        <v>-2.3652994795358699</v>
      </c>
      <c r="C33" s="44">
        <v>-2.33268655925069</v>
      </c>
      <c r="D33" s="44">
        <v>1.6192776794538599</v>
      </c>
      <c r="E33" s="44">
        <v>9.1052926947371908</v>
      </c>
      <c r="F33" s="44">
        <v>6.5826592287091596</v>
      </c>
      <c r="G33" s="44">
        <v>8.7240507931571294</v>
      </c>
      <c r="H33">
        <v>21</v>
      </c>
      <c r="I33" t="str">
        <f t="shared" si="0"/>
        <v>day 21</v>
      </c>
    </row>
    <row r="34" spans="1:9" x14ac:dyDescent="0.25">
      <c r="A34">
        <v>32</v>
      </c>
      <c r="B34" s="45">
        <v>-2.5437495002805601</v>
      </c>
      <c r="C34" s="44">
        <v>-2.51094022544771</v>
      </c>
      <c r="D34" s="44">
        <v>1.68065017249059</v>
      </c>
      <c r="E34" s="44">
        <v>9.3541765362176097</v>
      </c>
      <c r="F34" s="44">
        <v>6.8064319465973497</v>
      </c>
      <c r="G34" s="44">
        <v>9.0154928713296698</v>
      </c>
      <c r="H34">
        <v>22</v>
      </c>
      <c r="I34" t="str">
        <f t="shared" si="0"/>
        <v>day 22</v>
      </c>
    </row>
    <row r="35" spans="1:9" x14ac:dyDescent="0.25">
      <c r="A35">
        <v>33</v>
      </c>
      <c r="B35" s="45">
        <v>-2.7377674204236802</v>
      </c>
      <c r="C35" s="44">
        <v>-2.70481514088676</v>
      </c>
      <c r="D35" s="44">
        <v>1.7426482506860901</v>
      </c>
      <c r="E35" s="44">
        <v>9.6100541454898902</v>
      </c>
      <c r="F35" s="44">
        <v>7.0418396003341002</v>
      </c>
      <c r="G35" s="44">
        <v>9.3218559559554208</v>
      </c>
      <c r="H35">
        <v>23</v>
      </c>
      <c r="I35" t="str">
        <f t="shared" si="0"/>
        <v>day 23</v>
      </c>
    </row>
    <row r="36" spans="1:9" x14ac:dyDescent="0.25">
      <c r="A36">
        <v>34</v>
      </c>
      <c r="B36" s="45">
        <v>-2.9333332785877002</v>
      </c>
      <c r="C36" s="44">
        <v>-2.90026129851285</v>
      </c>
      <c r="D36" s="44">
        <v>1.8007179248552201</v>
      </c>
      <c r="E36" s="44">
        <v>9.8545895304502302</v>
      </c>
      <c r="F36" s="44">
        <v>7.2720671184193897</v>
      </c>
      <c r="G36" s="44">
        <v>9.6212549110305794</v>
      </c>
      <c r="H36">
        <v>24</v>
      </c>
      <c r="I36" t="str">
        <f t="shared" si="0"/>
        <v>day 24</v>
      </c>
    </row>
    <row r="37" spans="1:9" x14ac:dyDescent="0.25">
      <c r="A37">
        <v>35</v>
      </c>
      <c r="B37" s="45">
        <v>-3.1446325454743298</v>
      </c>
      <c r="C37" s="44">
        <v>-3.1114411210999502</v>
      </c>
      <c r="D37" s="44">
        <v>1.85905358448117</v>
      </c>
      <c r="E37" s="44">
        <v>10.105672053248099</v>
      </c>
      <c r="F37" s="44">
        <v>7.5141704964300304</v>
      </c>
      <c r="G37" s="44">
        <v>9.9358676089331208</v>
      </c>
      <c r="H37">
        <v>25</v>
      </c>
      <c r="I37" t="str">
        <f t="shared" si="0"/>
        <v>day 25</v>
      </c>
    </row>
    <row r="38" spans="1:9" x14ac:dyDescent="0.25">
      <c r="A38">
        <v>36</v>
      </c>
      <c r="B38" s="45">
        <v>-3.3564924983680799</v>
      </c>
      <c r="C38" s="44">
        <v>-3.32319482062857</v>
      </c>
      <c r="D38" s="44">
        <v>1.9134447899646501</v>
      </c>
      <c r="E38" s="44">
        <v>10.3458772539369</v>
      </c>
      <c r="F38" s="44">
        <v>7.7510383040211002</v>
      </c>
      <c r="G38" s="44">
        <v>10.2434620826858</v>
      </c>
      <c r="H38">
        <v>26</v>
      </c>
      <c r="I38" t="str">
        <f t="shared" si="0"/>
        <v>day 26</v>
      </c>
    </row>
    <row r="39" spans="1:9" x14ac:dyDescent="0.25">
      <c r="A39">
        <v>37</v>
      </c>
      <c r="B39" s="45">
        <v>-3.5776371561331102</v>
      </c>
      <c r="C39" s="44">
        <v>-3.5442990838956301</v>
      </c>
      <c r="D39" s="44">
        <v>1.9663004667372099</v>
      </c>
      <c r="E39" s="44">
        <v>10.5866349694912</v>
      </c>
      <c r="F39" s="44">
        <v>7.9929190929809302</v>
      </c>
      <c r="G39" s="44">
        <v>10.557362664280999</v>
      </c>
      <c r="H39">
        <v>27</v>
      </c>
      <c r="I39" t="str">
        <f t="shared" si="0"/>
        <v>day 27</v>
      </c>
    </row>
    <row r="40" spans="1:9" x14ac:dyDescent="0.25">
      <c r="A40">
        <v>38</v>
      </c>
      <c r="B40" s="45">
        <v>-3.8186054499465598</v>
      </c>
      <c r="C40" s="44">
        <v>-3.78530545842824</v>
      </c>
      <c r="D40" s="44">
        <v>2.0198338466219301</v>
      </c>
      <c r="E40" s="44">
        <v>10.839152263930201</v>
      </c>
      <c r="F40" s="44">
        <v>8.2512067730021794</v>
      </c>
      <c r="G40" s="44">
        <v>10.8923366221869</v>
      </c>
      <c r="H40">
        <v>28</v>
      </c>
      <c r="I40" t="str">
        <f t="shared" si="0"/>
        <v>day 28</v>
      </c>
    </row>
    <row r="41" spans="1:9" x14ac:dyDescent="0.25">
      <c r="A41">
        <v>39</v>
      </c>
      <c r="B41" s="45">
        <v>-4.0625048902477001</v>
      </c>
      <c r="C41" s="44">
        <v>-4.0292541961797896</v>
      </c>
      <c r="D41" s="44">
        <v>2.07016828124772</v>
      </c>
      <c r="E41" s="44">
        <v>11.085784456075</v>
      </c>
      <c r="F41" s="44">
        <v>8.5079044036765996</v>
      </c>
      <c r="G41" s="44">
        <v>11.2250299476023</v>
      </c>
      <c r="H41">
        <v>29</v>
      </c>
      <c r="I41" t="str">
        <f t="shared" si="0"/>
        <v>day 29</v>
      </c>
    </row>
    <row r="42" spans="1:9" x14ac:dyDescent="0.25">
      <c r="A42">
        <v>40</v>
      </c>
      <c r="B42" s="45">
        <v>-4.3177263310591201</v>
      </c>
      <c r="C42" s="44">
        <v>-4.2845256158116598</v>
      </c>
      <c r="D42" s="44">
        <v>2.1191116986742502</v>
      </c>
      <c r="E42" s="44">
        <v>11.336177069496401</v>
      </c>
      <c r="F42" s="44">
        <v>8.7721601458787699</v>
      </c>
      <c r="G42" s="44">
        <v>11.567321907054801</v>
      </c>
      <c r="H42">
        <v>30</v>
      </c>
      <c r="I42" t="str">
        <f t="shared" si="0"/>
        <v>day 30</v>
      </c>
    </row>
    <row r="43" spans="1:9" x14ac:dyDescent="0.25">
      <c r="A43">
        <v>41</v>
      </c>
      <c r="B43" s="45">
        <v>-4.5941983236316304</v>
      </c>
      <c r="C43" s="44">
        <v>-4.5609725659143603</v>
      </c>
      <c r="D43" s="44">
        <v>2.16832234924758</v>
      </c>
      <c r="E43" s="44">
        <v>11.599445528651</v>
      </c>
      <c r="F43" s="44">
        <v>9.0544314858172505</v>
      </c>
      <c r="G43" s="44">
        <v>11.932721481082799</v>
      </c>
      <c r="H43">
        <v>31</v>
      </c>
      <c r="I43" t="str">
        <f t="shared" si="0"/>
        <v>day 31</v>
      </c>
    </row>
    <row r="44" spans="1:9" x14ac:dyDescent="0.25">
      <c r="A44">
        <v>42</v>
      </c>
      <c r="B44" s="45">
        <v>-4.8721330792855904</v>
      </c>
      <c r="C44" s="44">
        <v>-4.8388660198780897</v>
      </c>
      <c r="D44" s="44">
        <v>2.2142163436725801</v>
      </c>
      <c r="E44" s="44">
        <v>11.8576190071865</v>
      </c>
      <c r="F44" s="44">
        <v>9.3347324139359493</v>
      </c>
      <c r="G44" s="44">
        <v>12.2953621122555</v>
      </c>
      <c r="H44">
        <v>32</v>
      </c>
      <c r="I44" t="str">
        <f t="shared" si="0"/>
        <v>day 32</v>
      </c>
    </row>
    <row r="45" spans="1:9" x14ac:dyDescent="0.25">
      <c r="A45">
        <v>43</v>
      </c>
      <c r="B45" s="45">
        <v>-5.1715704230529296</v>
      </c>
      <c r="C45" s="44">
        <v>-5.1381759692430302</v>
      </c>
      <c r="D45" s="44">
        <v>2.2601175107223201</v>
      </c>
      <c r="E45" s="44">
        <v>12.129166070856099</v>
      </c>
      <c r="F45" s="44">
        <v>9.6339366856742092</v>
      </c>
      <c r="G45" s="44">
        <v>12.682218652833299</v>
      </c>
      <c r="H45">
        <v>33</v>
      </c>
      <c r="I45" t="str">
        <f t="shared" si="0"/>
        <v>day 33</v>
      </c>
    </row>
    <row r="46" spans="1:9" x14ac:dyDescent="0.25">
      <c r="A46">
        <v>44</v>
      </c>
      <c r="B46" s="45">
        <v>-5.4688130495281699</v>
      </c>
      <c r="C46" s="44">
        <v>-5.4353423573565696</v>
      </c>
      <c r="D46" s="44">
        <v>2.30238776847979</v>
      </c>
      <c r="E46" s="44">
        <v>12.394346186598</v>
      </c>
      <c r="F46" s="44">
        <v>9.9284315484233208</v>
      </c>
      <c r="G46" s="44">
        <v>13.0627844785659</v>
      </c>
      <c r="H46">
        <v>34</v>
      </c>
      <c r="I46" t="str">
        <f t="shared" si="0"/>
        <v>day 34</v>
      </c>
    </row>
    <row r="47" spans="1:9" x14ac:dyDescent="0.25">
      <c r="A47">
        <v>45</v>
      </c>
      <c r="B47" s="45">
        <v>-5.7718707351114604</v>
      </c>
      <c r="C47" s="44">
        <v>-5.7383748332309699</v>
      </c>
      <c r="D47" s="44">
        <v>2.3424549657218998</v>
      </c>
      <c r="E47" s="44">
        <v>12.661450656548</v>
      </c>
      <c r="F47" s="44">
        <v>10.226618857123</v>
      </c>
      <c r="G47" s="44">
        <v>13.447931715390499</v>
      </c>
      <c r="H47">
        <v>35</v>
      </c>
      <c r="I47" t="str">
        <f t="shared" si="0"/>
        <v>day 35</v>
      </c>
    </row>
    <row r="48" spans="1:9" x14ac:dyDescent="0.25">
      <c r="A48">
        <v>46</v>
      </c>
      <c r="B48" s="45">
        <v>-6.0906172809839498</v>
      </c>
      <c r="C48" s="44">
        <v>-6.05699562093141</v>
      </c>
      <c r="D48" s="44">
        <v>2.38167091884816</v>
      </c>
      <c r="E48" s="44">
        <v>12.9387391977366</v>
      </c>
      <c r="F48" s="44">
        <v>10.539320669721</v>
      </c>
      <c r="G48" s="44">
        <v>13.851647934815499</v>
      </c>
      <c r="H48">
        <v>36</v>
      </c>
      <c r="I48" t="str">
        <f t="shared" si="0"/>
        <v>day 36</v>
      </c>
    </row>
    <row r="49" spans="1:9" x14ac:dyDescent="0.25">
      <c r="A49">
        <v>47</v>
      </c>
      <c r="B49" s="45">
        <v>-6.4030509852185</v>
      </c>
      <c r="C49" s="44">
        <v>-6.3694435375579799</v>
      </c>
      <c r="D49" s="44">
        <v>2.41743693793364</v>
      </c>
      <c r="E49" s="44">
        <v>13.2096382645109</v>
      </c>
      <c r="F49" s="44">
        <v>10.8443334236374</v>
      </c>
      <c r="G49" s="44">
        <v>14.245254010914699</v>
      </c>
      <c r="H49">
        <v>37</v>
      </c>
      <c r="I49" t="str">
        <f t="shared" si="0"/>
        <v>day 37</v>
      </c>
    </row>
    <row r="50" spans="1:9" x14ac:dyDescent="0.25">
      <c r="A50">
        <v>48</v>
      </c>
      <c r="B50" s="45">
        <v>-6.7308415429792499</v>
      </c>
      <c r="C50" s="44">
        <v>-6.6972115075051404</v>
      </c>
      <c r="D50" s="44">
        <v>2.4524424619071401</v>
      </c>
      <c r="E50" s="44">
        <v>13.4922985367302</v>
      </c>
      <c r="F50" s="44">
        <v>11.1642290870367</v>
      </c>
      <c r="G50" s="44">
        <v>14.6579038560514</v>
      </c>
      <c r="H50">
        <v>38</v>
      </c>
      <c r="I50" t="str">
        <f t="shared" si="0"/>
        <v>day 38</v>
      </c>
    </row>
    <row r="51" spans="1:9" x14ac:dyDescent="0.25">
      <c r="A51">
        <v>49</v>
      </c>
      <c r="B51" s="45">
        <v>-7.0510706887920902</v>
      </c>
      <c r="C51" s="44">
        <v>-7.0175318215501603</v>
      </c>
      <c r="D51" s="44">
        <v>2.4843532157189601</v>
      </c>
      <c r="E51" s="44">
        <v>13.7689083505452</v>
      </c>
      <c r="F51" s="44">
        <v>11.4761641271534</v>
      </c>
      <c r="G51" s="44">
        <v>15.0601197512193</v>
      </c>
      <c r="H51">
        <v>39</v>
      </c>
      <c r="I51" t="str">
        <f t="shared" si="0"/>
        <v>day 39</v>
      </c>
    </row>
    <row r="52" spans="1:9" x14ac:dyDescent="0.25">
      <c r="A52">
        <v>50</v>
      </c>
      <c r="B52" s="45">
        <v>-7.3733688070403103</v>
      </c>
      <c r="C52" s="44">
        <v>-7.3397293669035397</v>
      </c>
      <c r="D52" s="44">
        <v>2.5144405817567002</v>
      </c>
      <c r="E52" s="44">
        <v>14.0464658776768</v>
      </c>
      <c r="F52" s="44">
        <v>11.791293543118</v>
      </c>
      <c r="G52" s="44">
        <v>15.466332621210199</v>
      </c>
      <c r="H52">
        <v>40</v>
      </c>
      <c r="I52" t="str">
        <f t="shared" si="0"/>
        <v>day 40</v>
      </c>
    </row>
    <row r="53" spans="1:9" x14ac:dyDescent="0.25">
      <c r="A53">
        <v>51</v>
      </c>
      <c r="B53" s="45">
        <v>-7.7024262632370899</v>
      </c>
      <c r="C53" s="44">
        <v>-7.6687691450986897</v>
      </c>
      <c r="D53" s="44">
        <v>2.5432120130958298</v>
      </c>
      <c r="E53" s="44">
        <v>14.3315478106749</v>
      </c>
      <c r="F53" s="44">
        <v>12.113278373511299</v>
      </c>
      <c r="G53" s="44">
        <v>15.8812127678846</v>
      </c>
      <c r="H53">
        <v>41</v>
      </c>
      <c r="I53" t="str">
        <f t="shared" si="0"/>
        <v>day 41</v>
      </c>
    </row>
    <row r="54" spans="1:9" x14ac:dyDescent="0.25">
      <c r="A54">
        <v>52</v>
      </c>
      <c r="B54" s="45">
        <v>-8.0069649661349196</v>
      </c>
      <c r="C54" s="44">
        <v>-7.97340835679445</v>
      </c>
      <c r="D54" s="44">
        <v>2.5682423059574799</v>
      </c>
      <c r="E54" s="44">
        <v>14.597502174731</v>
      </c>
      <c r="F54" s="44">
        <v>12.4115972848798</v>
      </c>
      <c r="G54" s="44">
        <v>16.265433986525402</v>
      </c>
      <c r="H54">
        <v>42</v>
      </c>
      <c r="I54" t="str">
        <f t="shared" si="0"/>
        <v>day 42</v>
      </c>
    </row>
    <row r="55" spans="1:9" x14ac:dyDescent="0.25">
      <c r="A55">
        <v>53</v>
      </c>
      <c r="B55" s="45">
        <v>-8.3061449160556506</v>
      </c>
      <c r="C55" s="44">
        <v>-8.2723909983828694</v>
      </c>
      <c r="D55" s="44">
        <v>2.59146966975772</v>
      </c>
      <c r="E55" s="44">
        <v>14.858868650546</v>
      </c>
      <c r="F55" s="44">
        <v>12.707176592985499</v>
      </c>
      <c r="G55" s="44">
        <v>16.646220663068402</v>
      </c>
      <c r="H55">
        <v>43</v>
      </c>
      <c r="I55" t="str">
        <f t="shared" si="0"/>
        <v>day 43</v>
      </c>
    </row>
    <row r="56" spans="1:9" x14ac:dyDescent="0.25">
      <c r="A56">
        <v>54</v>
      </c>
      <c r="B56" s="45">
        <v>-8.5830971255906192</v>
      </c>
      <c r="C56" s="44">
        <v>-8.5494020583740795</v>
      </c>
      <c r="D56" s="44">
        <v>2.6118486491292998</v>
      </c>
      <c r="E56" s="44">
        <v>15.1041508083438</v>
      </c>
      <c r="F56" s="44">
        <v>12.980614020107</v>
      </c>
      <c r="G56" s="44">
        <v>16.998254024022199</v>
      </c>
      <c r="H56">
        <v>44</v>
      </c>
      <c r="I56" t="str">
        <f t="shared" si="0"/>
        <v>day 44</v>
      </c>
    </row>
    <row r="57" spans="1:9" x14ac:dyDescent="0.25">
      <c r="A57">
        <v>55</v>
      </c>
      <c r="B57" s="45">
        <v>-8.8464308774723097</v>
      </c>
      <c r="C57" s="44">
        <v>-8.8126602191337806</v>
      </c>
      <c r="D57" s="44">
        <v>2.6303006474078798</v>
      </c>
      <c r="E57" s="44">
        <v>15.338547003626299</v>
      </c>
      <c r="F57" s="44">
        <v>13.242333674820699</v>
      </c>
      <c r="G57" s="44">
        <v>17.335229884051099</v>
      </c>
      <c r="H57">
        <v>45</v>
      </c>
      <c r="I57" t="str">
        <f t="shared" si="0"/>
        <v>day 45</v>
      </c>
    </row>
    <row r="58" spans="1:9" x14ac:dyDescent="0.25">
      <c r="A58">
        <v>56</v>
      </c>
      <c r="B58" s="45">
        <v>-9.1082655697171599</v>
      </c>
      <c r="C58" s="44">
        <v>-9.0746701198701896</v>
      </c>
      <c r="D58" s="44">
        <v>2.6478173149759598</v>
      </c>
      <c r="E58" s="44">
        <v>15.574977500711899</v>
      </c>
      <c r="F58" s="44">
        <v>13.502608053769</v>
      </c>
      <c r="G58" s="44">
        <v>17.670122068111699</v>
      </c>
      <c r="H58">
        <v>46</v>
      </c>
      <c r="I58" t="str">
        <f t="shared" si="0"/>
        <v>day 46</v>
      </c>
    </row>
    <row r="59" spans="1:9" x14ac:dyDescent="0.25">
      <c r="A59">
        <v>57</v>
      </c>
      <c r="B59" s="45">
        <v>-9.3470222275726407</v>
      </c>
      <c r="C59" s="44">
        <v>-9.3133499606584902</v>
      </c>
      <c r="D59" s="44">
        <v>2.6631075654273602</v>
      </c>
      <c r="E59" s="44">
        <v>15.791159922777201</v>
      </c>
      <c r="F59" s="44">
        <v>13.7422116813046</v>
      </c>
      <c r="G59" s="44">
        <v>17.978542268190299</v>
      </c>
      <c r="H59">
        <v>47</v>
      </c>
      <c r="I59" t="str">
        <f t="shared" si="0"/>
        <v>day 47</v>
      </c>
    </row>
    <row r="60" spans="1:9" x14ac:dyDescent="0.25">
      <c r="A60">
        <v>58</v>
      </c>
      <c r="B60" s="45">
        <v>-9.5864534666207906</v>
      </c>
      <c r="C60" s="44">
        <v>-9.5527619500653103</v>
      </c>
      <c r="D60" s="44">
        <v>2.6778277118260099</v>
      </c>
      <c r="E60" s="44">
        <v>16.010263240381001</v>
      </c>
      <c r="F60" s="44">
        <v>13.983418688274201</v>
      </c>
      <c r="G60" s="44">
        <v>18.288968951771999</v>
      </c>
      <c r="H60">
        <v>48</v>
      </c>
      <c r="I60" t="str">
        <f t="shared" si="0"/>
        <v>day 48</v>
      </c>
    </row>
    <row r="61" spans="1:9" x14ac:dyDescent="0.25">
      <c r="A61">
        <v>59</v>
      </c>
      <c r="B61" s="45">
        <v>-9.8141561680984601</v>
      </c>
      <c r="C61" s="44">
        <v>-9.7805424552158104</v>
      </c>
      <c r="D61" s="44">
        <v>2.6912905550128499</v>
      </c>
      <c r="E61" s="44">
        <v>16.221087508783899</v>
      </c>
      <c r="F61" s="44">
        <v>14.2135197965377</v>
      </c>
      <c r="G61" s="44">
        <v>18.585012104034</v>
      </c>
      <c r="H61">
        <v>49</v>
      </c>
      <c r="I61" t="str">
        <f t="shared" si="0"/>
        <v>day 49</v>
      </c>
    </row>
    <row r="62" spans="1:9" x14ac:dyDescent="0.25">
      <c r="A62">
        <v>60</v>
      </c>
      <c r="B62" s="45">
        <v>-10.0372898616227</v>
      </c>
      <c r="C62" s="44">
        <v>-10.003557961744299</v>
      </c>
      <c r="D62" s="44">
        <v>2.7039965383322699</v>
      </c>
      <c r="E62" s="44">
        <v>16.428830387389301</v>
      </c>
      <c r="F62" s="44">
        <v>14.4406763186684</v>
      </c>
      <c r="G62" s="44">
        <v>18.8773138150192</v>
      </c>
      <c r="H62">
        <v>50</v>
      </c>
      <c r="I62" t="str">
        <f t="shared" si="0"/>
        <v>day 50</v>
      </c>
    </row>
    <row r="63" spans="1:9" x14ac:dyDescent="0.25">
      <c r="A63">
        <v>61</v>
      </c>
      <c r="B63" s="45">
        <v>-10.265223891766301</v>
      </c>
      <c r="C63" s="44">
        <v>-10.231509589314999</v>
      </c>
      <c r="D63" s="44">
        <v>2.7165108625858201</v>
      </c>
      <c r="E63" s="44">
        <v>16.6437634248887</v>
      </c>
      <c r="F63" s="44">
        <v>14.6734163896776</v>
      </c>
      <c r="G63" s="44">
        <v>19.1767112671068</v>
      </c>
      <c r="H63">
        <v>51</v>
      </c>
      <c r="I63" t="str">
        <f t="shared" si="0"/>
        <v>day 51</v>
      </c>
    </row>
    <row r="64" spans="1:9" x14ac:dyDescent="0.25">
      <c r="A64">
        <v>62</v>
      </c>
      <c r="B64" s="45">
        <v>-10.4811074796896</v>
      </c>
      <c r="C64" s="44">
        <v>-10.4474148379716</v>
      </c>
      <c r="D64" s="44">
        <v>2.7279492820036499</v>
      </c>
      <c r="E64" s="44">
        <v>16.8493544477755</v>
      </c>
      <c r="F64" s="44">
        <v>14.894993862412001</v>
      </c>
      <c r="G64" s="44">
        <v>19.4617255053282</v>
      </c>
      <c r="H64">
        <v>52</v>
      </c>
      <c r="I64" t="str">
        <f t="shared" si="0"/>
        <v>day 52</v>
      </c>
    </row>
    <row r="65" spans="1:9" x14ac:dyDescent="0.25">
      <c r="A65">
        <v>63</v>
      </c>
      <c r="B65" s="45">
        <v>-10.700963772105199</v>
      </c>
      <c r="C65" s="44">
        <v>-10.6672865464332</v>
      </c>
      <c r="D65" s="44">
        <v>2.7392034125979201</v>
      </c>
      <c r="E65" s="44">
        <v>17.0608073313775</v>
      </c>
      <c r="F65" s="44">
        <v>15.1218349766679</v>
      </c>
      <c r="G65" s="44">
        <v>19.753490188234</v>
      </c>
      <c r="H65">
        <v>53</v>
      </c>
      <c r="I65" t="str">
        <f t="shared" si="0"/>
        <v>day 53</v>
      </c>
    </row>
    <row r="66" spans="1:9" x14ac:dyDescent="0.25">
      <c r="A66">
        <v>64</v>
      </c>
      <c r="B66" s="45">
        <v>-10.909118861228601</v>
      </c>
      <c r="C66" s="44">
        <v>-10.8753937039235</v>
      </c>
      <c r="D66" s="44">
        <v>2.7495063431920301</v>
      </c>
      <c r="E66" s="44">
        <v>17.262695846885499</v>
      </c>
      <c r="F66" s="44">
        <v>15.337960640973501</v>
      </c>
      <c r="G66" s="44">
        <v>20.031487279582901</v>
      </c>
      <c r="H66">
        <v>54</v>
      </c>
      <c r="I66" t="str">
        <f t="shared" si="0"/>
        <v>day 54</v>
      </c>
    </row>
    <row r="67" spans="1:9" x14ac:dyDescent="0.25">
      <c r="A67">
        <v>65</v>
      </c>
      <c r="B67" s="45">
        <v>-11.1178035981166</v>
      </c>
      <c r="C67" s="44">
        <v>-11.0840426238015</v>
      </c>
      <c r="D67" s="44">
        <v>2.7595079103101798</v>
      </c>
      <c r="E67" s="44">
        <v>17.4671652891051</v>
      </c>
      <c r="F67" s="44">
        <v>15.5557623194826</v>
      </c>
      <c r="G67" s="44">
        <v>20.311636276393301</v>
      </c>
      <c r="H67">
        <v>55</v>
      </c>
      <c r="I67" t="str">
        <f t="shared" si="0"/>
        <v>day 55</v>
      </c>
    </row>
    <row r="68" spans="1:9" x14ac:dyDescent="0.25">
      <c r="A68">
        <v>66</v>
      </c>
      <c r="B68" s="45">
        <v>-11.342772449449599</v>
      </c>
      <c r="C68" s="44">
        <v>-11.308993171106501</v>
      </c>
      <c r="D68" s="44">
        <v>2.7699405621333701</v>
      </c>
      <c r="E68" s="44">
        <v>17.690044628382399</v>
      </c>
      <c r="F68" s="44">
        <v>15.7917838369519</v>
      </c>
      <c r="G68" s="44">
        <v>20.615178620760599</v>
      </c>
      <c r="H68">
        <v>56</v>
      </c>
      <c r="I68" t="str">
        <f t="shared" ref="I68:I102" si="1">"day "&amp;H68</f>
        <v>day 56</v>
      </c>
    </row>
    <row r="69" spans="1:9" x14ac:dyDescent="0.25">
      <c r="A69">
        <v>67</v>
      </c>
      <c r="B69" s="45">
        <v>-11.5672029329482</v>
      </c>
      <c r="C69" s="44">
        <v>-11.533405532753999</v>
      </c>
      <c r="D69" s="44">
        <v>2.7800005794077198</v>
      </c>
      <c r="E69" s="44">
        <v>17.9148789048363</v>
      </c>
      <c r="F69" s="44">
        <v>16.0286264535934</v>
      </c>
      <c r="G69" s="44">
        <v>20.9197622414436</v>
      </c>
      <c r="H69">
        <v>57</v>
      </c>
      <c r="I69" t="str">
        <f t="shared" si="1"/>
        <v>day 57</v>
      </c>
    </row>
    <row r="70" spans="1:9" x14ac:dyDescent="0.25">
      <c r="A70">
        <v>68</v>
      </c>
      <c r="B70" s="45">
        <v>-11.8078380561295</v>
      </c>
      <c r="C70" s="44">
        <v>-11.774020153467999</v>
      </c>
      <c r="D70" s="44">
        <v>2.7904179130575102</v>
      </c>
      <c r="E70" s="44">
        <v>18.1587313803272</v>
      </c>
      <c r="F70" s="44">
        <v>16.2841727453457</v>
      </c>
      <c r="G70" s="44">
        <v>21.248388083278499</v>
      </c>
      <c r="H70">
        <v>58</v>
      </c>
      <c r="I70" t="str">
        <f t="shared" si="1"/>
        <v>day 58</v>
      </c>
    </row>
    <row r="71" spans="1:9" x14ac:dyDescent="0.25">
      <c r="A71">
        <v>69</v>
      </c>
      <c r="B71" s="45">
        <v>-12.047657366833199</v>
      </c>
      <c r="C71" s="44">
        <v>-12.0138211560851</v>
      </c>
      <c r="D71" s="44">
        <v>2.80043657953152</v>
      </c>
      <c r="E71" s="44">
        <v>18.4047213618793</v>
      </c>
      <c r="F71" s="44">
        <v>16.540535446551502</v>
      </c>
      <c r="G71" s="44">
        <v>21.5780536617664</v>
      </c>
      <c r="H71">
        <v>59</v>
      </c>
      <c r="I71" t="str">
        <f t="shared" si="1"/>
        <v>day 59</v>
      </c>
    </row>
    <row r="72" spans="1:9" x14ac:dyDescent="0.25">
      <c r="A72">
        <v>70</v>
      </c>
      <c r="B72" s="45">
        <v>-12.2952634327246</v>
      </c>
      <c r="C72" s="44">
        <v>-12.261406671335999</v>
      </c>
      <c r="D72" s="44">
        <v>2.8104167430147902</v>
      </c>
      <c r="E72" s="44">
        <v>18.661872161343801</v>
      </c>
      <c r="F72" s="44">
        <v>16.8070302497832</v>
      </c>
      <c r="G72" s="44">
        <v>21.920740538808001</v>
      </c>
      <c r="H72">
        <v>60</v>
      </c>
      <c r="I72" t="str">
        <f t="shared" si="1"/>
        <v>day 60</v>
      </c>
    </row>
    <row r="73" spans="1:9" x14ac:dyDescent="0.25">
      <c r="A73">
        <v>71</v>
      </c>
      <c r="B73" s="45">
        <v>-12.5595107959495</v>
      </c>
      <c r="C73" s="44">
        <v>-12.525662199007501</v>
      </c>
      <c r="D73" s="44">
        <v>2.8206799128614701</v>
      </c>
      <c r="E73" s="44">
        <v>18.9400081259604</v>
      </c>
      <c r="F73" s="44">
        <v>17.093515186396701</v>
      </c>
      <c r="G73" s="44">
        <v>22.2891161790923</v>
      </c>
      <c r="H73">
        <v>61</v>
      </c>
      <c r="I73" t="str">
        <f t="shared" si="1"/>
        <v>day 61</v>
      </c>
    </row>
    <row r="74" spans="1:9" x14ac:dyDescent="0.25">
      <c r="A74">
        <v>72</v>
      </c>
      <c r="B74" s="45">
        <v>-12.815772819970601</v>
      </c>
      <c r="C74" s="44">
        <v>-12.781985239474499</v>
      </c>
      <c r="D74" s="44">
        <v>2.8302696495258299</v>
      </c>
      <c r="E74" s="44">
        <v>19.213542296344301</v>
      </c>
      <c r="F74" s="44">
        <v>17.3734240453193</v>
      </c>
      <c r="G74" s="44">
        <v>22.649005079064199</v>
      </c>
      <c r="H74">
        <v>62</v>
      </c>
      <c r="I74" t="str">
        <f t="shared" si="1"/>
        <v>day 62</v>
      </c>
    </row>
    <row r="75" spans="1:9" x14ac:dyDescent="0.25">
      <c r="A75">
        <v>73</v>
      </c>
      <c r="B75" s="45">
        <v>-13.0719324509001</v>
      </c>
      <c r="C75" s="44">
        <v>-13.038178784944201</v>
      </c>
      <c r="D75" s="44">
        <v>2.8395095959911099</v>
      </c>
      <c r="E75" s="44">
        <v>19.490474427884202</v>
      </c>
      <c r="F75" s="44">
        <v>17.655416597957799</v>
      </c>
      <c r="G75" s="44">
        <v>23.011604893210801</v>
      </c>
      <c r="H75">
        <v>63</v>
      </c>
      <c r="I75" t="str">
        <f t="shared" si="1"/>
        <v>day 63</v>
      </c>
    </row>
    <row r="76" spans="1:9" x14ac:dyDescent="0.25">
      <c r="A76">
        <v>74</v>
      </c>
      <c r="B76" s="45">
        <v>-13.3104688225476</v>
      </c>
      <c r="C76" s="44">
        <v>-13.276731598651301</v>
      </c>
      <c r="D76" s="44">
        <v>2.8478181507187301</v>
      </c>
      <c r="E76" s="44">
        <v>19.751642578009601</v>
      </c>
      <c r="F76" s="44">
        <v>17.919972886737099</v>
      </c>
      <c r="G76" s="44">
        <v>23.3517936700867</v>
      </c>
      <c r="H76">
        <v>64</v>
      </c>
      <c r="I76" t="str">
        <f t="shared" si="1"/>
        <v>day 64</v>
      </c>
    </row>
    <row r="77" spans="1:9" x14ac:dyDescent="0.25">
      <c r="A77">
        <v>75</v>
      </c>
      <c r="B77" s="45">
        <v>-13.5411744451429</v>
      </c>
      <c r="C77" s="44">
        <v>-13.5074578625567</v>
      </c>
      <c r="D77" s="44">
        <v>2.8555952827034301</v>
      </c>
      <c r="E77" s="44">
        <v>20.0074172597459</v>
      </c>
      <c r="F77" s="44">
        <v>18.177650447980401</v>
      </c>
      <c r="G77" s="44">
        <v>23.683136228613201</v>
      </c>
      <c r="H77">
        <v>65</v>
      </c>
      <c r="I77" t="str">
        <f t="shared" si="1"/>
        <v>day 65</v>
      </c>
    </row>
    <row r="78" spans="1:9" x14ac:dyDescent="0.25">
      <c r="A78">
        <v>76</v>
      </c>
      <c r="B78" s="45">
        <v>-13.772435731364499</v>
      </c>
      <c r="C78" s="44">
        <v>-13.738720304953601</v>
      </c>
      <c r="D78" s="44">
        <v>2.8631455281922902</v>
      </c>
      <c r="E78" s="44">
        <v>20.266933723803898</v>
      </c>
      <c r="F78" s="44">
        <v>18.4377557624193</v>
      </c>
      <c r="G78" s="44">
        <v>24.017602903993001</v>
      </c>
      <c r="H78">
        <v>66</v>
      </c>
      <c r="I78" t="str">
        <f t="shared" si="1"/>
        <v>day 66</v>
      </c>
    </row>
    <row r="79" spans="1:9" x14ac:dyDescent="0.25">
      <c r="A79">
        <v>77</v>
      </c>
      <c r="B79" s="45">
        <v>-13.987978658336999</v>
      </c>
      <c r="C79" s="44">
        <v>-13.9542613622117</v>
      </c>
      <c r="D79" s="44">
        <v>2.86997023129044</v>
      </c>
      <c r="E79" s="44">
        <v>20.5116830841237</v>
      </c>
      <c r="F79" s="44">
        <v>18.6818571572521</v>
      </c>
      <c r="G79" s="44">
        <v>24.331493371079201</v>
      </c>
      <c r="H79">
        <v>67</v>
      </c>
      <c r="I79" t="str">
        <f t="shared" si="1"/>
        <v>day 67</v>
      </c>
    </row>
    <row r="80" spans="1:9" x14ac:dyDescent="0.25">
      <c r="A80">
        <v>78</v>
      </c>
      <c r="B80" s="45">
        <v>-14.204079110673</v>
      </c>
      <c r="C80" s="44">
        <v>-14.1703766505085</v>
      </c>
      <c r="D80" s="44">
        <v>2.87661514615804</v>
      </c>
      <c r="E80" s="44">
        <v>20.759899504124999</v>
      </c>
      <c r="F80" s="44">
        <v>18.928259911784799</v>
      </c>
      <c r="G80" s="44">
        <v>24.6483476425418</v>
      </c>
      <c r="H80">
        <v>68</v>
      </c>
      <c r="I80" t="str">
        <f t="shared" si="1"/>
        <v>day 68</v>
      </c>
    </row>
    <row r="81" spans="1:9" x14ac:dyDescent="0.25">
      <c r="A81">
        <v>79</v>
      </c>
      <c r="B81" s="45">
        <v>-14.405980720812501</v>
      </c>
      <c r="C81" s="44">
        <v>-14.3722867983128</v>
      </c>
      <c r="D81" s="44">
        <v>2.8826506546708699</v>
      </c>
      <c r="E81" s="44">
        <v>20.994381211276899</v>
      </c>
      <c r="F81" s="44">
        <v>19.159985334758399</v>
      </c>
      <c r="G81" s="44">
        <v>24.946332596592999</v>
      </c>
      <c r="H81">
        <v>69</v>
      </c>
      <c r="I81" t="str">
        <f t="shared" si="1"/>
        <v>day 69</v>
      </c>
    </row>
    <row r="82" spans="1:9" x14ac:dyDescent="0.25">
      <c r="A82">
        <v>80</v>
      </c>
      <c r="B82" s="45">
        <v>-14.6022901940176</v>
      </c>
      <c r="C82" s="44">
        <v>-14.5685923511525</v>
      </c>
      <c r="D82" s="44">
        <v>2.8883642188884702</v>
      </c>
      <c r="E82" s="44">
        <v>21.224780215289201</v>
      </c>
      <c r="F82" s="44">
        <v>19.3867051857594</v>
      </c>
      <c r="G82" s="44">
        <v>25.2378838203804</v>
      </c>
      <c r="H82">
        <v>70</v>
      </c>
      <c r="I82" t="str">
        <f t="shared" si="1"/>
        <v>day 70</v>
      </c>
    </row>
    <row r="83" spans="1:9" x14ac:dyDescent="0.25">
      <c r="A83">
        <v>81</v>
      </c>
      <c r="B83" s="45">
        <v>-14.8001495395606</v>
      </c>
      <c r="C83" s="44">
        <v>-14.766458079289199</v>
      </c>
      <c r="D83" s="44">
        <v>2.8939740053540799</v>
      </c>
      <c r="E83" s="44">
        <v>21.459452915607699</v>
      </c>
      <c r="F83" s="44">
        <v>19.616668791385599</v>
      </c>
      <c r="G83" s="44">
        <v>25.5336101302156</v>
      </c>
      <c r="H83">
        <v>71</v>
      </c>
      <c r="I83" t="str">
        <f t="shared" si="1"/>
        <v>day 71</v>
      </c>
    </row>
    <row r="84" spans="1:9" x14ac:dyDescent="0.25">
      <c r="A84">
        <v>82</v>
      </c>
      <c r="B84" s="45">
        <v>-14.985559090778199</v>
      </c>
      <c r="C84" s="44">
        <v>-14.951889734292701</v>
      </c>
      <c r="D84" s="44">
        <v>2.89909953322648</v>
      </c>
      <c r="E84" s="44">
        <v>21.6816201474096</v>
      </c>
      <c r="F84" s="44">
        <v>19.833513353438398</v>
      </c>
      <c r="G84" s="44">
        <v>25.812470332177</v>
      </c>
      <c r="H84">
        <v>72</v>
      </c>
      <c r="I84" t="str">
        <f t="shared" si="1"/>
        <v>day 72</v>
      </c>
    </row>
    <row r="85" spans="1:9" x14ac:dyDescent="0.25">
      <c r="A85">
        <v>83</v>
      </c>
      <c r="B85" s="45">
        <v>-15.172428345540499</v>
      </c>
      <c r="C85" s="44">
        <v>-15.1387863732529</v>
      </c>
      <c r="D85" s="44">
        <v>2.9041405911892002</v>
      </c>
      <c r="E85" s="44">
        <v>21.9077605102052</v>
      </c>
      <c r="F85" s="44">
        <v>20.053394462689599</v>
      </c>
      <c r="G85" s="44">
        <v>26.0952402265352</v>
      </c>
      <c r="H85">
        <v>73</v>
      </c>
      <c r="I85" t="str">
        <f t="shared" si="1"/>
        <v>day 73</v>
      </c>
    </row>
    <row r="86" spans="1:9" x14ac:dyDescent="0.25">
      <c r="A86">
        <v>84</v>
      </c>
      <c r="B86" s="45">
        <v>-15.3475564316269</v>
      </c>
      <c r="C86" s="44">
        <v>-15.313951713356801</v>
      </c>
      <c r="D86" s="44">
        <v>2.9087546298531199</v>
      </c>
      <c r="E86" s="44">
        <v>22.1217463126846</v>
      </c>
      <c r="F86" s="44">
        <v>20.260694472306099</v>
      </c>
      <c r="G86" s="44">
        <v>26.361835112396601</v>
      </c>
      <c r="H86">
        <v>74</v>
      </c>
      <c r="I86" t="str">
        <f t="shared" si="1"/>
        <v>day 74</v>
      </c>
    </row>
    <row r="87" spans="1:9" x14ac:dyDescent="0.25">
      <c r="A87">
        <v>85</v>
      </c>
      <c r="B87" s="45">
        <v>-15.5181046792746</v>
      </c>
      <c r="C87" s="44">
        <v>-15.484538591679801</v>
      </c>
      <c r="D87" s="44">
        <v>2.9131479104276998</v>
      </c>
      <c r="E87" s="44">
        <v>22.332038248907999</v>
      </c>
      <c r="F87" s="44">
        <v>20.4637298971181</v>
      </c>
      <c r="G87" s="44">
        <v>26.622953250130401</v>
      </c>
      <c r="H87">
        <v>75</v>
      </c>
      <c r="I87" t="str">
        <f t="shared" si="1"/>
        <v>day 75</v>
      </c>
    </row>
    <row r="88" spans="1:9" x14ac:dyDescent="0.25">
      <c r="A88">
        <v>86</v>
      </c>
      <c r="B88" s="45">
        <v>-15.693196926312</v>
      </c>
      <c r="C88" s="44">
        <v>-15.659659597034199</v>
      </c>
      <c r="D88" s="44">
        <v>2.9175577848233201</v>
      </c>
      <c r="E88" s="44">
        <v>22.549881458442599</v>
      </c>
      <c r="F88" s="44">
        <v>20.6733631305747</v>
      </c>
      <c r="G88" s="44">
        <v>26.892565893169198</v>
      </c>
      <c r="H88">
        <v>76</v>
      </c>
      <c r="I88" t="str">
        <f t="shared" si="1"/>
        <v>day 76</v>
      </c>
    </row>
    <row r="89" spans="1:9" x14ac:dyDescent="0.25">
      <c r="A89">
        <v>87</v>
      </c>
      <c r="B89" s="45">
        <v>-15.863362914382099</v>
      </c>
      <c r="C89" s="44">
        <v>-15.829860074699299</v>
      </c>
      <c r="D89" s="44">
        <v>2.9217491433879799</v>
      </c>
      <c r="E89" s="44">
        <v>22.763578063688399</v>
      </c>
      <c r="F89" s="44">
        <v>20.8782554565874</v>
      </c>
      <c r="G89" s="44">
        <v>27.156082342019001</v>
      </c>
      <c r="H89">
        <v>77</v>
      </c>
      <c r="I89" t="str">
        <f t="shared" si="1"/>
        <v>day 77</v>
      </c>
    </row>
    <row r="90" spans="1:9" x14ac:dyDescent="0.25">
      <c r="A90">
        <v>88</v>
      </c>
      <c r="B90" s="45">
        <v>-16.041685857244801</v>
      </c>
      <c r="C90" s="44">
        <v>-16.008216880109099</v>
      </c>
      <c r="D90" s="44">
        <v>2.9260435123206001</v>
      </c>
      <c r="E90" s="44">
        <v>22.989586710201699</v>
      </c>
      <c r="F90" s="44">
        <v>21.094216263679801</v>
      </c>
      <c r="G90" s="44">
        <v>27.433833219008999</v>
      </c>
      <c r="H90">
        <v>78</v>
      </c>
      <c r="I90" t="str">
        <f t="shared" si="1"/>
        <v>day 78</v>
      </c>
    </row>
    <row r="91" spans="1:9" x14ac:dyDescent="0.25">
      <c r="A91">
        <v>89</v>
      </c>
      <c r="B91" s="45">
        <v>-16.215272268505501</v>
      </c>
      <c r="C91" s="44">
        <v>-16.181838608643101</v>
      </c>
      <c r="D91" s="44">
        <v>2.9301296740353799</v>
      </c>
      <c r="E91" s="44">
        <v>23.211681127573499</v>
      </c>
      <c r="F91" s="44">
        <v>21.305660001962998</v>
      </c>
      <c r="G91" s="44">
        <v>27.705781857911301</v>
      </c>
      <c r="H91">
        <v>79</v>
      </c>
      <c r="I91" t="str">
        <f t="shared" si="1"/>
        <v>day 79</v>
      </c>
    </row>
    <row r="92" spans="1:9" x14ac:dyDescent="0.25">
      <c r="A92">
        <v>90</v>
      </c>
      <c r="B92" s="45">
        <v>-16.3904342290096</v>
      </c>
      <c r="C92" s="44">
        <v>-16.357035136382098</v>
      </c>
      <c r="D92" s="44">
        <v>2.9341606149301298</v>
      </c>
      <c r="E92" s="44">
        <v>23.437819105795999</v>
      </c>
      <c r="F92" s="44">
        <v>21.520297197239302</v>
      </c>
      <c r="G92" s="44">
        <v>27.981842920622999</v>
      </c>
      <c r="H92">
        <v>80</v>
      </c>
      <c r="I92" t="str">
        <f t="shared" si="1"/>
        <v>day 80</v>
      </c>
    </row>
    <row r="93" spans="1:9" x14ac:dyDescent="0.25">
      <c r="A93">
        <v>91</v>
      </c>
      <c r="B93" s="45">
        <v>-16.572134543592799</v>
      </c>
      <c r="C93" s="44">
        <v>-16.5387814789046</v>
      </c>
      <c r="D93" s="44">
        <v>2.9382466062573802</v>
      </c>
      <c r="E93" s="44">
        <v>23.6746501693939</v>
      </c>
      <c r="F93" s="44">
        <v>21.744286566857301</v>
      </c>
      <c r="G93" s="44">
        <v>28.269939288432301</v>
      </c>
      <c r="H93">
        <v>81</v>
      </c>
      <c r="I93" t="str">
        <f t="shared" si="1"/>
        <v>day 81</v>
      </c>
    </row>
    <row r="94" spans="1:9" x14ac:dyDescent="0.25">
      <c r="A94">
        <v>92</v>
      </c>
      <c r="B94" s="45">
        <v>-16.753055417105301</v>
      </c>
      <c r="C94" s="44">
        <v>-16.719741440192902</v>
      </c>
      <c r="D94" s="44">
        <v>2.94221992314773</v>
      </c>
      <c r="E94" s="44">
        <v>23.912617976028699</v>
      </c>
      <c r="F94" s="44">
        <v>21.968735044000699</v>
      </c>
      <c r="G94" s="44">
        <v>28.558630091992899</v>
      </c>
      <c r="H94">
        <v>82</v>
      </c>
      <c r="I94" t="str">
        <f t="shared" si="1"/>
        <v>day 82</v>
      </c>
    </row>
    <row r="95" spans="1:9" x14ac:dyDescent="0.25">
      <c r="A95">
        <v>93</v>
      </c>
      <c r="B95" s="45">
        <v>-16.934293122957001</v>
      </c>
      <c r="C95" s="44">
        <v>-16.901028006446101</v>
      </c>
      <c r="D95" s="44">
        <v>2.9461078342667202</v>
      </c>
      <c r="E95" s="44">
        <v>24.1533149459549</v>
      </c>
      <c r="F95" s="44">
        <v>22.194967637331199</v>
      </c>
      <c r="G95" s="44">
        <v>28.8496191212007</v>
      </c>
      <c r="H95">
        <v>83</v>
      </c>
      <c r="I95" t="str">
        <f t="shared" si="1"/>
        <v>day 83</v>
      </c>
    </row>
    <row r="96" spans="1:9" x14ac:dyDescent="0.25">
      <c r="A96">
        <v>94</v>
      </c>
      <c r="B96" s="45">
        <v>-17.114697718937599</v>
      </c>
      <c r="C96" s="44">
        <v>-17.081492453355398</v>
      </c>
      <c r="D96" s="44">
        <v>2.9498882653299501</v>
      </c>
      <c r="E96" s="44">
        <v>24.395249891104999</v>
      </c>
      <c r="F96" s="44">
        <v>22.4215473154457</v>
      </c>
      <c r="G96" s="44">
        <v>29.141056172148001</v>
      </c>
      <c r="H96">
        <v>84</v>
      </c>
      <c r="I96" t="str">
        <f t="shared" si="1"/>
        <v>day 84</v>
      </c>
    </row>
    <row r="97" spans="1:9" x14ac:dyDescent="0.25">
      <c r="A97">
        <v>95</v>
      </c>
      <c r="B97" s="45">
        <v>-17.294012233887202</v>
      </c>
      <c r="C97" s="44">
        <v>-17.260846407812799</v>
      </c>
      <c r="D97" s="44">
        <v>2.9535572143953899</v>
      </c>
      <c r="E97" s="44">
        <v>24.6377968281299</v>
      </c>
      <c r="F97" s="44">
        <v>22.648203299595298</v>
      </c>
      <c r="G97" s="44">
        <v>29.4326138379787</v>
      </c>
      <c r="H97">
        <v>85</v>
      </c>
      <c r="I97" t="str">
        <f t="shared" si="1"/>
        <v>day 85</v>
      </c>
    </row>
    <row r="98" spans="1:9" x14ac:dyDescent="0.25">
      <c r="A98">
        <v>96</v>
      </c>
      <c r="B98" s="45">
        <v>-17.4724032605289</v>
      </c>
      <c r="C98" s="44">
        <v>-17.439302887910902</v>
      </c>
      <c r="D98" s="44">
        <v>2.95712436064353</v>
      </c>
      <c r="E98" s="44">
        <v>24.881549941552102</v>
      </c>
      <c r="F98" s="44">
        <v>22.875053157221</v>
      </c>
      <c r="G98" s="44">
        <v>29.724410356232699</v>
      </c>
      <c r="H98">
        <v>86</v>
      </c>
      <c r="I98" t="str">
        <f t="shared" si="1"/>
        <v>day 86</v>
      </c>
    </row>
    <row r="99" spans="1:9" x14ac:dyDescent="0.25">
      <c r="A99">
        <v>97</v>
      </c>
      <c r="B99" s="45">
        <v>-17.649785077802601</v>
      </c>
      <c r="C99" s="44">
        <v>-17.616738510851299</v>
      </c>
      <c r="D99" s="44">
        <v>2.96058861223724</v>
      </c>
      <c r="E99" s="44">
        <v>25.126040630179599</v>
      </c>
      <c r="F99" s="44">
        <v>23.102051358612702</v>
      </c>
      <c r="G99" s="44">
        <v>30.016413816670902</v>
      </c>
      <c r="H99">
        <v>87</v>
      </c>
      <c r="I99" t="str">
        <f t="shared" si="1"/>
        <v>day 87</v>
      </c>
    </row>
    <row r="100" spans="1:9" x14ac:dyDescent="0.25">
      <c r="A100">
        <v>98</v>
      </c>
      <c r="B100" s="45">
        <v>-17.826253612117998</v>
      </c>
      <c r="C100" s="44">
        <v>-17.793282496743402</v>
      </c>
      <c r="D100" s="44">
        <v>2.96395720006015</v>
      </c>
      <c r="E100" s="44">
        <v>25.371720236188299</v>
      </c>
      <c r="F100" s="44">
        <v>23.329235168353598</v>
      </c>
      <c r="G100" s="44">
        <v>30.308643297567201</v>
      </c>
      <c r="H100">
        <v>88</v>
      </c>
      <c r="I100" t="str">
        <f t="shared" si="1"/>
        <v>day 88</v>
      </c>
    </row>
    <row r="101" spans="1:9" x14ac:dyDescent="0.25">
      <c r="A101">
        <v>99</v>
      </c>
      <c r="B101" s="45">
        <v>-18.001678692511799</v>
      </c>
      <c r="C101" s="44">
        <v>-17.968748500630401</v>
      </c>
      <c r="D101" s="44">
        <v>2.9672267260471501</v>
      </c>
      <c r="E101" s="44">
        <v>25.6178649449425</v>
      </c>
      <c r="F101" s="44">
        <v>23.556535637457898</v>
      </c>
      <c r="G101" s="44">
        <v>30.601052617967898</v>
      </c>
      <c r="H101">
        <v>89</v>
      </c>
      <c r="I101" t="str">
        <f t="shared" si="1"/>
        <v>day 89</v>
      </c>
    </row>
    <row r="102" spans="1:9" x14ac:dyDescent="0.25">
      <c r="A102">
        <v>100</v>
      </c>
      <c r="B102" s="45">
        <v>-18.176150086963901</v>
      </c>
      <c r="C102" s="44">
        <v>-18.143269450301101</v>
      </c>
      <c r="D102" s="44">
        <v>2.9704042621767202</v>
      </c>
      <c r="E102" s="44">
        <v>25.8649508966583</v>
      </c>
      <c r="F102" s="44">
        <v>23.783990862884</v>
      </c>
      <c r="G102" s="44">
        <v>30.893661255236498</v>
      </c>
      <c r="H102">
        <v>90</v>
      </c>
      <c r="I102" t="str">
        <f t="shared" si="1"/>
        <v>day 90</v>
      </c>
    </row>
  </sheetData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38A26-2051-4290-9EB8-5A4A7B5CF2EF}">
  <dimension ref="A6:CW67"/>
  <sheetViews>
    <sheetView workbookViewId="0">
      <selection activeCell="F31" sqref="F31"/>
    </sheetView>
  </sheetViews>
  <sheetFormatPr baseColWidth="10" defaultRowHeight="15" x14ac:dyDescent="0.25"/>
  <cols>
    <col min="1" max="1" width="42.5703125" customWidth="1"/>
  </cols>
  <sheetData>
    <row r="6" spans="1:101" x14ac:dyDescent="0.25">
      <c r="A6" t="s">
        <v>133</v>
      </c>
    </row>
    <row r="8" spans="1:101" x14ac:dyDescent="0.25">
      <c r="A8" t="s">
        <v>128</v>
      </c>
      <c r="B8">
        <f>COUNTIF($B$17:$CW$58,"TRUE")</f>
        <v>3484</v>
      </c>
      <c r="C8" s="46">
        <f>B8/$B$11</f>
        <v>0.82952380952380955</v>
      </c>
    </row>
    <row r="9" spans="1:101" x14ac:dyDescent="0.25">
      <c r="A9" t="s">
        <v>129</v>
      </c>
      <c r="B9">
        <f>COUNTIF($B$17:$CW$58,"FALSE")</f>
        <v>520</v>
      </c>
      <c r="C9" s="46">
        <f t="shared" ref="C9:C12" si="0">B9/$B$11</f>
        <v>0.12380952380952381</v>
      </c>
    </row>
    <row r="10" spans="1:101" x14ac:dyDescent="0.25">
      <c r="A10" t="s">
        <v>77</v>
      </c>
      <c r="B10">
        <f>COUNTIF($B$17:$CW$58,"NA")</f>
        <v>196</v>
      </c>
      <c r="C10" s="46">
        <f t="shared" si="0"/>
        <v>4.6666666666666669E-2</v>
      </c>
    </row>
    <row r="11" spans="1:101" x14ac:dyDescent="0.25">
      <c r="A11" s="47" t="s">
        <v>132</v>
      </c>
      <c r="B11" s="47">
        <f>SUM(B8:B10)</f>
        <v>4200</v>
      </c>
      <c r="C11" s="48"/>
    </row>
    <row r="12" spans="1:101" ht="15.75" thickBot="1" x14ac:dyDescent="0.3">
      <c r="A12" s="49" t="s">
        <v>131</v>
      </c>
      <c r="B12" s="49">
        <f>B10+B8</f>
        <v>3680</v>
      </c>
      <c r="C12" s="50">
        <f t="shared" si="0"/>
        <v>0.87619047619047619</v>
      </c>
    </row>
    <row r="13" spans="1:101" ht="15.75" thickTop="1" x14ac:dyDescent="0.25"/>
    <row r="16" spans="1:101" x14ac:dyDescent="0.25">
      <c r="B16">
        <v>0</v>
      </c>
      <c r="C16">
        <v>2.7000000000000001E-3</v>
      </c>
      <c r="D16">
        <v>5.4999999999999997E-3</v>
      </c>
      <c r="E16">
        <v>8.2000000000000007E-3</v>
      </c>
      <c r="F16">
        <v>1.0999999999999999E-2</v>
      </c>
      <c r="G16">
        <v>1.37E-2</v>
      </c>
      <c r="H16">
        <v>1.6400000000000001E-2</v>
      </c>
      <c r="I16">
        <v>1.9199999999999998E-2</v>
      </c>
      <c r="J16">
        <v>2.1899999999999999E-2</v>
      </c>
      <c r="K16">
        <v>2.47E-2</v>
      </c>
      <c r="L16">
        <v>2.7400000000000001E-2</v>
      </c>
      <c r="M16">
        <v>3.0099999999999998E-2</v>
      </c>
      <c r="N16">
        <v>3.2899999999999999E-2</v>
      </c>
      <c r="O16">
        <v>3.56E-2</v>
      </c>
      <c r="P16">
        <v>3.8399999999999997E-2</v>
      </c>
      <c r="Q16">
        <v>4.1099999999999998E-2</v>
      </c>
      <c r="R16">
        <v>4.3799999999999999E-2</v>
      </c>
      <c r="S16">
        <v>4.6600000000000003E-2</v>
      </c>
      <c r="T16">
        <v>4.9299999999999997E-2</v>
      </c>
      <c r="U16">
        <v>5.21E-2</v>
      </c>
      <c r="V16">
        <v>5.4800000000000001E-2</v>
      </c>
      <c r="W16">
        <v>5.7500000000000002E-2</v>
      </c>
      <c r="X16">
        <v>6.0299999999999999E-2</v>
      </c>
      <c r="Y16">
        <v>6.3E-2</v>
      </c>
      <c r="Z16">
        <v>6.5799999999999997E-2</v>
      </c>
      <c r="AA16">
        <v>6.8500000000000005E-2</v>
      </c>
      <c r="AB16">
        <v>7.1199999999999999E-2</v>
      </c>
      <c r="AC16">
        <v>7.3999999999999996E-2</v>
      </c>
      <c r="AD16">
        <v>7.6700000000000004E-2</v>
      </c>
      <c r="AE16">
        <v>7.9500000000000001E-2</v>
      </c>
      <c r="AF16">
        <v>8.2199999999999995E-2</v>
      </c>
      <c r="AG16">
        <v>8.4900000000000003E-2</v>
      </c>
      <c r="AH16">
        <v>8.77E-2</v>
      </c>
      <c r="AI16">
        <v>9.0399999999999994E-2</v>
      </c>
      <c r="AJ16">
        <v>9.3200000000000005E-2</v>
      </c>
      <c r="AK16">
        <v>9.5899999999999999E-2</v>
      </c>
      <c r="AL16">
        <v>9.8599999999999993E-2</v>
      </c>
      <c r="AM16">
        <v>0.1014</v>
      </c>
      <c r="AN16">
        <v>0.1041</v>
      </c>
      <c r="AO16">
        <v>0.10680000000000001</v>
      </c>
      <c r="AP16">
        <v>0.1096</v>
      </c>
      <c r="AQ16">
        <v>0.1123</v>
      </c>
      <c r="AR16">
        <v>0.11509999999999999</v>
      </c>
      <c r="AS16">
        <v>0.1178</v>
      </c>
      <c r="AT16">
        <v>0.1205</v>
      </c>
      <c r="AU16">
        <v>0.12330000000000001</v>
      </c>
      <c r="AV16">
        <v>0.126</v>
      </c>
      <c r="AW16">
        <v>0.1288</v>
      </c>
      <c r="AX16">
        <v>0.13150000000000001</v>
      </c>
      <c r="AY16">
        <v>0.13420000000000001</v>
      </c>
      <c r="AZ16">
        <v>0.13700000000000001</v>
      </c>
      <c r="BA16">
        <v>0.13969999999999999</v>
      </c>
      <c r="BB16">
        <v>0.14249999999999999</v>
      </c>
      <c r="BC16">
        <v>0.1452</v>
      </c>
      <c r="BD16">
        <v>0.1479</v>
      </c>
      <c r="BE16">
        <v>0.1507</v>
      </c>
      <c r="BF16">
        <v>0.15340000000000001</v>
      </c>
      <c r="BG16">
        <v>0.15620000000000001</v>
      </c>
      <c r="BH16">
        <v>0.15890000000000001</v>
      </c>
      <c r="BI16">
        <v>0.16159999999999999</v>
      </c>
      <c r="BJ16">
        <v>0.16439999999999999</v>
      </c>
      <c r="BK16">
        <v>0.1671</v>
      </c>
      <c r="BL16">
        <v>0.1699</v>
      </c>
      <c r="BM16">
        <v>0.1726</v>
      </c>
      <c r="BN16">
        <v>0.17530000000000001</v>
      </c>
      <c r="BO16">
        <v>0.17810000000000001</v>
      </c>
      <c r="BP16">
        <v>0.18079999999999999</v>
      </c>
      <c r="BQ16">
        <v>0.18360000000000001</v>
      </c>
      <c r="BR16">
        <v>0.18629999999999999</v>
      </c>
      <c r="BS16">
        <v>0.189</v>
      </c>
      <c r="BT16">
        <v>0.1918</v>
      </c>
      <c r="BU16">
        <v>0.19450000000000001</v>
      </c>
      <c r="BV16">
        <v>0.1973</v>
      </c>
      <c r="BW16">
        <v>0.2</v>
      </c>
      <c r="BX16">
        <v>0.20269999999999999</v>
      </c>
      <c r="BY16">
        <v>0.20549999999999999</v>
      </c>
      <c r="BZ16">
        <v>0.2082</v>
      </c>
      <c r="CA16">
        <v>0.21099999999999999</v>
      </c>
      <c r="CB16">
        <v>0.2137</v>
      </c>
      <c r="CC16">
        <v>0.21640000000000001</v>
      </c>
      <c r="CD16">
        <v>0.21920000000000001</v>
      </c>
      <c r="CE16">
        <v>0.22189999999999999</v>
      </c>
      <c r="CF16">
        <v>0.22470000000000001</v>
      </c>
      <c r="CG16">
        <v>0.22739999999999999</v>
      </c>
      <c r="CH16">
        <v>0.2301</v>
      </c>
      <c r="CI16">
        <v>0.2329</v>
      </c>
      <c r="CJ16">
        <v>0.2356</v>
      </c>
      <c r="CK16">
        <v>0.2384</v>
      </c>
      <c r="CL16">
        <v>0.24110000000000001</v>
      </c>
      <c r="CM16">
        <v>0.24379999999999999</v>
      </c>
      <c r="CN16">
        <v>0.246575342</v>
      </c>
      <c r="CO16">
        <v>0.249315068</v>
      </c>
      <c r="CP16">
        <v>0.252054795</v>
      </c>
      <c r="CQ16">
        <v>0.254794521</v>
      </c>
      <c r="CR16">
        <v>0.25753424699999999</v>
      </c>
      <c r="CS16">
        <v>0.26027397299999999</v>
      </c>
      <c r="CT16">
        <v>0.26301369899999999</v>
      </c>
      <c r="CU16">
        <v>0.26575342499999999</v>
      </c>
      <c r="CV16">
        <v>0.26849315099999999</v>
      </c>
      <c r="CW16">
        <v>0.27123287699999998</v>
      </c>
    </row>
    <row r="17" spans="1:101" x14ac:dyDescent="0.25">
      <c r="A17" t="s">
        <v>102</v>
      </c>
      <c r="B17" t="s">
        <v>128</v>
      </c>
      <c r="C17" t="s">
        <v>128</v>
      </c>
      <c r="D17" t="s">
        <v>128</v>
      </c>
      <c r="E17" t="s">
        <v>128</v>
      </c>
      <c r="F17" t="s">
        <v>128</v>
      </c>
      <c r="G17" t="s">
        <v>128</v>
      </c>
      <c r="H17" t="s">
        <v>128</v>
      </c>
      <c r="I17" t="s">
        <v>128</v>
      </c>
      <c r="J17" t="s">
        <v>128</v>
      </c>
      <c r="K17" t="s">
        <v>128</v>
      </c>
      <c r="L17" t="s">
        <v>128</v>
      </c>
      <c r="M17" t="s">
        <v>128</v>
      </c>
      <c r="N17" t="s">
        <v>128</v>
      </c>
      <c r="O17" t="s">
        <v>128</v>
      </c>
      <c r="P17" t="s">
        <v>128</v>
      </c>
      <c r="Q17" t="s">
        <v>128</v>
      </c>
      <c r="R17" t="s">
        <v>128</v>
      </c>
      <c r="S17" t="s">
        <v>128</v>
      </c>
      <c r="T17" t="s">
        <v>128</v>
      </c>
      <c r="U17" t="s">
        <v>128</v>
      </c>
      <c r="V17" t="s">
        <v>128</v>
      </c>
      <c r="W17" t="s">
        <v>128</v>
      </c>
      <c r="X17" t="s">
        <v>128</v>
      </c>
      <c r="Y17" t="s">
        <v>128</v>
      </c>
      <c r="Z17" t="s">
        <v>128</v>
      </c>
      <c r="AA17" t="s">
        <v>128</v>
      </c>
      <c r="AB17" t="s">
        <v>128</v>
      </c>
      <c r="AC17" t="s">
        <v>128</v>
      </c>
      <c r="AD17" t="s">
        <v>128</v>
      </c>
      <c r="AE17" t="s">
        <v>128</v>
      </c>
      <c r="AF17" t="s">
        <v>128</v>
      </c>
      <c r="AG17" t="s">
        <v>128</v>
      </c>
      <c r="AH17" t="s">
        <v>128</v>
      </c>
      <c r="AI17" t="s">
        <v>128</v>
      </c>
      <c r="AJ17" t="s">
        <v>128</v>
      </c>
      <c r="AK17" t="s">
        <v>128</v>
      </c>
      <c r="AL17" t="s">
        <v>128</v>
      </c>
      <c r="AM17" t="s">
        <v>128</v>
      </c>
      <c r="AN17" t="s">
        <v>128</v>
      </c>
      <c r="AO17" t="s">
        <v>128</v>
      </c>
      <c r="AP17" t="s">
        <v>128</v>
      </c>
      <c r="AQ17" t="s">
        <v>128</v>
      </c>
      <c r="AR17" t="s">
        <v>128</v>
      </c>
      <c r="AS17" t="s">
        <v>128</v>
      </c>
      <c r="AT17" t="s">
        <v>128</v>
      </c>
      <c r="AU17" t="s">
        <v>128</v>
      </c>
      <c r="AV17" t="s">
        <v>128</v>
      </c>
      <c r="AW17" t="s">
        <v>128</v>
      </c>
      <c r="AX17" t="s">
        <v>128</v>
      </c>
      <c r="AY17" t="s">
        <v>128</v>
      </c>
      <c r="AZ17" t="s">
        <v>128</v>
      </c>
      <c r="BA17" t="s">
        <v>128</v>
      </c>
      <c r="BB17" t="s">
        <v>128</v>
      </c>
      <c r="BC17" t="s">
        <v>128</v>
      </c>
      <c r="BD17" t="s">
        <v>128</v>
      </c>
      <c r="BE17" t="s">
        <v>128</v>
      </c>
      <c r="BF17" t="s">
        <v>128</v>
      </c>
      <c r="BG17" t="s">
        <v>128</v>
      </c>
      <c r="BH17" t="s">
        <v>128</v>
      </c>
      <c r="BI17" t="s">
        <v>128</v>
      </c>
      <c r="BJ17" t="s">
        <v>128</v>
      </c>
      <c r="BK17" t="s">
        <v>128</v>
      </c>
      <c r="BL17" t="s">
        <v>128</v>
      </c>
      <c r="BM17" t="s">
        <v>128</v>
      </c>
      <c r="BN17" t="s">
        <v>128</v>
      </c>
      <c r="BO17" t="s">
        <v>128</v>
      </c>
      <c r="BP17" t="s">
        <v>128</v>
      </c>
      <c r="BQ17" t="s">
        <v>128</v>
      </c>
      <c r="BR17" t="s">
        <v>128</v>
      </c>
      <c r="BS17" t="s">
        <v>128</v>
      </c>
      <c r="BT17" t="s">
        <v>128</v>
      </c>
      <c r="BU17" t="s">
        <v>128</v>
      </c>
      <c r="BV17" t="s">
        <v>128</v>
      </c>
      <c r="BW17" t="s">
        <v>128</v>
      </c>
      <c r="BX17" t="s">
        <v>128</v>
      </c>
      <c r="BY17" t="s">
        <v>128</v>
      </c>
      <c r="BZ17" t="s">
        <v>128</v>
      </c>
      <c r="CA17" t="s">
        <v>128</v>
      </c>
      <c r="CB17" t="s">
        <v>128</v>
      </c>
      <c r="CC17" t="s">
        <v>128</v>
      </c>
      <c r="CD17" t="s">
        <v>128</v>
      </c>
      <c r="CE17" t="s">
        <v>128</v>
      </c>
      <c r="CF17" t="s">
        <v>128</v>
      </c>
      <c r="CG17" t="s">
        <v>128</v>
      </c>
      <c r="CH17" t="s">
        <v>128</v>
      </c>
      <c r="CI17" t="s">
        <v>128</v>
      </c>
      <c r="CJ17" t="s">
        <v>128</v>
      </c>
      <c r="CK17" t="s">
        <v>128</v>
      </c>
      <c r="CL17" t="s">
        <v>128</v>
      </c>
      <c r="CM17" t="s">
        <v>128</v>
      </c>
      <c r="CN17" t="s">
        <v>128</v>
      </c>
      <c r="CO17" t="s">
        <v>128</v>
      </c>
      <c r="CP17" t="s">
        <v>128</v>
      </c>
      <c r="CQ17" t="s">
        <v>129</v>
      </c>
      <c r="CR17" t="s">
        <v>129</v>
      </c>
      <c r="CS17" t="s">
        <v>129</v>
      </c>
      <c r="CT17" t="s">
        <v>129</v>
      </c>
      <c r="CU17" t="s">
        <v>129</v>
      </c>
      <c r="CV17" t="s">
        <v>129</v>
      </c>
      <c r="CW17" t="s">
        <v>129</v>
      </c>
    </row>
    <row r="18" spans="1:101" x14ac:dyDescent="0.25">
      <c r="A18" t="s">
        <v>103</v>
      </c>
      <c r="B18" t="s">
        <v>128</v>
      </c>
      <c r="C18" t="s">
        <v>128</v>
      </c>
      <c r="D18" t="s">
        <v>128</v>
      </c>
      <c r="E18" t="s">
        <v>128</v>
      </c>
      <c r="F18" t="s">
        <v>128</v>
      </c>
      <c r="G18" t="s">
        <v>128</v>
      </c>
      <c r="H18" t="s">
        <v>128</v>
      </c>
      <c r="I18" t="s">
        <v>128</v>
      </c>
      <c r="J18" t="s">
        <v>128</v>
      </c>
      <c r="K18" t="s">
        <v>128</v>
      </c>
      <c r="L18" t="s">
        <v>128</v>
      </c>
      <c r="M18" t="s">
        <v>128</v>
      </c>
      <c r="N18" t="s">
        <v>128</v>
      </c>
      <c r="O18" t="s">
        <v>128</v>
      </c>
      <c r="P18" t="s">
        <v>128</v>
      </c>
      <c r="Q18" t="s">
        <v>128</v>
      </c>
      <c r="R18" t="s">
        <v>128</v>
      </c>
      <c r="S18" t="s">
        <v>128</v>
      </c>
      <c r="T18" t="s">
        <v>128</v>
      </c>
      <c r="U18" t="s">
        <v>128</v>
      </c>
      <c r="V18" t="s">
        <v>128</v>
      </c>
      <c r="W18" t="s">
        <v>128</v>
      </c>
      <c r="X18" t="s">
        <v>128</v>
      </c>
      <c r="Y18" t="s">
        <v>128</v>
      </c>
      <c r="Z18" t="s">
        <v>128</v>
      </c>
      <c r="AA18" t="s">
        <v>128</v>
      </c>
      <c r="AB18" t="s">
        <v>128</v>
      </c>
      <c r="AC18" t="s">
        <v>128</v>
      </c>
      <c r="AD18" t="s">
        <v>128</v>
      </c>
      <c r="AE18" t="s">
        <v>128</v>
      </c>
      <c r="AF18" t="s">
        <v>128</v>
      </c>
      <c r="AG18" t="s">
        <v>128</v>
      </c>
      <c r="AH18" t="s">
        <v>128</v>
      </c>
      <c r="AI18" t="s">
        <v>128</v>
      </c>
      <c r="AJ18" t="s">
        <v>128</v>
      </c>
      <c r="AK18" t="s">
        <v>128</v>
      </c>
      <c r="AL18" t="s">
        <v>128</v>
      </c>
      <c r="AM18" t="s">
        <v>128</v>
      </c>
      <c r="AN18" t="s">
        <v>128</v>
      </c>
      <c r="AO18" t="s">
        <v>128</v>
      </c>
      <c r="AP18" t="s">
        <v>128</v>
      </c>
      <c r="AQ18" t="s">
        <v>128</v>
      </c>
      <c r="AR18" t="s">
        <v>128</v>
      </c>
      <c r="AS18" t="s">
        <v>128</v>
      </c>
      <c r="AT18" t="s">
        <v>128</v>
      </c>
      <c r="AU18" t="s">
        <v>128</v>
      </c>
      <c r="AV18" t="s">
        <v>128</v>
      </c>
      <c r="AW18" t="s">
        <v>128</v>
      </c>
      <c r="AX18" t="s">
        <v>128</v>
      </c>
      <c r="AY18" t="s">
        <v>128</v>
      </c>
      <c r="AZ18" t="s">
        <v>128</v>
      </c>
      <c r="BA18" t="s">
        <v>128</v>
      </c>
      <c r="BB18" t="s">
        <v>128</v>
      </c>
      <c r="BC18" t="s">
        <v>128</v>
      </c>
      <c r="BD18" t="s">
        <v>128</v>
      </c>
      <c r="BE18" t="s">
        <v>128</v>
      </c>
      <c r="BF18" t="s">
        <v>128</v>
      </c>
      <c r="BG18" t="s">
        <v>128</v>
      </c>
      <c r="BH18" t="s">
        <v>128</v>
      </c>
      <c r="BI18" t="s">
        <v>128</v>
      </c>
      <c r="BJ18" t="s">
        <v>128</v>
      </c>
      <c r="BK18" t="s">
        <v>128</v>
      </c>
      <c r="BL18" t="s">
        <v>128</v>
      </c>
      <c r="BM18" t="s">
        <v>128</v>
      </c>
      <c r="BN18" t="s">
        <v>128</v>
      </c>
      <c r="BO18" t="s">
        <v>128</v>
      </c>
      <c r="BP18" t="s">
        <v>128</v>
      </c>
      <c r="BQ18" t="s">
        <v>128</v>
      </c>
      <c r="BR18" t="s">
        <v>128</v>
      </c>
      <c r="BS18" t="s">
        <v>128</v>
      </c>
      <c r="BT18" t="s">
        <v>128</v>
      </c>
      <c r="BU18" t="s">
        <v>128</v>
      </c>
      <c r="BV18" t="s">
        <v>128</v>
      </c>
      <c r="BW18" t="s">
        <v>128</v>
      </c>
      <c r="BX18" t="s">
        <v>128</v>
      </c>
      <c r="BY18" t="s">
        <v>128</v>
      </c>
      <c r="BZ18" t="s">
        <v>128</v>
      </c>
      <c r="CA18" t="s">
        <v>128</v>
      </c>
      <c r="CB18" t="s">
        <v>128</v>
      </c>
      <c r="CC18" t="s">
        <v>128</v>
      </c>
      <c r="CD18" t="s">
        <v>128</v>
      </c>
      <c r="CE18" t="s">
        <v>128</v>
      </c>
      <c r="CF18" t="s">
        <v>128</v>
      </c>
      <c r="CG18" t="s">
        <v>128</v>
      </c>
      <c r="CH18" t="s">
        <v>128</v>
      </c>
      <c r="CI18" t="s">
        <v>128</v>
      </c>
      <c r="CJ18" t="s">
        <v>128</v>
      </c>
      <c r="CK18" t="s">
        <v>128</v>
      </c>
      <c r="CL18" t="s">
        <v>128</v>
      </c>
      <c r="CM18" t="s">
        <v>128</v>
      </c>
      <c r="CN18" t="s">
        <v>128</v>
      </c>
      <c r="CO18" t="s">
        <v>128</v>
      </c>
      <c r="CP18" t="s">
        <v>128</v>
      </c>
      <c r="CQ18" t="s">
        <v>128</v>
      </c>
      <c r="CR18" t="s">
        <v>128</v>
      </c>
      <c r="CS18" t="s">
        <v>128</v>
      </c>
      <c r="CT18" t="s">
        <v>128</v>
      </c>
      <c r="CU18" t="s">
        <v>128</v>
      </c>
      <c r="CV18" t="s">
        <v>128</v>
      </c>
      <c r="CW18" t="s">
        <v>128</v>
      </c>
    </row>
    <row r="19" spans="1:101" x14ac:dyDescent="0.25">
      <c r="A19" t="s">
        <v>104</v>
      </c>
      <c r="B19" t="s">
        <v>128</v>
      </c>
      <c r="C19" t="s">
        <v>128</v>
      </c>
      <c r="D19" t="s">
        <v>128</v>
      </c>
      <c r="E19" t="s">
        <v>128</v>
      </c>
      <c r="F19" t="s">
        <v>128</v>
      </c>
      <c r="G19" t="s">
        <v>128</v>
      </c>
      <c r="H19" t="s">
        <v>128</v>
      </c>
      <c r="I19" t="s">
        <v>128</v>
      </c>
      <c r="J19" t="s">
        <v>128</v>
      </c>
      <c r="K19" t="s">
        <v>128</v>
      </c>
      <c r="L19" t="s">
        <v>128</v>
      </c>
      <c r="M19" t="s">
        <v>128</v>
      </c>
      <c r="N19" t="s">
        <v>128</v>
      </c>
      <c r="O19" t="s">
        <v>128</v>
      </c>
      <c r="P19" t="s">
        <v>128</v>
      </c>
      <c r="Q19" t="s">
        <v>128</v>
      </c>
      <c r="R19" t="s">
        <v>128</v>
      </c>
      <c r="S19" t="s">
        <v>128</v>
      </c>
      <c r="T19" t="s">
        <v>128</v>
      </c>
      <c r="U19" t="s">
        <v>128</v>
      </c>
      <c r="V19" t="s">
        <v>128</v>
      </c>
      <c r="W19" t="s">
        <v>128</v>
      </c>
      <c r="X19" t="s">
        <v>128</v>
      </c>
      <c r="Y19" t="s">
        <v>128</v>
      </c>
      <c r="Z19" t="s">
        <v>128</v>
      </c>
      <c r="AA19" t="s">
        <v>128</v>
      </c>
      <c r="AB19" t="s">
        <v>128</v>
      </c>
      <c r="AC19" t="s">
        <v>128</v>
      </c>
      <c r="AD19" t="s">
        <v>128</v>
      </c>
      <c r="AE19" t="s">
        <v>128</v>
      </c>
      <c r="AF19" t="s">
        <v>128</v>
      </c>
      <c r="AG19" t="s">
        <v>128</v>
      </c>
      <c r="AH19" t="s">
        <v>128</v>
      </c>
      <c r="AI19" t="s">
        <v>128</v>
      </c>
      <c r="AJ19" t="s">
        <v>128</v>
      </c>
      <c r="AK19" t="s">
        <v>128</v>
      </c>
      <c r="AL19" t="s">
        <v>128</v>
      </c>
      <c r="AM19" t="s">
        <v>128</v>
      </c>
      <c r="AN19" t="s">
        <v>128</v>
      </c>
      <c r="AO19" t="s">
        <v>128</v>
      </c>
      <c r="AP19" t="s">
        <v>128</v>
      </c>
      <c r="AQ19" t="s">
        <v>128</v>
      </c>
      <c r="AR19" t="s">
        <v>128</v>
      </c>
      <c r="AS19" t="s">
        <v>128</v>
      </c>
      <c r="AT19" t="s">
        <v>128</v>
      </c>
      <c r="AU19" t="s">
        <v>128</v>
      </c>
      <c r="AV19" t="s">
        <v>128</v>
      </c>
      <c r="AW19" t="s">
        <v>128</v>
      </c>
      <c r="AX19" t="s">
        <v>128</v>
      </c>
      <c r="AY19" t="s">
        <v>128</v>
      </c>
      <c r="AZ19" t="s">
        <v>128</v>
      </c>
      <c r="BA19" t="s">
        <v>128</v>
      </c>
      <c r="BB19" t="s">
        <v>128</v>
      </c>
      <c r="BC19" t="s">
        <v>128</v>
      </c>
      <c r="BD19" t="s">
        <v>128</v>
      </c>
      <c r="BE19" t="s">
        <v>128</v>
      </c>
      <c r="BF19" t="s">
        <v>128</v>
      </c>
      <c r="BG19" t="s">
        <v>128</v>
      </c>
      <c r="BH19" t="s">
        <v>128</v>
      </c>
      <c r="BI19" t="s">
        <v>128</v>
      </c>
      <c r="BJ19" t="s">
        <v>128</v>
      </c>
      <c r="BK19" t="s">
        <v>128</v>
      </c>
      <c r="BL19" t="s">
        <v>128</v>
      </c>
      <c r="BM19" t="s">
        <v>128</v>
      </c>
      <c r="BN19" t="s">
        <v>128</v>
      </c>
      <c r="BO19" t="s">
        <v>128</v>
      </c>
      <c r="BP19" t="s">
        <v>128</v>
      </c>
      <c r="BQ19" t="s">
        <v>128</v>
      </c>
      <c r="BR19" t="s">
        <v>128</v>
      </c>
      <c r="BS19" t="s">
        <v>128</v>
      </c>
      <c r="BT19" t="s">
        <v>128</v>
      </c>
      <c r="BU19" t="s">
        <v>128</v>
      </c>
      <c r="BV19" t="s">
        <v>128</v>
      </c>
      <c r="BW19" t="s">
        <v>128</v>
      </c>
      <c r="BX19" t="s">
        <v>128</v>
      </c>
      <c r="BY19" t="s">
        <v>128</v>
      </c>
      <c r="BZ19" t="s">
        <v>128</v>
      </c>
      <c r="CA19" t="s">
        <v>128</v>
      </c>
      <c r="CB19" t="s">
        <v>128</v>
      </c>
      <c r="CC19" t="s">
        <v>128</v>
      </c>
      <c r="CD19" t="s">
        <v>128</v>
      </c>
      <c r="CE19" t="s">
        <v>128</v>
      </c>
      <c r="CF19" t="s">
        <v>128</v>
      </c>
      <c r="CG19" t="s">
        <v>128</v>
      </c>
      <c r="CH19" t="s">
        <v>128</v>
      </c>
      <c r="CI19" t="s">
        <v>128</v>
      </c>
      <c r="CJ19" t="s">
        <v>128</v>
      </c>
      <c r="CK19" t="s">
        <v>128</v>
      </c>
      <c r="CL19" t="s">
        <v>128</v>
      </c>
      <c r="CM19" t="s">
        <v>128</v>
      </c>
      <c r="CN19" t="s">
        <v>128</v>
      </c>
      <c r="CO19" t="s">
        <v>128</v>
      </c>
      <c r="CP19" t="s">
        <v>128</v>
      </c>
      <c r="CQ19" t="s">
        <v>128</v>
      </c>
      <c r="CR19" t="s">
        <v>128</v>
      </c>
      <c r="CS19" t="s">
        <v>128</v>
      </c>
      <c r="CT19" t="s">
        <v>128</v>
      </c>
      <c r="CU19" t="s">
        <v>128</v>
      </c>
      <c r="CV19" t="s">
        <v>128</v>
      </c>
      <c r="CW19" t="s">
        <v>128</v>
      </c>
    </row>
    <row r="20" spans="1:101" x14ac:dyDescent="0.25">
      <c r="A20" t="s">
        <v>105</v>
      </c>
      <c r="B20" t="s">
        <v>128</v>
      </c>
      <c r="C20" t="s">
        <v>128</v>
      </c>
      <c r="D20" t="s">
        <v>128</v>
      </c>
      <c r="E20" t="s">
        <v>128</v>
      </c>
      <c r="F20" t="s">
        <v>128</v>
      </c>
      <c r="G20" t="s">
        <v>128</v>
      </c>
      <c r="H20" t="s">
        <v>128</v>
      </c>
      <c r="I20" t="s">
        <v>128</v>
      </c>
      <c r="J20" t="s">
        <v>128</v>
      </c>
      <c r="K20" t="s">
        <v>128</v>
      </c>
      <c r="L20" t="s">
        <v>128</v>
      </c>
      <c r="M20" t="s">
        <v>128</v>
      </c>
      <c r="N20" t="s">
        <v>128</v>
      </c>
      <c r="O20" t="s">
        <v>128</v>
      </c>
      <c r="P20" t="s">
        <v>128</v>
      </c>
      <c r="Q20" t="s">
        <v>128</v>
      </c>
      <c r="R20" t="s">
        <v>128</v>
      </c>
      <c r="S20" t="s">
        <v>128</v>
      </c>
      <c r="T20" t="s">
        <v>128</v>
      </c>
      <c r="U20" t="s">
        <v>128</v>
      </c>
      <c r="V20" t="s">
        <v>128</v>
      </c>
      <c r="W20" t="s">
        <v>128</v>
      </c>
      <c r="X20" t="s">
        <v>128</v>
      </c>
      <c r="Y20" t="s">
        <v>128</v>
      </c>
      <c r="Z20" t="s">
        <v>128</v>
      </c>
      <c r="AA20" t="s">
        <v>128</v>
      </c>
      <c r="AB20" t="s">
        <v>128</v>
      </c>
      <c r="AC20" t="s">
        <v>128</v>
      </c>
      <c r="AD20" t="s">
        <v>128</v>
      </c>
      <c r="AE20" t="s">
        <v>128</v>
      </c>
      <c r="AF20" t="s">
        <v>128</v>
      </c>
      <c r="AG20" t="s">
        <v>128</v>
      </c>
      <c r="AH20" t="s">
        <v>128</v>
      </c>
      <c r="AI20" t="s">
        <v>128</v>
      </c>
      <c r="AJ20" t="s">
        <v>128</v>
      </c>
      <c r="AK20" t="s">
        <v>128</v>
      </c>
      <c r="AL20" t="s">
        <v>128</v>
      </c>
      <c r="AM20" t="s">
        <v>128</v>
      </c>
      <c r="AN20" t="s">
        <v>128</v>
      </c>
      <c r="AO20" t="s">
        <v>128</v>
      </c>
      <c r="AP20" t="s">
        <v>128</v>
      </c>
      <c r="AQ20" t="s">
        <v>128</v>
      </c>
      <c r="AR20" t="s">
        <v>128</v>
      </c>
      <c r="AS20" t="s">
        <v>128</v>
      </c>
      <c r="AT20" t="s">
        <v>128</v>
      </c>
      <c r="AU20" t="s">
        <v>128</v>
      </c>
      <c r="AV20" t="s">
        <v>128</v>
      </c>
      <c r="AW20" t="s">
        <v>128</v>
      </c>
      <c r="AX20" t="s">
        <v>128</v>
      </c>
      <c r="AY20" t="s">
        <v>128</v>
      </c>
      <c r="AZ20" t="s">
        <v>128</v>
      </c>
      <c r="BA20" t="s">
        <v>128</v>
      </c>
      <c r="BB20" t="s">
        <v>128</v>
      </c>
      <c r="BC20" t="s">
        <v>128</v>
      </c>
      <c r="BD20" t="s">
        <v>128</v>
      </c>
      <c r="BE20" t="s">
        <v>128</v>
      </c>
      <c r="BF20" t="s">
        <v>128</v>
      </c>
      <c r="BG20" t="s">
        <v>128</v>
      </c>
      <c r="BH20" t="s">
        <v>128</v>
      </c>
      <c r="BI20" t="s">
        <v>128</v>
      </c>
      <c r="BJ20" t="s">
        <v>128</v>
      </c>
      <c r="BK20" t="s">
        <v>128</v>
      </c>
      <c r="BL20" t="s">
        <v>128</v>
      </c>
      <c r="BM20" t="s">
        <v>128</v>
      </c>
      <c r="BN20" t="s">
        <v>128</v>
      </c>
      <c r="BO20" t="s">
        <v>128</v>
      </c>
      <c r="BP20" t="s">
        <v>128</v>
      </c>
      <c r="BQ20" t="s">
        <v>128</v>
      </c>
      <c r="BR20" t="s">
        <v>128</v>
      </c>
      <c r="BS20" t="s">
        <v>128</v>
      </c>
      <c r="BT20" t="s">
        <v>128</v>
      </c>
      <c r="BU20" t="s">
        <v>128</v>
      </c>
      <c r="BV20" t="s">
        <v>128</v>
      </c>
      <c r="BW20" t="s">
        <v>128</v>
      </c>
      <c r="BX20" t="s">
        <v>128</v>
      </c>
      <c r="BY20" t="s">
        <v>128</v>
      </c>
      <c r="BZ20" t="s">
        <v>128</v>
      </c>
      <c r="CA20" t="s">
        <v>128</v>
      </c>
      <c r="CB20" t="s">
        <v>128</v>
      </c>
      <c r="CC20" t="s">
        <v>128</v>
      </c>
      <c r="CD20" t="s">
        <v>128</v>
      </c>
      <c r="CE20" t="s">
        <v>128</v>
      </c>
      <c r="CF20" t="s">
        <v>128</v>
      </c>
      <c r="CG20" t="s">
        <v>128</v>
      </c>
      <c r="CH20" t="s">
        <v>128</v>
      </c>
      <c r="CI20" t="s">
        <v>128</v>
      </c>
      <c r="CJ20" t="s">
        <v>128</v>
      </c>
      <c r="CK20" t="s">
        <v>128</v>
      </c>
      <c r="CL20" t="s">
        <v>128</v>
      </c>
      <c r="CM20" t="s">
        <v>128</v>
      </c>
      <c r="CN20" t="s">
        <v>128</v>
      </c>
      <c r="CO20" t="s">
        <v>128</v>
      </c>
      <c r="CP20" t="s">
        <v>128</v>
      </c>
      <c r="CQ20" t="s">
        <v>128</v>
      </c>
      <c r="CR20" t="s">
        <v>128</v>
      </c>
      <c r="CS20" t="s">
        <v>128</v>
      </c>
      <c r="CT20" t="s">
        <v>128</v>
      </c>
      <c r="CU20" t="s">
        <v>128</v>
      </c>
      <c r="CV20" t="s">
        <v>128</v>
      </c>
      <c r="CW20" t="s">
        <v>128</v>
      </c>
    </row>
    <row r="21" spans="1:101" x14ac:dyDescent="0.25">
      <c r="A21" t="s">
        <v>106</v>
      </c>
      <c r="B21" t="s">
        <v>128</v>
      </c>
      <c r="C21" t="s">
        <v>128</v>
      </c>
      <c r="D21" t="s">
        <v>128</v>
      </c>
      <c r="E21" t="s">
        <v>128</v>
      </c>
      <c r="F21" t="s">
        <v>128</v>
      </c>
      <c r="G21" t="s">
        <v>128</v>
      </c>
      <c r="H21" t="s">
        <v>128</v>
      </c>
      <c r="I21" t="s">
        <v>128</v>
      </c>
      <c r="J21" t="s">
        <v>128</v>
      </c>
      <c r="K21" t="s">
        <v>128</v>
      </c>
      <c r="L21" t="s">
        <v>128</v>
      </c>
      <c r="M21" t="s">
        <v>128</v>
      </c>
      <c r="N21" t="s">
        <v>128</v>
      </c>
      <c r="O21" t="s">
        <v>128</v>
      </c>
      <c r="P21" t="s">
        <v>128</v>
      </c>
      <c r="Q21" t="s">
        <v>128</v>
      </c>
      <c r="R21" t="s">
        <v>128</v>
      </c>
      <c r="S21" t="s">
        <v>128</v>
      </c>
      <c r="T21" t="s">
        <v>128</v>
      </c>
      <c r="U21" t="s">
        <v>128</v>
      </c>
      <c r="V21" t="s">
        <v>128</v>
      </c>
      <c r="W21" t="s">
        <v>128</v>
      </c>
      <c r="X21" t="s">
        <v>128</v>
      </c>
      <c r="Y21" t="s">
        <v>128</v>
      </c>
      <c r="Z21" t="s">
        <v>128</v>
      </c>
      <c r="AA21" t="s">
        <v>128</v>
      </c>
      <c r="AB21" t="s">
        <v>128</v>
      </c>
      <c r="AC21" t="s">
        <v>128</v>
      </c>
      <c r="AD21" t="s">
        <v>128</v>
      </c>
      <c r="AE21" t="s">
        <v>128</v>
      </c>
      <c r="AF21" t="s">
        <v>128</v>
      </c>
      <c r="AG21" t="s">
        <v>128</v>
      </c>
      <c r="AH21" t="s">
        <v>128</v>
      </c>
      <c r="AI21" t="s">
        <v>128</v>
      </c>
      <c r="AJ21" t="s">
        <v>128</v>
      </c>
      <c r="AK21" t="s">
        <v>128</v>
      </c>
      <c r="AL21" t="s">
        <v>128</v>
      </c>
      <c r="AM21" t="s">
        <v>128</v>
      </c>
      <c r="AN21" t="s">
        <v>128</v>
      </c>
      <c r="AO21" t="s">
        <v>128</v>
      </c>
      <c r="AP21" t="s">
        <v>128</v>
      </c>
      <c r="AQ21" t="s">
        <v>128</v>
      </c>
      <c r="AR21" t="s">
        <v>128</v>
      </c>
      <c r="AS21" t="s">
        <v>128</v>
      </c>
      <c r="AT21" t="s">
        <v>128</v>
      </c>
      <c r="AU21" t="s">
        <v>128</v>
      </c>
      <c r="AV21" t="s">
        <v>128</v>
      </c>
      <c r="AW21" t="s">
        <v>128</v>
      </c>
      <c r="AX21" t="s">
        <v>128</v>
      </c>
      <c r="AY21" t="s">
        <v>128</v>
      </c>
      <c r="AZ21" t="s">
        <v>128</v>
      </c>
      <c r="BA21" t="s">
        <v>128</v>
      </c>
      <c r="BB21" t="s">
        <v>128</v>
      </c>
      <c r="BC21" t="s">
        <v>128</v>
      </c>
      <c r="BD21" t="s">
        <v>128</v>
      </c>
      <c r="BE21" t="s">
        <v>128</v>
      </c>
      <c r="BF21" t="s">
        <v>128</v>
      </c>
      <c r="BG21" t="s">
        <v>128</v>
      </c>
      <c r="BH21" t="s">
        <v>128</v>
      </c>
      <c r="BI21" t="s">
        <v>128</v>
      </c>
      <c r="BJ21" t="s">
        <v>128</v>
      </c>
      <c r="BK21" t="s">
        <v>128</v>
      </c>
      <c r="BL21" t="s">
        <v>128</v>
      </c>
      <c r="BM21" t="s">
        <v>128</v>
      </c>
      <c r="BN21" t="s">
        <v>128</v>
      </c>
      <c r="BO21" t="s">
        <v>128</v>
      </c>
      <c r="BP21" t="s">
        <v>128</v>
      </c>
      <c r="BQ21" t="s">
        <v>128</v>
      </c>
      <c r="BR21" t="s">
        <v>128</v>
      </c>
      <c r="BS21" t="s">
        <v>128</v>
      </c>
      <c r="BT21" t="s">
        <v>128</v>
      </c>
      <c r="BU21" t="s">
        <v>128</v>
      </c>
      <c r="BV21" t="s">
        <v>128</v>
      </c>
      <c r="BW21" t="s">
        <v>128</v>
      </c>
      <c r="BX21" t="s">
        <v>128</v>
      </c>
      <c r="BY21" t="s">
        <v>128</v>
      </c>
      <c r="BZ21" t="s">
        <v>128</v>
      </c>
      <c r="CA21" t="s">
        <v>128</v>
      </c>
      <c r="CB21" t="s">
        <v>128</v>
      </c>
      <c r="CC21" t="s">
        <v>128</v>
      </c>
      <c r="CD21" t="s">
        <v>128</v>
      </c>
      <c r="CE21" t="s">
        <v>128</v>
      </c>
      <c r="CF21" t="s">
        <v>128</v>
      </c>
      <c r="CG21" t="s">
        <v>128</v>
      </c>
      <c r="CH21" t="s">
        <v>128</v>
      </c>
      <c r="CI21" t="s">
        <v>128</v>
      </c>
      <c r="CJ21" t="s">
        <v>128</v>
      </c>
      <c r="CK21" t="s">
        <v>128</v>
      </c>
      <c r="CL21" t="s">
        <v>128</v>
      </c>
      <c r="CM21" t="s">
        <v>128</v>
      </c>
      <c r="CN21" t="s">
        <v>128</v>
      </c>
      <c r="CO21" t="s">
        <v>128</v>
      </c>
      <c r="CP21" t="s">
        <v>128</v>
      </c>
      <c r="CQ21" t="s">
        <v>128</v>
      </c>
      <c r="CR21" t="s">
        <v>128</v>
      </c>
      <c r="CS21" t="s">
        <v>128</v>
      </c>
      <c r="CT21" t="s">
        <v>128</v>
      </c>
      <c r="CU21" t="s">
        <v>128</v>
      </c>
      <c r="CV21" t="s">
        <v>128</v>
      </c>
      <c r="CW21" t="s">
        <v>128</v>
      </c>
    </row>
    <row r="22" spans="1:101" x14ac:dyDescent="0.25">
      <c r="A22" t="s">
        <v>107</v>
      </c>
      <c r="B22" t="s">
        <v>128</v>
      </c>
      <c r="C22" t="s">
        <v>128</v>
      </c>
      <c r="D22" t="s">
        <v>77</v>
      </c>
      <c r="E22" t="s">
        <v>77</v>
      </c>
      <c r="F22" t="s">
        <v>77</v>
      </c>
      <c r="G22" t="s">
        <v>77</v>
      </c>
      <c r="H22" t="s">
        <v>77</v>
      </c>
      <c r="I22" t="s">
        <v>77</v>
      </c>
      <c r="J22" t="s">
        <v>77</v>
      </c>
      <c r="K22" t="s">
        <v>77</v>
      </c>
      <c r="L22" t="s">
        <v>77</v>
      </c>
      <c r="M22" t="s">
        <v>77</v>
      </c>
      <c r="N22" t="s">
        <v>77</v>
      </c>
      <c r="O22" t="s">
        <v>77</v>
      </c>
      <c r="P22" t="s">
        <v>77</v>
      </c>
      <c r="Q22" t="s">
        <v>77</v>
      </c>
      <c r="R22" t="s">
        <v>77</v>
      </c>
      <c r="S22" t="s">
        <v>77</v>
      </c>
      <c r="T22" t="s">
        <v>77</v>
      </c>
      <c r="U22" t="s">
        <v>77</v>
      </c>
      <c r="V22" t="s">
        <v>77</v>
      </c>
      <c r="W22" t="s">
        <v>77</v>
      </c>
      <c r="X22" t="s">
        <v>77</v>
      </c>
      <c r="Y22" t="s">
        <v>77</v>
      </c>
      <c r="Z22" t="s">
        <v>77</v>
      </c>
      <c r="AA22" t="s">
        <v>77</v>
      </c>
      <c r="AB22" t="s">
        <v>77</v>
      </c>
      <c r="AC22" t="s">
        <v>77</v>
      </c>
      <c r="AD22" t="s">
        <v>77</v>
      </c>
      <c r="AE22" t="s">
        <v>77</v>
      </c>
      <c r="AF22" t="s">
        <v>77</v>
      </c>
      <c r="AG22" t="s">
        <v>77</v>
      </c>
      <c r="AH22" t="s">
        <v>77</v>
      </c>
      <c r="AI22" t="s">
        <v>77</v>
      </c>
      <c r="AJ22" t="s">
        <v>77</v>
      </c>
      <c r="AK22" t="s">
        <v>77</v>
      </c>
      <c r="AL22" t="s">
        <v>77</v>
      </c>
      <c r="AM22" t="s">
        <v>77</v>
      </c>
      <c r="AN22" t="s">
        <v>77</v>
      </c>
      <c r="AO22" t="s">
        <v>77</v>
      </c>
      <c r="AP22" t="s">
        <v>77</v>
      </c>
      <c r="AQ22" t="s">
        <v>77</v>
      </c>
      <c r="AR22" t="s">
        <v>77</v>
      </c>
      <c r="AS22" t="s">
        <v>77</v>
      </c>
      <c r="AT22" t="s">
        <v>77</v>
      </c>
      <c r="AU22" t="s">
        <v>77</v>
      </c>
      <c r="AV22" t="s">
        <v>77</v>
      </c>
      <c r="AW22" t="s">
        <v>77</v>
      </c>
      <c r="AX22" t="s">
        <v>77</v>
      </c>
      <c r="AY22" t="s">
        <v>77</v>
      </c>
      <c r="AZ22" t="s">
        <v>77</v>
      </c>
      <c r="BA22" t="s">
        <v>77</v>
      </c>
      <c r="BB22" t="s">
        <v>77</v>
      </c>
      <c r="BC22" t="s">
        <v>77</v>
      </c>
      <c r="BD22" t="s">
        <v>77</v>
      </c>
      <c r="BE22" t="s">
        <v>77</v>
      </c>
      <c r="BF22" t="s">
        <v>77</v>
      </c>
      <c r="BG22" t="s">
        <v>77</v>
      </c>
      <c r="BH22" t="s">
        <v>77</v>
      </c>
      <c r="BI22" t="s">
        <v>77</v>
      </c>
      <c r="BJ22" t="s">
        <v>77</v>
      </c>
      <c r="BK22" t="s">
        <v>77</v>
      </c>
      <c r="BL22" t="s">
        <v>77</v>
      </c>
      <c r="BM22" t="s">
        <v>77</v>
      </c>
      <c r="BN22" t="s">
        <v>77</v>
      </c>
      <c r="BO22" t="s">
        <v>77</v>
      </c>
      <c r="BP22" t="s">
        <v>77</v>
      </c>
      <c r="BQ22" t="s">
        <v>77</v>
      </c>
      <c r="BR22" t="s">
        <v>77</v>
      </c>
      <c r="BS22" t="s">
        <v>77</v>
      </c>
      <c r="BT22" t="s">
        <v>77</v>
      </c>
      <c r="BU22" t="s">
        <v>77</v>
      </c>
      <c r="BV22" t="s">
        <v>77</v>
      </c>
      <c r="BW22" t="s">
        <v>77</v>
      </c>
      <c r="BX22" t="s">
        <v>77</v>
      </c>
      <c r="BY22" t="s">
        <v>77</v>
      </c>
      <c r="BZ22" t="s">
        <v>77</v>
      </c>
      <c r="CA22" t="s">
        <v>77</v>
      </c>
      <c r="CB22" t="s">
        <v>77</v>
      </c>
      <c r="CC22" t="s">
        <v>77</v>
      </c>
      <c r="CD22" t="s">
        <v>77</v>
      </c>
      <c r="CE22" t="s">
        <v>77</v>
      </c>
      <c r="CF22" t="s">
        <v>77</v>
      </c>
      <c r="CG22" t="s">
        <v>77</v>
      </c>
      <c r="CH22" t="s">
        <v>77</v>
      </c>
      <c r="CI22" t="s">
        <v>77</v>
      </c>
      <c r="CJ22" t="s">
        <v>77</v>
      </c>
      <c r="CK22" t="s">
        <v>77</v>
      </c>
      <c r="CL22" t="s">
        <v>77</v>
      </c>
      <c r="CM22" t="s">
        <v>77</v>
      </c>
      <c r="CN22" t="s">
        <v>77</v>
      </c>
      <c r="CO22" t="s">
        <v>77</v>
      </c>
      <c r="CP22" t="s">
        <v>77</v>
      </c>
      <c r="CQ22" t="s">
        <v>77</v>
      </c>
      <c r="CR22" t="s">
        <v>77</v>
      </c>
      <c r="CS22" t="s">
        <v>77</v>
      </c>
      <c r="CT22" t="s">
        <v>77</v>
      </c>
      <c r="CU22" t="s">
        <v>77</v>
      </c>
      <c r="CV22" t="s">
        <v>77</v>
      </c>
      <c r="CW22" t="s">
        <v>77</v>
      </c>
    </row>
    <row r="23" spans="1:101" x14ac:dyDescent="0.25">
      <c r="A23" t="s">
        <v>108</v>
      </c>
      <c r="B23" t="s">
        <v>128</v>
      </c>
      <c r="C23" t="s">
        <v>128</v>
      </c>
      <c r="D23" t="s">
        <v>128</v>
      </c>
      <c r="E23" t="s">
        <v>128</v>
      </c>
      <c r="F23" t="s">
        <v>128</v>
      </c>
      <c r="G23" t="s">
        <v>128</v>
      </c>
      <c r="H23" t="s">
        <v>128</v>
      </c>
      <c r="I23" t="s">
        <v>128</v>
      </c>
      <c r="J23" t="s">
        <v>128</v>
      </c>
      <c r="K23" t="s">
        <v>128</v>
      </c>
      <c r="L23" t="s">
        <v>128</v>
      </c>
      <c r="M23" t="s">
        <v>128</v>
      </c>
      <c r="N23" t="s">
        <v>128</v>
      </c>
      <c r="O23" t="s">
        <v>128</v>
      </c>
      <c r="P23" t="s">
        <v>128</v>
      </c>
      <c r="Q23" t="s">
        <v>128</v>
      </c>
      <c r="R23" t="s">
        <v>128</v>
      </c>
      <c r="S23" t="s">
        <v>128</v>
      </c>
      <c r="T23" t="s">
        <v>128</v>
      </c>
      <c r="U23" t="s">
        <v>128</v>
      </c>
      <c r="V23" t="s">
        <v>128</v>
      </c>
      <c r="W23" t="s">
        <v>128</v>
      </c>
      <c r="X23" t="s">
        <v>128</v>
      </c>
      <c r="Y23" t="s">
        <v>128</v>
      </c>
      <c r="Z23" t="s">
        <v>128</v>
      </c>
      <c r="AA23" t="s">
        <v>128</v>
      </c>
      <c r="AB23" t="s">
        <v>128</v>
      </c>
      <c r="AC23" t="s">
        <v>128</v>
      </c>
      <c r="AD23" t="s">
        <v>128</v>
      </c>
      <c r="AE23" t="s">
        <v>128</v>
      </c>
      <c r="AF23" t="s">
        <v>128</v>
      </c>
      <c r="AG23" t="s">
        <v>128</v>
      </c>
      <c r="AH23" t="s">
        <v>128</v>
      </c>
      <c r="AI23" t="s">
        <v>128</v>
      </c>
      <c r="AJ23" t="s">
        <v>128</v>
      </c>
      <c r="AK23" t="s">
        <v>128</v>
      </c>
      <c r="AL23" t="s">
        <v>128</v>
      </c>
      <c r="AM23" t="s">
        <v>128</v>
      </c>
      <c r="AN23" t="s">
        <v>128</v>
      </c>
      <c r="AO23" t="s">
        <v>128</v>
      </c>
      <c r="AP23" t="s">
        <v>128</v>
      </c>
      <c r="AQ23" t="s">
        <v>128</v>
      </c>
      <c r="AR23" t="s">
        <v>128</v>
      </c>
      <c r="AS23" t="s">
        <v>128</v>
      </c>
      <c r="AT23" t="s">
        <v>128</v>
      </c>
      <c r="AU23" t="s">
        <v>128</v>
      </c>
      <c r="AV23" t="s">
        <v>128</v>
      </c>
      <c r="AW23" t="s">
        <v>128</v>
      </c>
      <c r="AX23" t="s">
        <v>128</v>
      </c>
      <c r="AY23" t="s">
        <v>128</v>
      </c>
      <c r="AZ23" t="s">
        <v>128</v>
      </c>
      <c r="BA23" t="s">
        <v>128</v>
      </c>
      <c r="BB23" t="s">
        <v>128</v>
      </c>
      <c r="BC23" t="s">
        <v>128</v>
      </c>
      <c r="BD23" t="s">
        <v>128</v>
      </c>
      <c r="BE23" t="s">
        <v>128</v>
      </c>
      <c r="BF23" t="s">
        <v>128</v>
      </c>
      <c r="BG23" t="s">
        <v>128</v>
      </c>
      <c r="BH23" t="s">
        <v>128</v>
      </c>
      <c r="BI23" t="s">
        <v>128</v>
      </c>
      <c r="BJ23" t="s">
        <v>128</v>
      </c>
      <c r="BK23" t="s">
        <v>128</v>
      </c>
      <c r="BL23" t="s">
        <v>128</v>
      </c>
      <c r="BM23" t="s">
        <v>128</v>
      </c>
      <c r="BN23" t="s">
        <v>128</v>
      </c>
      <c r="BO23" t="s">
        <v>128</v>
      </c>
      <c r="BP23" t="s">
        <v>128</v>
      </c>
      <c r="BQ23" t="s">
        <v>128</v>
      </c>
      <c r="BR23" t="s">
        <v>128</v>
      </c>
      <c r="BS23" t="s">
        <v>128</v>
      </c>
      <c r="BT23" t="s">
        <v>128</v>
      </c>
      <c r="BU23" t="s">
        <v>128</v>
      </c>
      <c r="BV23" t="s">
        <v>128</v>
      </c>
      <c r="BW23" t="s">
        <v>128</v>
      </c>
      <c r="BX23" t="s">
        <v>128</v>
      </c>
      <c r="BY23" t="s">
        <v>128</v>
      </c>
      <c r="BZ23" t="s">
        <v>128</v>
      </c>
      <c r="CA23" t="s">
        <v>128</v>
      </c>
      <c r="CB23" t="s">
        <v>128</v>
      </c>
      <c r="CC23" t="s">
        <v>128</v>
      </c>
      <c r="CD23" t="s">
        <v>128</v>
      </c>
      <c r="CE23" t="s">
        <v>128</v>
      </c>
      <c r="CF23" t="s">
        <v>128</v>
      </c>
      <c r="CG23" t="s">
        <v>128</v>
      </c>
      <c r="CH23" t="s">
        <v>128</v>
      </c>
      <c r="CI23" t="s">
        <v>128</v>
      </c>
      <c r="CJ23" t="s">
        <v>128</v>
      </c>
      <c r="CK23" t="s">
        <v>128</v>
      </c>
      <c r="CL23" t="s">
        <v>128</v>
      </c>
      <c r="CM23" t="s">
        <v>128</v>
      </c>
      <c r="CN23" t="s">
        <v>128</v>
      </c>
      <c r="CO23" t="s">
        <v>128</v>
      </c>
      <c r="CP23" t="s">
        <v>128</v>
      </c>
      <c r="CQ23" t="s">
        <v>128</v>
      </c>
      <c r="CR23" t="s">
        <v>128</v>
      </c>
      <c r="CS23" t="s">
        <v>128</v>
      </c>
      <c r="CT23" t="s">
        <v>128</v>
      </c>
      <c r="CU23" t="s">
        <v>128</v>
      </c>
      <c r="CV23" t="s">
        <v>128</v>
      </c>
      <c r="CW23" t="s">
        <v>128</v>
      </c>
    </row>
    <row r="24" spans="1:101" x14ac:dyDescent="0.25">
      <c r="A24" t="s">
        <v>109</v>
      </c>
      <c r="B24" t="s">
        <v>128</v>
      </c>
      <c r="C24" t="s">
        <v>128</v>
      </c>
      <c r="D24" t="s">
        <v>128</v>
      </c>
      <c r="E24" t="s">
        <v>128</v>
      </c>
      <c r="F24" t="s">
        <v>128</v>
      </c>
      <c r="G24" t="s">
        <v>128</v>
      </c>
      <c r="H24" t="s">
        <v>128</v>
      </c>
      <c r="I24" t="s">
        <v>128</v>
      </c>
      <c r="J24" t="s">
        <v>128</v>
      </c>
      <c r="K24" t="s">
        <v>128</v>
      </c>
      <c r="L24" t="s">
        <v>128</v>
      </c>
      <c r="M24" t="s">
        <v>128</v>
      </c>
      <c r="N24" t="s">
        <v>128</v>
      </c>
      <c r="O24" t="s">
        <v>128</v>
      </c>
      <c r="P24" t="s">
        <v>128</v>
      </c>
      <c r="Q24" t="s">
        <v>128</v>
      </c>
      <c r="R24" t="s">
        <v>128</v>
      </c>
      <c r="S24" t="s">
        <v>128</v>
      </c>
      <c r="T24" t="s">
        <v>128</v>
      </c>
      <c r="U24" t="s">
        <v>128</v>
      </c>
      <c r="V24" t="s">
        <v>128</v>
      </c>
      <c r="W24" t="s">
        <v>128</v>
      </c>
      <c r="X24" t="s">
        <v>128</v>
      </c>
      <c r="Y24" t="s">
        <v>128</v>
      </c>
      <c r="Z24" t="s">
        <v>128</v>
      </c>
      <c r="AA24" t="s">
        <v>128</v>
      </c>
      <c r="AB24" t="s">
        <v>128</v>
      </c>
      <c r="AC24" t="s">
        <v>128</v>
      </c>
      <c r="AD24" t="s">
        <v>128</v>
      </c>
      <c r="AE24" t="s">
        <v>128</v>
      </c>
      <c r="AF24" t="s">
        <v>128</v>
      </c>
      <c r="AG24" t="s">
        <v>128</v>
      </c>
      <c r="AH24" t="s">
        <v>128</v>
      </c>
      <c r="AI24" t="s">
        <v>128</v>
      </c>
      <c r="AJ24" t="s">
        <v>128</v>
      </c>
      <c r="AK24" t="s">
        <v>128</v>
      </c>
      <c r="AL24" t="s">
        <v>128</v>
      </c>
      <c r="AM24" t="s">
        <v>128</v>
      </c>
      <c r="AN24" t="s">
        <v>128</v>
      </c>
      <c r="AO24" t="s">
        <v>128</v>
      </c>
      <c r="AP24" t="s">
        <v>128</v>
      </c>
      <c r="AQ24" t="s">
        <v>128</v>
      </c>
      <c r="AR24" t="s">
        <v>128</v>
      </c>
      <c r="AS24" t="s">
        <v>128</v>
      </c>
      <c r="AT24" t="s">
        <v>128</v>
      </c>
      <c r="AU24" t="s">
        <v>128</v>
      </c>
      <c r="AV24" t="s">
        <v>128</v>
      </c>
      <c r="AW24" t="s">
        <v>128</v>
      </c>
      <c r="AX24" t="s">
        <v>128</v>
      </c>
      <c r="AY24" t="s">
        <v>128</v>
      </c>
      <c r="AZ24" t="s">
        <v>128</v>
      </c>
      <c r="BA24" t="s">
        <v>128</v>
      </c>
      <c r="BB24" t="s">
        <v>128</v>
      </c>
      <c r="BC24" t="s">
        <v>128</v>
      </c>
      <c r="BD24" t="s">
        <v>128</v>
      </c>
      <c r="BE24" t="s">
        <v>128</v>
      </c>
      <c r="BF24" t="s">
        <v>128</v>
      </c>
      <c r="BG24" t="s">
        <v>128</v>
      </c>
      <c r="BH24" t="s">
        <v>128</v>
      </c>
      <c r="BI24" t="s">
        <v>128</v>
      </c>
      <c r="BJ24" t="s">
        <v>128</v>
      </c>
      <c r="BK24" t="s">
        <v>128</v>
      </c>
      <c r="BL24" t="s">
        <v>128</v>
      </c>
      <c r="BM24" t="s">
        <v>128</v>
      </c>
      <c r="BN24" t="s">
        <v>128</v>
      </c>
      <c r="BO24" t="s">
        <v>128</v>
      </c>
      <c r="BP24" t="s">
        <v>128</v>
      </c>
      <c r="BQ24" t="s">
        <v>128</v>
      </c>
      <c r="BR24" t="s">
        <v>128</v>
      </c>
      <c r="BS24" t="s">
        <v>128</v>
      </c>
      <c r="BT24" t="s">
        <v>128</v>
      </c>
      <c r="BU24" t="s">
        <v>128</v>
      </c>
      <c r="BV24" t="s">
        <v>128</v>
      </c>
      <c r="BW24" t="s">
        <v>128</v>
      </c>
      <c r="BX24" t="s">
        <v>128</v>
      </c>
      <c r="BY24" t="s">
        <v>128</v>
      </c>
      <c r="BZ24" t="s">
        <v>128</v>
      </c>
      <c r="CA24" t="s">
        <v>128</v>
      </c>
      <c r="CB24" t="s">
        <v>128</v>
      </c>
      <c r="CC24" t="s">
        <v>128</v>
      </c>
      <c r="CD24" t="s">
        <v>128</v>
      </c>
      <c r="CE24" t="s">
        <v>128</v>
      </c>
      <c r="CF24" t="s">
        <v>128</v>
      </c>
      <c r="CG24" t="s">
        <v>128</v>
      </c>
      <c r="CH24" t="s">
        <v>128</v>
      </c>
      <c r="CI24" t="s">
        <v>128</v>
      </c>
      <c r="CJ24" t="s">
        <v>128</v>
      </c>
      <c r="CK24" t="s">
        <v>128</v>
      </c>
      <c r="CL24" t="s">
        <v>128</v>
      </c>
      <c r="CM24" t="s">
        <v>128</v>
      </c>
      <c r="CN24" t="s">
        <v>128</v>
      </c>
      <c r="CO24" t="s">
        <v>128</v>
      </c>
      <c r="CP24" t="s">
        <v>128</v>
      </c>
      <c r="CQ24" t="s">
        <v>128</v>
      </c>
      <c r="CR24" t="s">
        <v>128</v>
      </c>
      <c r="CS24" t="s">
        <v>128</v>
      </c>
      <c r="CT24" t="s">
        <v>128</v>
      </c>
      <c r="CU24" t="s">
        <v>128</v>
      </c>
      <c r="CV24" t="s">
        <v>128</v>
      </c>
      <c r="CW24" t="s">
        <v>128</v>
      </c>
    </row>
    <row r="25" spans="1:101" x14ac:dyDescent="0.25">
      <c r="A25" t="s">
        <v>110</v>
      </c>
      <c r="B25" t="s">
        <v>128</v>
      </c>
      <c r="C25" t="s">
        <v>128</v>
      </c>
      <c r="D25" t="s">
        <v>128</v>
      </c>
      <c r="E25" t="s">
        <v>128</v>
      </c>
      <c r="F25" t="s">
        <v>128</v>
      </c>
      <c r="G25" t="s">
        <v>128</v>
      </c>
      <c r="H25" t="s">
        <v>128</v>
      </c>
      <c r="I25" t="s">
        <v>128</v>
      </c>
      <c r="J25" t="s">
        <v>128</v>
      </c>
      <c r="K25" t="s">
        <v>128</v>
      </c>
      <c r="L25" t="s">
        <v>128</v>
      </c>
      <c r="M25" t="s">
        <v>128</v>
      </c>
      <c r="N25" t="s">
        <v>128</v>
      </c>
      <c r="O25" t="s">
        <v>128</v>
      </c>
      <c r="P25" t="s">
        <v>128</v>
      </c>
      <c r="Q25" t="s">
        <v>128</v>
      </c>
      <c r="R25" t="s">
        <v>128</v>
      </c>
      <c r="S25" t="s">
        <v>128</v>
      </c>
      <c r="T25" t="s">
        <v>128</v>
      </c>
      <c r="U25" t="s">
        <v>128</v>
      </c>
      <c r="V25" t="s">
        <v>128</v>
      </c>
      <c r="W25" t="s">
        <v>128</v>
      </c>
      <c r="X25" t="s">
        <v>128</v>
      </c>
      <c r="Y25" t="s">
        <v>128</v>
      </c>
      <c r="Z25" t="s">
        <v>128</v>
      </c>
      <c r="AA25" t="s">
        <v>128</v>
      </c>
      <c r="AB25" t="s">
        <v>128</v>
      </c>
      <c r="AC25" t="s">
        <v>128</v>
      </c>
      <c r="AD25" t="s">
        <v>128</v>
      </c>
      <c r="AE25" t="s">
        <v>128</v>
      </c>
      <c r="AF25" t="s">
        <v>128</v>
      </c>
      <c r="AG25" t="s">
        <v>128</v>
      </c>
      <c r="AH25" t="s">
        <v>128</v>
      </c>
      <c r="AI25" t="s">
        <v>128</v>
      </c>
      <c r="AJ25" t="s">
        <v>128</v>
      </c>
      <c r="AK25" t="s">
        <v>128</v>
      </c>
      <c r="AL25" t="s">
        <v>128</v>
      </c>
      <c r="AM25" t="s">
        <v>128</v>
      </c>
      <c r="AN25" t="s">
        <v>128</v>
      </c>
      <c r="AO25" t="s">
        <v>128</v>
      </c>
      <c r="AP25" t="s">
        <v>128</v>
      </c>
      <c r="AQ25" t="s">
        <v>128</v>
      </c>
      <c r="AR25" t="s">
        <v>128</v>
      </c>
      <c r="AS25" t="s">
        <v>128</v>
      </c>
      <c r="AT25" t="s">
        <v>128</v>
      </c>
      <c r="AU25" t="s">
        <v>128</v>
      </c>
      <c r="AV25" t="s">
        <v>128</v>
      </c>
      <c r="AW25" t="s">
        <v>128</v>
      </c>
      <c r="AX25" t="s">
        <v>128</v>
      </c>
      <c r="AY25" t="s">
        <v>128</v>
      </c>
      <c r="AZ25" t="s">
        <v>128</v>
      </c>
      <c r="BA25" t="s">
        <v>128</v>
      </c>
      <c r="BB25" t="s">
        <v>128</v>
      </c>
      <c r="BC25" t="s">
        <v>128</v>
      </c>
      <c r="BD25" t="s">
        <v>128</v>
      </c>
      <c r="BE25" t="s">
        <v>128</v>
      </c>
      <c r="BF25" t="s">
        <v>128</v>
      </c>
      <c r="BG25" t="s">
        <v>128</v>
      </c>
      <c r="BH25" t="s">
        <v>128</v>
      </c>
      <c r="BI25" t="s">
        <v>128</v>
      </c>
      <c r="BJ25" t="s">
        <v>128</v>
      </c>
      <c r="BK25" t="s">
        <v>128</v>
      </c>
      <c r="BL25" t="s">
        <v>128</v>
      </c>
      <c r="BM25" t="s">
        <v>128</v>
      </c>
      <c r="BN25" t="s">
        <v>128</v>
      </c>
      <c r="BO25" t="s">
        <v>128</v>
      </c>
      <c r="BP25" t="s">
        <v>128</v>
      </c>
      <c r="BQ25" t="s">
        <v>128</v>
      </c>
      <c r="BR25" t="s">
        <v>128</v>
      </c>
      <c r="BS25" t="s">
        <v>128</v>
      </c>
      <c r="BT25" t="s">
        <v>128</v>
      </c>
      <c r="BU25" t="s">
        <v>128</v>
      </c>
      <c r="BV25" t="s">
        <v>128</v>
      </c>
      <c r="BW25" t="s">
        <v>128</v>
      </c>
      <c r="BX25" t="s">
        <v>128</v>
      </c>
      <c r="BY25" t="s">
        <v>128</v>
      </c>
      <c r="BZ25" t="s">
        <v>128</v>
      </c>
      <c r="CA25" t="s">
        <v>128</v>
      </c>
      <c r="CB25" t="s">
        <v>128</v>
      </c>
      <c r="CC25" t="s">
        <v>128</v>
      </c>
      <c r="CD25" t="s">
        <v>128</v>
      </c>
      <c r="CE25" t="s">
        <v>128</v>
      </c>
      <c r="CF25" t="s">
        <v>129</v>
      </c>
      <c r="CG25" t="s">
        <v>129</v>
      </c>
      <c r="CH25" t="s">
        <v>129</v>
      </c>
      <c r="CI25" t="s">
        <v>129</v>
      </c>
      <c r="CJ25" t="s">
        <v>129</v>
      </c>
      <c r="CK25" t="s">
        <v>129</v>
      </c>
      <c r="CL25" t="s">
        <v>129</v>
      </c>
      <c r="CM25" t="s">
        <v>129</v>
      </c>
      <c r="CN25" t="s">
        <v>129</v>
      </c>
      <c r="CO25" t="s">
        <v>129</v>
      </c>
      <c r="CP25" t="s">
        <v>129</v>
      </c>
      <c r="CQ25" t="s">
        <v>129</v>
      </c>
      <c r="CR25" t="s">
        <v>129</v>
      </c>
      <c r="CS25" t="s">
        <v>129</v>
      </c>
      <c r="CT25" t="s">
        <v>129</v>
      </c>
      <c r="CU25" t="s">
        <v>129</v>
      </c>
      <c r="CV25" t="s">
        <v>129</v>
      </c>
      <c r="CW25" t="s">
        <v>129</v>
      </c>
    </row>
    <row r="26" spans="1:101" x14ac:dyDescent="0.25">
      <c r="A26" t="s">
        <v>112</v>
      </c>
      <c r="B26" t="s">
        <v>128</v>
      </c>
      <c r="C26" t="s">
        <v>128</v>
      </c>
      <c r="D26" t="s">
        <v>128</v>
      </c>
      <c r="E26" t="s">
        <v>128</v>
      </c>
      <c r="F26" t="s">
        <v>128</v>
      </c>
      <c r="G26" t="s">
        <v>128</v>
      </c>
      <c r="H26" t="s">
        <v>128</v>
      </c>
      <c r="I26" t="s">
        <v>128</v>
      </c>
      <c r="J26" t="s">
        <v>128</v>
      </c>
      <c r="K26" t="s">
        <v>128</v>
      </c>
      <c r="L26" t="s">
        <v>128</v>
      </c>
      <c r="M26" t="s">
        <v>128</v>
      </c>
      <c r="N26" t="s">
        <v>128</v>
      </c>
      <c r="O26" t="s">
        <v>128</v>
      </c>
      <c r="P26" t="s">
        <v>128</v>
      </c>
      <c r="Q26" t="s">
        <v>128</v>
      </c>
      <c r="R26" t="s">
        <v>128</v>
      </c>
      <c r="S26" t="s">
        <v>128</v>
      </c>
      <c r="T26" t="s">
        <v>128</v>
      </c>
      <c r="U26" t="s">
        <v>128</v>
      </c>
      <c r="V26" t="s">
        <v>128</v>
      </c>
      <c r="W26" t="s">
        <v>128</v>
      </c>
      <c r="X26" t="s">
        <v>128</v>
      </c>
      <c r="Y26" t="s">
        <v>128</v>
      </c>
      <c r="Z26" t="s">
        <v>128</v>
      </c>
      <c r="AA26" t="s">
        <v>128</v>
      </c>
      <c r="AB26" t="s">
        <v>128</v>
      </c>
      <c r="AC26" t="s">
        <v>128</v>
      </c>
      <c r="AD26" t="s">
        <v>128</v>
      </c>
      <c r="AE26" t="s">
        <v>128</v>
      </c>
      <c r="AF26" t="s">
        <v>128</v>
      </c>
      <c r="AG26" t="s">
        <v>128</v>
      </c>
      <c r="AH26" t="s">
        <v>128</v>
      </c>
      <c r="AI26" t="s">
        <v>128</v>
      </c>
      <c r="AJ26" t="s">
        <v>128</v>
      </c>
      <c r="AK26" t="s">
        <v>128</v>
      </c>
      <c r="AL26" t="s">
        <v>128</v>
      </c>
      <c r="AM26" t="s">
        <v>128</v>
      </c>
      <c r="AN26" t="s">
        <v>128</v>
      </c>
      <c r="AO26" t="s">
        <v>128</v>
      </c>
      <c r="AP26" t="s">
        <v>128</v>
      </c>
      <c r="AQ26" t="s">
        <v>128</v>
      </c>
      <c r="AR26" t="s">
        <v>128</v>
      </c>
      <c r="AS26" t="s">
        <v>128</v>
      </c>
      <c r="AT26" t="s">
        <v>128</v>
      </c>
      <c r="AU26" t="s">
        <v>128</v>
      </c>
      <c r="AV26" t="s">
        <v>128</v>
      </c>
      <c r="AW26" t="s">
        <v>128</v>
      </c>
      <c r="AX26" t="s">
        <v>128</v>
      </c>
      <c r="AY26" t="s">
        <v>128</v>
      </c>
      <c r="AZ26" t="s">
        <v>128</v>
      </c>
      <c r="BA26" t="s">
        <v>128</v>
      </c>
      <c r="BB26" t="s">
        <v>128</v>
      </c>
      <c r="BC26" t="s">
        <v>128</v>
      </c>
      <c r="BD26" t="s">
        <v>128</v>
      </c>
      <c r="BE26" t="s">
        <v>128</v>
      </c>
      <c r="BF26" t="s">
        <v>128</v>
      </c>
      <c r="BG26" t="s">
        <v>128</v>
      </c>
      <c r="BH26" t="s">
        <v>128</v>
      </c>
      <c r="BI26" t="s">
        <v>128</v>
      </c>
      <c r="BJ26" t="s">
        <v>128</v>
      </c>
      <c r="BK26" t="s">
        <v>128</v>
      </c>
      <c r="BL26" t="s">
        <v>128</v>
      </c>
      <c r="BM26" t="s">
        <v>128</v>
      </c>
      <c r="BN26" t="s">
        <v>128</v>
      </c>
      <c r="BO26" t="s">
        <v>128</v>
      </c>
      <c r="BP26" t="s">
        <v>128</v>
      </c>
      <c r="BQ26" t="s">
        <v>128</v>
      </c>
      <c r="BR26" t="s">
        <v>128</v>
      </c>
      <c r="BS26" t="s">
        <v>128</v>
      </c>
      <c r="BT26" t="s">
        <v>128</v>
      </c>
      <c r="BU26" t="s">
        <v>128</v>
      </c>
      <c r="BV26" t="s">
        <v>128</v>
      </c>
      <c r="BW26" t="s">
        <v>128</v>
      </c>
      <c r="BX26" t="s">
        <v>128</v>
      </c>
      <c r="BY26" t="s">
        <v>128</v>
      </c>
      <c r="BZ26" t="s">
        <v>128</v>
      </c>
      <c r="CA26" t="s">
        <v>128</v>
      </c>
      <c r="CB26" t="s">
        <v>128</v>
      </c>
      <c r="CC26" t="s">
        <v>128</v>
      </c>
      <c r="CD26" t="s">
        <v>128</v>
      </c>
      <c r="CE26" t="s">
        <v>128</v>
      </c>
      <c r="CF26" t="s">
        <v>128</v>
      </c>
      <c r="CG26" t="s">
        <v>128</v>
      </c>
      <c r="CH26" t="s">
        <v>128</v>
      </c>
      <c r="CI26" t="s">
        <v>128</v>
      </c>
      <c r="CJ26" t="s">
        <v>128</v>
      </c>
      <c r="CK26" t="s">
        <v>128</v>
      </c>
      <c r="CL26" t="s">
        <v>128</v>
      </c>
      <c r="CM26" t="s">
        <v>128</v>
      </c>
      <c r="CN26" t="s">
        <v>128</v>
      </c>
      <c r="CO26" t="s">
        <v>128</v>
      </c>
      <c r="CP26" t="s">
        <v>128</v>
      </c>
      <c r="CQ26" t="s">
        <v>128</v>
      </c>
      <c r="CR26" t="s">
        <v>128</v>
      </c>
      <c r="CS26" t="s">
        <v>128</v>
      </c>
      <c r="CT26" t="s">
        <v>128</v>
      </c>
      <c r="CU26" t="s">
        <v>128</v>
      </c>
      <c r="CV26" t="s">
        <v>128</v>
      </c>
      <c r="CW26" t="s">
        <v>128</v>
      </c>
    </row>
    <row r="27" spans="1:101" x14ac:dyDescent="0.25">
      <c r="A27" t="s">
        <v>113</v>
      </c>
      <c r="B27" t="s">
        <v>128</v>
      </c>
      <c r="C27" t="s">
        <v>128</v>
      </c>
      <c r="D27" t="s">
        <v>128</v>
      </c>
      <c r="E27" t="s">
        <v>128</v>
      </c>
      <c r="F27" t="s">
        <v>128</v>
      </c>
      <c r="G27" t="s">
        <v>128</v>
      </c>
      <c r="H27" t="s">
        <v>128</v>
      </c>
      <c r="I27" t="s">
        <v>128</v>
      </c>
      <c r="J27" t="s">
        <v>128</v>
      </c>
      <c r="K27" t="s">
        <v>128</v>
      </c>
      <c r="L27" t="s">
        <v>128</v>
      </c>
      <c r="M27" t="s">
        <v>128</v>
      </c>
      <c r="N27" t="s">
        <v>128</v>
      </c>
      <c r="O27" t="s">
        <v>128</v>
      </c>
      <c r="P27" t="s">
        <v>128</v>
      </c>
      <c r="Q27" t="s">
        <v>128</v>
      </c>
      <c r="R27" t="s">
        <v>128</v>
      </c>
      <c r="S27" t="s">
        <v>128</v>
      </c>
      <c r="T27" t="s">
        <v>128</v>
      </c>
      <c r="U27" t="s">
        <v>128</v>
      </c>
      <c r="V27" t="s">
        <v>128</v>
      </c>
      <c r="W27" t="s">
        <v>128</v>
      </c>
      <c r="X27" t="s">
        <v>128</v>
      </c>
      <c r="Y27" t="s">
        <v>128</v>
      </c>
      <c r="Z27" t="s">
        <v>128</v>
      </c>
      <c r="AA27" t="s">
        <v>128</v>
      </c>
      <c r="AB27" t="s">
        <v>128</v>
      </c>
      <c r="AC27" t="s">
        <v>128</v>
      </c>
      <c r="AD27" t="s">
        <v>128</v>
      </c>
      <c r="AE27" t="s">
        <v>128</v>
      </c>
      <c r="AF27" t="s">
        <v>128</v>
      </c>
      <c r="AG27" t="s">
        <v>128</v>
      </c>
      <c r="AH27" t="s">
        <v>128</v>
      </c>
      <c r="AI27" t="s">
        <v>128</v>
      </c>
      <c r="AJ27" t="s">
        <v>128</v>
      </c>
      <c r="AK27" t="s">
        <v>128</v>
      </c>
      <c r="AL27" t="s">
        <v>128</v>
      </c>
      <c r="AM27" t="s">
        <v>128</v>
      </c>
      <c r="AN27" t="s">
        <v>128</v>
      </c>
      <c r="AO27" t="s">
        <v>128</v>
      </c>
      <c r="AP27" t="s">
        <v>128</v>
      </c>
      <c r="AQ27" t="s">
        <v>128</v>
      </c>
      <c r="AR27" t="s">
        <v>128</v>
      </c>
      <c r="AS27" t="s">
        <v>128</v>
      </c>
      <c r="AT27" t="s">
        <v>128</v>
      </c>
      <c r="AU27" t="s">
        <v>128</v>
      </c>
      <c r="AV27" t="s">
        <v>128</v>
      </c>
      <c r="AW27" t="s">
        <v>128</v>
      </c>
      <c r="AX27" t="s">
        <v>128</v>
      </c>
      <c r="AY27" t="s">
        <v>128</v>
      </c>
      <c r="AZ27" t="s">
        <v>128</v>
      </c>
      <c r="BA27" t="s">
        <v>128</v>
      </c>
      <c r="BB27" t="s">
        <v>128</v>
      </c>
      <c r="BC27" t="s">
        <v>128</v>
      </c>
      <c r="BD27" t="s">
        <v>128</v>
      </c>
      <c r="BE27" t="s">
        <v>128</v>
      </c>
      <c r="BF27" t="s">
        <v>128</v>
      </c>
      <c r="BG27" t="s">
        <v>128</v>
      </c>
      <c r="BH27" t="s">
        <v>128</v>
      </c>
      <c r="BI27" t="s">
        <v>128</v>
      </c>
      <c r="BJ27" t="s">
        <v>128</v>
      </c>
      <c r="BK27" t="s">
        <v>128</v>
      </c>
      <c r="BL27" t="s">
        <v>128</v>
      </c>
      <c r="BM27" t="s">
        <v>129</v>
      </c>
      <c r="BN27" t="s">
        <v>129</v>
      </c>
      <c r="BO27" t="s">
        <v>129</v>
      </c>
      <c r="BP27" t="s">
        <v>129</v>
      </c>
      <c r="BQ27" t="s">
        <v>129</v>
      </c>
      <c r="BR27" t="s">
        <v>129</v>
      </c>
      <c r="BS27" t="s">
        <v>129</v>
      </c>
      <c r="BT27" t="s">
        <v>129</v>
      </c>
      <c r="BU27" t="s">
        <v>129</v>
      </c>
      <c r="BV27" t="s">
        <v>129</v>
      </c>
      <c r="BW27" t="s">
        <v>129</v>
      </c>
      <c r="BX27" t="s">
        <v>129</v>
      </c>
      <c r="BY27" t="s">
        <v>129</v>
      </c>
      <c r="BZ27" t="s">
        <v>129</v>
      </c>
      <c r="CA27" t="s">
        <v>129</v>
      </c>
      <c r="CB27" t="s">
        <v>129</v>
      </c>
      <c r="CC27" t="s">
        <v>129</v>
      </c>
      <c r="CD27" t="s">
        <v>129</v>
      </c>
      <c r="CE27" t="s">
        <v>129</v>
      </c>
      <c r="CF27" t="s">
        <v>129</v>
      </c>
      <c r="CG27" t="s">
        <v>129</v>
      </c>
      <c r="CH27" t="s">
        <v>129</v>
      </c>
      <c r="CI27" t="s">
        <v>129</v>
      </c>
      <c r="CJ27" t="s">
        <v>129</v>
      </c>
      <c r="CK27" t="s">
        <v>129</v>
      </c>
      <c r="CL27" t="s">
        <v>129</v>
      </c>
      <c r="CM27" t="s">
        <v>129</v>
      </c>
      <c r="CN27" t="s">
        <v>129</v>
      </c>
      <c r="CO27" t="s">
        <v>129</v>
      </c>
      <c r="CP27" t="s">
        <v>129</v>
      </c>
      <c r="CQ27" t="s">
        <v>129</v>
      </c>
      <c r="CR27" t="s">
        <v>129</v>
      </c>
      <c r="CS27" t="s">
        <v>129</v>
      </c>
      <c r="CT27" t="s">
        <v>129</v>
      </c>
      <c r="CU27" t="s">
        <v>129</v>
      </c>
      <c r="CV27" t="s">
        <v>129</v>
      </c>
      <c r="CW27" t="s">
        <v>129</v>
      </c>
    </row>
    <row r="28" spans="1:101" x14ac:dyDescent="0.25">
      <c r="A28" t="s">
        <v>114</v>
      </c>
      <c r="B28" t="s">
        <v>128</v>
      </c>
      <c r="C28" t="s">
        <v>128</v>
      </c>
      <c r="D28" t="s">
        <v>128</v>
      </c>
      <c r="E28" t="s">
        <v>128</v>
      </c>
      <c r="F28" t="s">
        <v>128</v>
      </c>
      <c r="G28" t="s">
        <v>128</v>
      </c>
      <c r="H28" t="s">
        <v>128</v>
      </c>
      <c r="I28" t="s">
        <v>128</v>
      </c>
      <c r="J28" t="s">
        <v>128</v>
      </c>
      <c r="K28" t="s">
        <v>128</v>
      </c>
      <c r="L28" t="s">
        <v>128</v>
      </c>
      <c r="M28" t="s">
        <v>128</v>
      </c>
      <c r="N28" t="s">
        <v>128</v>
      </c>
      <c r="O28" t="s">
        <v>128</v>
      </c>
      <c r="P28" t="s">
        <v>128</v>
      </c>
      <c r="Q28" t="s">
        <v>128</v>
      </c>
      <c r="R28" t="s">
        <v>128</v>
      </c>
      <c r="S28" t="s">
        <v>128</v>
      </c>
      <c r="T28" t="s">
        <v>128</v>
      </c>
      <c r="U28" t="s">
        <v>128</v>
      </c>
      <c r="V28" t="s">
        <v>128</v>
      </c>
      <c r="W28" t="s">
        <v>128</v>
      </c>
      <c r="X28" t="s">
        <v>128</v>
      </c>
      <c r="Y28" t="s">
        <v>128</v>
      </c>
      <c r="Z28" t="s">
        <v>128</v>
      </c>
      <c r="AA28" t="s">
        <v>128</v>
      </c>
      <c r="AB28" t="s">
        <v>128</v>
      </c>
      <c r="AC28" t="s">
        <v>128</v>
      </c>
      <c r="AD28" t="s">
        <v>128</v>
      </c>
      <c r="AE28" t="s">
        <v>128</v>
      </c>
      <c r="AF28" t="s">
        <v>128</v>
      </c>
      <c r="AG28" t="s">
        <v>128</v>
      </c>
      <c r="AH28" t="s">
        <v>128</v>
      </c>
      <c r="AI28" t="s">
        <v>128</v>
      </c>
      <c r="AJ28" t="s">
        <v>128</v>
      </c>
      <c r="AK28" t="s">
        <v>128</v>
      </c>
      <c r="AL28" t="s">
        <v>128</v>
      </c>
      <c r="AM28" t="s">
        <v>128</v>
      </c>
      <c r="AN28" t="s">
        <v>128</v>
      </c>
      <c r="AO28" t="s">
        <v>128</v>
      </c>
      <c r="AP28" t="s">
        <v>128</v>
      </c>
      <c r="AQ28" t="s">
        <v>128</v>
      </c>
      <c r="AR28" t="s">
        <v>128</v>
      </c>
      <c r="AS28" t="s">
        <v>128</v>
      </c>
      <c r="AT28" t="s">
        <v>128</v>
      </c>
      <c r="AU28" t="s">
        <v>128</v>
      </c>
      <c r="AV28" t="s">
        <v>128</v>
      </c>
      <c r="AW28" t="s">
        <v>128</v>
      </c>
      <c r="AX28" t="s">
        <v>128</v>
      </c>
      <c r="AY28" t="s">
        <v>128</v>
      </c>
      <c r="AZ28" t="s">
        <v>128</v>
      </c>
      <c r="BA28" t="s">
        <v>128</v>
      </c>
      <c r="BB28" t="s">
        <v>128</v>
      </c>
      <c r="BC28" t="s">
        <v>128</v>
      </c>
      <c r="BD28" t="s">
        <v>128</v>
      </c>
      <c r="BE28" t="s">
        <v>128</v>
      </c>
      <c r="BF28" t="s">
        <v>128</v>
      </c>
      <c r="BG28" t="s">
        <v>128</v>
      </c>
      <c r="BH28" t="s">
        <v>128</v>
      </c>
      <c r="BI28" t="s">
        <v>128</v>
      </c>
      <c r="BJ28" t="s">
        <v>128</v>
      </c>
      <c r="BK28" t="s">
        <v>128</v>
      </c>
      <c r="BL28" t="s">
        <v>128</v>
      </c>
      <c r="BM28" t="s">
        <v>128</v>
      </c>
      <c r="BN28" t="s">
        <v>128</v>
      </c>
      <c r="BO28" t="s">
        <v>129</v>
      </c>
      <c r="BP28" t="s">
        <v>129</v>
      </c>
      <c r="BQ28" t="s">
        <v>129</v>
      </c>
      <c r="BR28" t="s">
        <v>129</v>
      </c>
      <c r="BS28" t="s">
        <v>129</v>
      </c>
      <c r="BT28" t="s">
        <v>129</v>
      </c>
      <c r="BU28" t="s">
        <v>129</v>
      </c>
      <c r="BV28" t="s">
        <v>129</v>
      </c>
      <c r="BW28" t="s">
        <v>129</v>
      </c>
      <c r="BX28" t="s">
        <v>129</v>
      </c>
      <c r="BY28" t="s">
        <v>129</v>
      </c>
      <c r="BZ28" t="s">
        <v>129</v>
      </c>
      <c r="CA28" t="s">
        <v>129</v>
      </c>
      <c r="CB28" t="s">
        <v>129</v>
      </c>
      <c r="CC28" t="s">
        <v>129</v>
      </c>
      <c r="CD28" t="s">
        <v>129</v>
      </c>
      <c r="CE28" t="s">
        <v>129</v>
      </c>
      <c r="CF28" t="s">
        <v>129</v>
      </c>
      <c r="CG28" t="s">
        <v>129</v>
      </c>
      <c r="CH28" t="s">
        <v>129</v>
      </c>
      <c r="CI28" t="s">
        <v>129</v>
      </c>
      <c r="CJ28" t="s">
        <v>129</v>
      </c>
      <c r="CK28" t="s">
        <v>129</v>
      </c>
      <c r="CL28" t="s">
        <v>129</v>
      </c>
      <c r="CM28" t="s">
        <v>129</v>
      </c>
      <c r="CN28" t="s">
        <v>129</v>
      </c>
      <c r="CO28" t="s">
        <v>129</v>
      </c>
      <c r="CP28" t="s">
        <v>129</v>
      </c>
      <c r="CQ28" t="s">
        <v>129</v>
      </c>
      <c r="CR28" t="s">
        <v>129</v>
      </c>
      <c r="CS28" t="s">
        <v>129</v>
      </c>
      <c r="CT28" t="s">
        <v>129</v>
      </c>
      <c r="CU28" t="s">
        <v>129</v>
      </c>
      <c r="CV28" t="s">
        <v>129</v>
      </c>
      <c r="CW28" t="s">
        <v>129</v>
      </c>
    </row>
    <row r="29" spans="1:101" x14ac:dyDescent="0.25">
      <c r="A29" t="s">
        <v>115</v>
      </c>
      <c r="B29" t="s">
        <v>128</v>
      </c>
      <c r="C29" t="s">
        <v>128</v>
      </c>
      <c r="D29" t="s">
        <v>128</v>
      </c>
      <c r="E29" t="s">
        <v>128</v>
      </c>
      <c r="F29" t="s">
        <v>128</v>
      </c>
      <c r="G29" t="s">
        <v>128</v>
      </c>
      <c r="H29" t="s">
        <v>128</v>
      </c>
      <c r="I29" t="s">
        <v>128</v>
      </c>
      <c r="J29" t="s">
        <v>128</v>
      </c>
      <c r="K29" t="s">
        <v>128</v>
      </c>
      <c r="L29" t="s">
        <v>128</v>
      </c>
      <c r="M29" t="s">
        <v>128</v>
      </c>
      <c r="N29" t="s">
        <v>128</v>
      </c>
      <c r="O29" t="s">
        <v>128</v>
      </c>
      <c r="P29" t="s">
        <v>128</v>
      </c>
      <c r="Q29" t="s">
        <v>128</v>
      </c>
      <c r="R29" t="s">
        <v>128</v>
      </c>
      <c r="S29" t="s">
        <v>128</v>
      </c>
      <c r="T29" t="s">
        <v>128</v>
      </c>
      <c r="U29" t="s">
        <v>128</v>
      </c>
      <c r="V29" t="s">
        <v>128</v>
      </c>
      <c r="W29" t="s">
        <v>128</v>
      </c>
      <c r="X29" t="s">
        <v>128</v>
      </c>
      <c r="Y29" t="s">
        <v>128</v>
      </c>
      <c r="Z29" t="s">
        <v>128</v>
      </c>
      <c r="AA29" t="s">
        <v>128</v>
      </c>
      <c r="AB29" t="s">
        <v>128</v>
      </c>
      <c r="AC29" t="s">
        <v>128</v>
      </c>
      <c r="AD29" t="s">
        <v>128</v>
      </c>
      <c r="AE29" t="s">
        <v>128</v>
      </c>
      <c r="AF29" t="s">
        <v>128</v>
      </c>
      <c r="AG29" t="s">
        <v>128</v>
      </c>
      <c r="AH29" t="s">
        <v>128</v>
      </c>
      <c r="AI29" t="s">
        <v>128</v>
      </c>
      <c r="AJ29" t="s">
        <v>128</v>
      </c>
      <c r="AK29" t="s">
        <v>128</v>
      </c>
      <c r="AL29" t="s">
        <v>128</v>
      </c>
      <c r="AM29" t="s">
        <v>128</v>
      </c>
      <c r="AN29" t="s">
        <v>128</v>
      </c>
      <c r="AO29" t="s">
        <v>128</v>
      </c>
      <c r="AP29" t="s">
        <v>128</v>
      </c>
      <c r="AQ29" t="s">
        <v>128</v>
      </c>
      <c r="AR29" t="s">
        <v>128</v>
      </c>
      <c r="AS29" t="s">
        <v>128</v>
      </c>
      <c r="AT29" t="s">
        <v>128</v>
      </c>
      <c r="AU29" t="s">
        <v>128</v>
      </c>
      <c r="AV29" t="s">
        <v>128</v>
      </c>
      <c r="AW29" t="s">
        <v>128</v>
      </c>
      <c r="AX29" t="s">
        <v>128</v>
      </c>
      <c r="AY29" t="s">
        <v>128</v>
      </c>
      <c r="AZ29" t="s">
        <v>128</v>
      </c>
      <c r="BA29" t="s">
        <v>128</v>
      </c>
      <c r="BB29" t="s">
        <v>128</v>
      </c>
      <c r="BC29" t="s">
        <v>128</v>
      </c>
      <c r="BD29" t="s">
        <v>128</v>
      </c>
      <c r="BE29" t="s">
        <v>128</v>
      </c>
      <c r="BF29" t="s">
        <v>128</v>
      </c>
      <c r="BG29" t="s">
        <v>128</v>
      </c>
      <c r="BH29" t="s">
        <v>128</v>
      </c>
      <c r="BI29" t="s">
        <v>128</v>
      </c>
      <c r="BJ29" t="s">
        <v>128</v>
      </c>
      <c r="BK29" t="s">
        <v>128</v>
      </c>
      <c r="BL29" t="s">
        <v>128</v>
      </c>
      <c r="BM29" t="s">
        <v>128</v>
      </c>
      <c r="BN29" t="s">
        <v>128</v>
      </c>
      <c r="BO29" t="s">
        <v>128</v>
      </c>
      <c r="BP29" t="s">
        <v>128</v>
      </c>
      <c r="BQ29" t="s">
        <v>128</v>
      </c>
      <c r="BR29" t="s">
        <v>128</v>
      </c>
      <c r="BS29" t="s">
        <v>128</v>
      </c>
      <c r="BT29" t="s">
        <v>128</v>
      </c>
      <c r="BU29" t="s">
        <v>128</v>
      </c>
      <c r="BV29" t="s">
        <v>128</v>
      </c>
      <c r="BW29" t="s">
        <v>129</v>
      </c>
      <c r="BX29" t="s">
        <v>129</v>
      </c>
      <c r="BY29" t="s">
        <v>129</v>
      </c>
      <c r="BZ29" t="s">
        <v>129</v>
      </c>
      <c r="CA29" t="s">
        <v>129</v>
      </c>
      <c r="CB29" t="s">
        <v>129</v>
      </c>
      <c r="CC29" t="s">
        <v>129</v>
      </c>
      <c r="CD29" t="s">
        <v>129</v>
      </c>
      <c r="CE29" t="s">
        <v>129</v>
      </c>
      <c r="CF29" t="s">
        <v>129</v>
      </c>
      <c r="CG29" t="s">
        <v>129</v>
      </c>
      <c r="CH29" t="s">
        <v>129</v>
      </c>
      <c r="CI29" t="s">
        <v>129</v>
      </c>
      <c r="CJ29" t="s">
        <v>129</v>
      </c>
      <c r="CK29" t="s">
        <v>129</v>
      </c>
      <c r="CL29" t="s">
        <v>129</v>
      </c>
      <c r="CM29" t="s">
        <v>129</v>
      </c>
      <c r="CN29" t="s">
        <v>129</v>
      </c>
      <c r="CO29" t="s">
        <v>129</v>
      </c>
      <c r="CP29" t="s">
        <v>129</v>
      </c>
      <c r="CQ29" t="s">
        <v>129</v>
      </c>
      <c r="CR29" t="s">
        <v>129</v>
      </c>
      <c r="CS29" t="s">
        <v>129</v>
      </c>
      <c r="CT29" t="s">
        <v>129</v>
      </c>
      <c r="CU29" t="s">
        <v>129</v>
      </c>
      <c r="CV29" t="s">
        <v>129</v>
      </c>
      <c r="CW29" t="s">
        <v>129</v>
      </c>
    </row>
    <row r="30" spans="1:101" x14ac:dyDescent="0.25">
      <c r="A30" t="s">
        <v>116</v>
      </c>
      <c r="B30" t="s">
        <v>128</v>
      </c>
      <c r="C30" t="s">
        <v>128</v>
      </c>
      <c r="D30" t="s">
        <v>128</v>
      </c>
      <c r="E30" t="s">
        <v>128</v>
      </c>
      <c r="F30" t="s">
        <v>128</v>
      </c>
      <c r="G30" t="s">
        <v>128</v>
      </c>
      <c r="H30" t="s">
        <v>128</v>
      </c>
      <c r="I30" t="s">
        <v>128</v>
      </c>
      <c r="J30" t="s">
        <v>128</v>
      </c>
      <c r="K30" t="s">
        <v>128</v>
      </c>
      <c r="L30" t="s">
        <v>128</v>
      </c>
      <c r="M30" t="s">
        <v>128</v>
      </c>
      <c r="N30" t="s">
        <v>128</v>
      </c>
      <c r="O30" t="s">
        <v>128</v>
      </c>
      <c r="P30" t="s">
        <v>128</v>
      </c>
      <c r="Q30" t="s">
        <v>128</v>
      </c>
      <c r="R30" t="s">
        <v>128</v>
      </c>
      <c r="S30" t="s">
        <v>128</v>
      </c>
      <c r="T30" t="s">
        <v>128</v>
      </c>
      <c r="U30" t="s">
        <v>128</v>
      </c>
      <c r="V30" t="s">
        <v>128</v>
      </c>
      <c r="W30" t="s">
        <v>128</v>
      </c>
      <c r="X30" t="s">
        <v>128</v>
      </c>
      <c r="Y30" t="s">
        <v>128</v>
      </c>
      <c r="Z30" t="s">
        <v>128</v>
      </c>
      <c r="AA30" t="s">
        <v>128</v>
      </c>
      <c r="AB30" t="s">
        <v>128</v>
      </c>
      <c r="AC30" t="s">
        <v>128</v>
      </c>
      <c r="AD30" t="s">
        <v>128</v>
      </c>
      <c r="AE30" t="s">
        <v>128</v>
      </c>
      <c r="AF30" t="s">
        <v>128</v>
      </c>
      <c r="AG30" t="s">
        <v>128</v>
      </c>
      <c r="AH30" t="s">
        <v>128</v>
      </c>
      <c r="AI30" t="s">
        <v>128</v>
      </c>
      <c r="AJ30" t="s">
        <v>128</v>
      </c>
      <c r="AK30" t="s">
        <v>128</v>
      </c>
      <c r="AL30" t="s">
        <v>128</v>
      </c>
      <c r="AM30" t="s">
        <v>128</v>
      </c>
      <c r="AN30" t="s">
        <v>128</v>
      </c>
      <c r="AO30" t="s">
        <v>128</v>
      </c>
      <c r="AP30" t="s">
        <v>128</v>
      </c>
      <c r="AQ30" t="s">
        <v>128</v>
      </c>
      <c r="AR30" t="s">
        <v>128</v>
      </c>
      <c r="AS30" t="s">
        <v>128</v>
      </c>
      <c r="AT30" t="s">
        <v>128</v>
      </c>
      <c r="AU30" t="s">
        <v>128</v>
      </c>
      <c r="AV30" t="s">
        <v>128</v>
      </c>
      <c r="AW30" t="s">
        <v>128</v>
      </c>
      <c r="AX30" t="s">
        <v>128</v>
      </c>
      <c r="AY30" t="s">
        <v>128</v>
      </c>
      <c r="AZ30" t="s">
        <v>128</v>
      </c>
      <c r="BA30" t="s">
        <v>128</v>
      </c>
      <c r="BB30" t="s">
        <v>128</v>
      </c>
      <c r="BC30" t="s">
        <v>128</v>
      </c>
      <c r="BD30" t="s">
        <v>128</v>
      </c>
      <c r="BE30" t="s">
        <v>128</v>
      </c>
      <c r="BF30" t="s">
        <v>128</v>
      </c>
      <c r="BG30" t="s">
        <v>128</v>
      </c>
      <c r="BH30" t="s">
        <v>128</v>
      </c>
      <c r="BI30" t="s">
        <v>128</v>
      </c>
      <c r="BJ30" t="s">
        <v>128</v>
      </c>
      <c r="BK30" t="s">
        <v>128</v>
      </c>
      <c r="BL30" t="s">
        <v>128</v>
      </c>
      <c r="BM30" t="s">
        <v>128</v>
      </c>
      <c r="BN30" t="s">
        <v>128</v>
      </c>
      <c r="BO30" t="s">
        <v>128</v>
      </c>
      <c r="BP30" t="s">
        <v>128</v>
      </c>
      <c r="BQ30" t="s">
        <v>128</v>
      </c>
      <c r="BR30" t="s">
        <v>128</v>
      </c>
      <c r="BS30" t="s">
        <v>128</v>
      </c>
      <c r="BT30" t="s">
        <v>128</v>
      </c>
      <c r="BU30" t="s">
        <v>128</v>
      </c>
      <c r="BV30" t="s">
        <v>128</v>
      </c>
      <c r="BW30" t="s">
        <v>128</v>
      </c>
      <c r="BX30" t="s">
        <v>129</v>
      </c>
      <c r="BY30" t="s">
        <v>129</v>
      </c>
      <c r="BZ30" t="s">
        <v>129</v>
      </c>
      <c r="CA30" t="s">
        <v>129</v>
      </c>
      <c r="CB30" t="s">
        <v>129</v>
      </c>
      <c r="CC30" t="s">
        <v>129</v>
      </c>
      <c r="CD30" t="s">
        <v>129</v>
      </c>
      <c r="CE30" t="s">
        <v>129</v>
      </c>
      <c r="CF30" t="s">
        <v>129</v>
      </c>
      <c r="CG30" t="s">
        <v>129</v>
      </c>
      <c r="CH30" t="s">
        <v>129</v>
      </c>
      <c r="CI30" t="s">
        <v>129</v>
      </c>
      <c r="CJ30" t="s">
        <v>129</v>
      </c>
      <c r="CK30" t="s">
        <v>129</v>
      </c>
      <c r="CL30" t="s">
        <v>129</v>
      </c>
      <c r="CM30" t="s">
        <v>129</v>
      </c>
      <c r="CN30" t="s">
        <v>129</v>
      </c>
      <c r="CO30" t="s">
        <v>129</v>
      </c>
      <c r="CP30" t="s">
        <v>129</v>
      </c>
      <c r="CQ30" t="s">
        <v>129</v>
      </c>
      <c r="CR30" t="s">
        <v>129</v>
      </c>
      <c r="CS30" t="s">
        <v>129</v>
      </c>
      <c r="CT30" t="s">
        <v>129</v>
      </c>
      <c r="CU30" t="s">
        <v>129</v>
      </c>
      <c r="CV30" t="s">
        <v>129</v>
      </c>
      <c r="CW30" t="s">
        <v>129</v>
      </c>
    </row>
    <row r="31" spans="1:101" x14ac:dyDescent="0.25">
      <c r="A31" t="s">
        <v>117</v>
      </c>
      <c r="B31" t="s">
        <v>128</v>
      </c>
      <c r="C31" t="s">
        <v>128</v>
      </c>
      <c r="D31" t="s">
        <v>128</v>
      </c>
      <c r="E31" t="s">
        <v>128</v>
      </c>
      <c r="F31" t="s">
        <v>128</v>
      </c>
      <c r="G31" t="s">
        <v>128</v>
      </c>
      <c r="H31" t="s">
        <v>128</v>
      </c>
      <c r="I31" t="s">
        <v>128</v>
      </c>
      <c r="J31" t="s">
        <v>128</v>
      </c>
      <c r="K31" t="s">
        <v>128</v>
      </c>
      <c r="L31" t="s">
        <v>128</v>
      </c>
      <c r="M31" t="s">
        <v>128</v>
      </c>
      <c r="N31" t="s">
        <v>128</v>
      </c>
      <c r="O31" t="s">
        <v>128</v>
      </c>
      <c r="P31" t="s">
        <v>128</v>
      </c>
      <c r="Q31" t="s">
        <v>128</v>
      </c>
      <c r="R31" t="s">
        <v>128</v>
      </c>
      <c r="S31" t="s">
        <v>128</v>
      </c>
      <c r="T31" t="s">
        <v>128</v>
      </c>
      <c r="U31" t="s">
        <v>128</v>
      </c>
      <c r="V31" t="s">
        <v>128</v>
      </c>
      <c r="W31" t="s">
        <v>128</v>
      </c>
      <c r="X31" t="s">
        <v>128</v>
      </c>
      <c r="Y31" t="s">
        <v>128</v>
      </c>
      <c r="Z31" t="s">
        <v>128</v>
      </c>
      <c r="AA31" t="s">
        <v>128</v>
      </c>
      <c r="AB31" t="s">
        <v>128</v>
      </c>
      <c r="AC31" t="s">
        <v>128</v>
      </c>
      <c r="AD31" t="s">
        <v>128</v>
      </c>
      <c r="AE31" t="s">
        <v>128</v>
      </c>
      <c r="AF31" t="s">
        <v>128</v>
      </c>
      <c r="AG31" t="s">
        <v>128</v>
      </c>
      <c r="AH31" t="s">
        <v>128</v>
      </c>
      <c r="AI31" t="s">
        <v>128</v>
      </c>
      <c r="AJ31" t="s">
        <v>128</v>
      </c>
      <c r="AK31" t="s">
        <v>128</v>
      </c>
      <c r="AL31" t="s">
        <v>128</v>
      </c>
      <c r="AM31" t="s">
        <v>128</v>
      </c>
      <c r="AN31" t="s">
        <v>128</v>
      </c>
      <c r="AO31" t="s">
        <v>128</v>
      </c>
      <c r="AP31" t="s">
        <v>128</v>
      </c>
      <c r="AQ31" t="s">
        <v>128</v>
      </c>
      <c r="AR31" t="s">
        <v>128</v>
      </c>
      <c r="AS31" t="s">
        <v>128</v>
      </c>
      <c r="AT31" t="s">
        <v>128</v>
      </c>
      <c r="AU31" t="s">
        <v>128</v>
      </c>
      <c r="AV31" t="s">
        <v>128</v>
      </c>
      <c r="AW31" t="s">
        <v>128</v>
      </c>
      <c r="AX31" t="s">
        <v>128</v>
      </c>
      <c r="AY31" t="s">
        <v>128</v>
      </c>
      <c r="AZ31" t="s">
        <v>128</v>
      </c>
      <c r="BA31" t="s">
        <v>128</v>
      </c>
      <c r="BB31" t="s">
        <v>128</v>
      </c>
      <c r="BC31" t="s">
        <v>128</v>
      </c>
      <c r="BD31" t="s">
        <v>128</v>
      </c>
      <c r="BE31" t="s">
        <v>128</v>
      </c>
      <c r="BF31" t="s">
        <v>128</v>
      </c>
      <c r="BG31" t="s">
        <v>128</v>
      </c>
      <c r="BH31" t="s">
        <v>128</v>
      </c>
      <c r="BI31" t="s">
        <v>128</v>
      </c>
      <c r="BJ31" t="s">
        <v>128</v>
      </c>
      <c r="BK31" t="s">
        <v>128</v>
      </c>
      <c r="BL31" t="s">
        <v>128</v>
      </c>
      <c r="BM31" t="s">
        <v>128</v>
      </c>
      <c r="BN31" t="s">
        <v>128</v>
      </c>
      <c r="BO31" t="s">
        <v>128</v>
      </c>
      <c r="BP31" t="s">
        <v>128</v>
      </c>
      <c r="BQ31" t="s">
        <v>128</v>
      </c>
      <c r="BR31" t="s">
        <v>128</v>
      </c>
      <c r="BS31" t="s">
        <v>128</v>
      </c>
      <c r="BT31" t="s">
        <v>128</v>
      </c>
      <c r="BU31" t="s">
        <v>128</v>
      </c>
      <c r="BV31" t="s">
        <v>128</v>
      </c>
      <c r="BW31" t="s">
        <v>128</v>
      </c>
      <c r="BX31" t="s">
        <v>128</v>
      </c>
      <c r="BY31" t="s">
        <v>128</v>
      </c>
      <c r="BZ31" t="s">
        <v>128</v>
      </c>
      <c r="CA31" t="s">
        <v>128</v>
      </c>
      <c r="CB31" t="s">
        <v>128</v>
      </c>
      <c r="CC31" t="s">
        <v>128</v>
      </c>
      <c r="CD31" t="s">
        <v>128</v>
      </c>
      <c r="CE31" t="s">
        <v>128</v>
      </c>
      <c r="CF31" t="s">
        <v>128</v>
      </c>
      <c r="CG31" t="s">
        <v>128</v>
      </c>
      <c r="CH31" t="s">
        <v>128</v>
      </c>
      <c r="CI31" t="s">
        <v>128</v>
      </c>
      <c r="CJ31" t="s">
        <v>128</v>
      </c>
      <c r="CK31" t="s">
        <v>128</v>
      </c>
      <c r="CL31" t="s">
        <v>128</v>
      </c>
      <c r="CM31" t="s">
        <v>128</v>
      </c>
      <c r="CN31" t="s">
        <v>128</v>
      </c>
      <c r="CO31" t="s">
        <v>128</v>
      </c>
      <c r="CP31" t="s">
        <v>128</v>
      </c>
      <c r="CQ31" t="s">
        <v>128</v>
      </c>
      <c r="CR31" t="s">
        <v>128</v>
      </c>
      <c r="CS31" t="s">
        <v>128</v>
      </c>
      <c r="CT31" t="s">
        <v>128</v>
      </c>
      <c r="CU31" t="s">
        <v>128</v>
      </c>
      <c r="CV31" t="s">
        <v>128</v>
      </c>
      <c r="CW31" t="s">
        <v>128</v>
      </c>
    </row>
    <row r="32" spans="1:101" x14ac:dyDescent="0.25">
      <c r="A32" t="s">
        <v>118</v>
      </c>
      <c r="B32" t="s">
        <v>128</v>
      </c>
      <c r="C32" t="s">
        <v>129</v>
      </c>
      <c r="D32" t="s">
        <v>129</v>
      </c>
      <c r="E32" t="s">
        <v>129</v>
      </c>
      <c r="F32" t="s">
        <v>129</v>
      </c>
      <c r="G32" t="s">
        <v>129</v>
      </c>
      <c r="H32" t="s">
        <v>129</v>
      </c>
      <c r="I32" t="s">
        <v>129</v>
      </c>
      <c r="J32" t="s">
        <v>129</v>
      </c>
      <c r="K32" t="s">
        <v>129</v>
      </c>
      <c r="L32" t="s">
        <v>129</v>
      </c>
      <c r="M32" t="s">
        <v>129</v>
      </c>
      <c r="N32" t="s">
        <v>129</v>
      </c>
      <c r="O32" t="s">
        <v>129</v>
      </c>
      <c r="P32" t="s">
        <v>129</v>
      </c>
      <c r="Q32" t="s">
        <v>129</v>
      </c>
      <c r="R32" t="s">
        <v>129</v>
      </c>
      <c r="S32" t="s">
        <v>129</v>
      </c>
      <c r="T32" t="s">
        <v>129</v>
      </c>
      <c r="U32" t="s">
        <v>129</v>
      </c>
      <c r="V32" t="s">
        <v>129</v>
      </c>
      <c r="W32" t="s">
        <v>129</v>
      </c>
      <c r="X32" t="s">
        <v>129</v>
      </c>
      <c r="Y32" t="s">
        <v>129</v>
      </c>
      <c r="Z32" t="s">
        <v>129</v>
      </c>
      <c r="AA32" t="s">
        <v>129</v>
      </c>
      <c r="AB32" t="s">
        <v>129</v>
      </c>
      <c r="AC32" t="s">
        <v>129</v>
      </c>
      <c r="AD32" t="s">
        <v>129</v>
      </c>
      <c r="AE32" t="s">
        <v>129</v>
      </c>
      <c r="AF32" t="s">
        <v>129</v>
      </c>
      <c r="AG32" t="s">
        <v>129</v>
      </c>
      <c r="AH32" t="s">
        <v>129</v>
      </c>
      <c r="AI32" t="s">
        <v>129</v>
      </c>
      <c r="AJ32" t="s">
        <v>129</v>
      </c>
      <c r="AK32" t="s">
        <v>129</v>
      </c>
      <c r="AL32" t="s">
        <v>129</v>
      </c>
      <c r="AM32" t="s">
        <v>129</v>
      </c>
      <c r="AN32" t="s">
        <v>129</v>
      </c>
      <c r="AO32" t="s">
        <v>129</v>
      </c>
      <c r="AP32" t="s">
        <v>129</v>
      </c>
      <c r="AQ32" t="s">
        <v>129</v>
      </c>
      <c r="AR32" t="s">
        <v>129</v>
      </c>
      <c r="AS32" t="s">
        <v>129</v>
      </c>
      <c r="AT32" t="s">
        <v>129</v>
      </c>
      <c r="AU32" t="s">
        <v>129</v>
      </c>
      <c r="AV32" t="s">
        <v>129</v>
      </c>
      <c r="AW32" t="s">
        <v>129</v>
      </c>
      <c r="AX32" t="s">
        <v>129</v>
      </c>
      <c r="AY32" t="s">
        <v>129</v>
      </c>
      <c r="AZ32" t="s">
        <v>129</v>
      </c>
      <c r="BA32" t="s">
        <v>129</v>
      </c>
      <c r="BB32" t="s">
        <v>129</v>
      </c>
      <c r="BC32" t="s">
        <v>129</v>
      </c>
      <c r="BD32" t="s">
        <v>129</v>
      </c>
      <c r="BE32" t="s">
        <v>129</v>
      </c>
      <c r="BF32" t="s">
        <v>129</v>
      </c>
      <c r="BG32" t="s">
        <v>129</v>
      </c>
      <c r="BH32" t="s">
        <v>129</v>
      </c>
      <c r="BI32" t="s">
        <v>129</v>
      </c>
      <c r="BJ32" t="s">
        <v>129</v>
      </c>
      <c r="BK32" t="s">
        <v>129</v>
      </c>
      <c r="BL32" t="s">
        <v>129</v>
      </c>
      <c r="BM32" t="s">
        <v>129</v>
      </c>
      <c r="BN32" t="s">
        <v>129</v>
      </c>
      <c r="BO32" t="s">
        <v>129</v>
      </c>
      <c r="BP32" t="s">
        <v>129</v>
      </c>
      <c r="BQ32" t="s">
        <v>129</v>
      </c>
      <c r="BR32" t="s">
        <v>129</v>
      </c>
      <c r="BS32" t="s">
        <v>129</v>
      </c>
      <c r="BT32" t="s">
        <v>129</v>
      </c>
      <c r="BU32" t="s">
        <v>129</v>
      </c>
      <c r="BV32" t="s">
        <v>129</v>
      </c>
      <c r="BW32" t="s">
        <v>129</v>
      </c>
      <c r="BX32" t="s">
        <v>129</v>
      </c>
      <c r="BY32" t="s">
        <v>129</v>
      </c>
      <c r="BZ32" t="s">
        <v>129</v>
      </c>
      <c r="CA32" t="s">
        <v>129</v>
      </c>
      <c r="CB32" t="s">
        <v>129</v>
      </c>
      <c r="CC32" t="s">
        <v>129</v>
      </c>
      <c r="CD32" t="s">
        <v>129</v>
      </c>
      <c r="CE32" t="s">
        <v>129</v>
      </c>
      <c r="CF32" t="s">
        <v>129</v>
      </c>
      <c r="CG32" t="s">
        <v>129</v>
      </c>
      <c r="CH32" t="s">
        <v>129</v>
      </c>
      <c r="CI32" t="s">
        <v>129</v>
      </c>
      <c r="CJ32" t="s">
        <v>129</v>
      </c>
      <c r="CK32" t="s">
        <v>129</v>
      </c>
      <c r="CL32" t="s">
        <v>129</v>
      </c>
      <c r="CM32" t="s">
        <v>129</v>
      </c>
      <c r="CN32" t="s">
        <v>129</v>
      </c>
      <c r="CO32" t="s">
        <v>129</v>
      </c>
      <c r="CP32" t="s">
        <v>129</v>
      </c>
      <c r="CQ32" t="s">
        <v>129</v>
      </c>
      <c r="CR32" t="s">
        <v>129</v>
      </c>
      <c r="CS32" t="s">
        <v>129</v>
      </c>
      <c r="CT32" t="s">
        <v>129</v>
      </c>
      <c r="CU32" t="s">
        <v>129</v>
      </c>
      <c r="CV32" t="s">
        <v>129</v>
      </c>
      <c r="CW32" t="s">
        <v>129</v>
      </c>
    </row>
    <row r="33" spans="1:101" x14ac:dyDescent="0.25">
      <c r="A33" t="s">
        <v>119</v>
      </c>
      <c r="B33" t="s">
        <v>128</v>
      </c>
      <c r="C33" t="s">
        <v>128</v>
      </c>
      <c r="D33" t="s">
        <v>128</v>
      </c>
      <c r="E33" t="s">
        <v>128</v>
      </c>
      <c r="F33" t="s">
        <v>128</v>
      </c>
      <c r="G33" t="s">
        <v>128</v>
      </c>
      <c r="H33" t="s">
        <v>128</v>
      </c>
      <c r="I33" t="s">
        <v>128</v>
      </c>
      <c r="J33" t="s">
        <v>128</v>
      </c>
      <c r="K33" t="s">
        <v>128</v>
      </c>
      <c r="L33" t="s">
        <v>128</v>
      </c>
      <c r="M33" t="s">
        <v>128</v>
      </c>
      <c r="N33" t="s">
        <v>128</v>
      </c>
      <c r="O33" t="s">
        <v>128</v>
      </c>
      <c r="P33" t="s">
        <v>128</v>
      </c>
      <c r="Q33" t="s">
        <v>128</v>
      </c>
      <c r="R33" t="s">
        <v>128</v>
      </c>
      <c r="S33" t="s">
        <v>128</v>
      </c>
      <c r="T33" t="s">
        <v>128</v>
      </c>
      <c r="U33" t="s">
        <v>128</v>
      </c>
      <c r="V33" t="s">
        <v>128</v>
      </c>
      <c r="W33" t="s">
        <v>128</v>
      </c>
      <c r="X33" t="s">
        <v>128</v>
      </c>
      <c r="Y33" t="s">
        <v>128</v>
      </c>
      <c r="Z33" t="s">
        <v>128</v>
      </c>
      <c r="AA33" t="s">
        <v>128</v>
      </c>
      <c r="AB33" t="s">
        <v>128</v>
      </c>
      <c r="AC33" t="s">
        <v>128</v>
      </c>
      <c r="AD33" t="s">
        <v>128</v>
      </c>
      <c r="AE33" t="s">
        <v>128</v>
      </c>
      <c r="AF33" t="s">
        <v>128</v>
      </c>
      <c r="AG33" t="s">
        <v>128</v>
      </c>
      <c r="AH33" t="s">
        <v>128</v>
      </c>
      <c r="AI33" t="s">
        <v>128</v>
      </c>
      <c r="AJ33" t="s">
        <v>128</v>
      </c>
      <c r="AK33" t="s">
        <v>128</v>
      </c>
      <c r="AL33" t="s">
        <v>128</v>
      </c>
      <c r="AM33" t="s">
        <v>128</v>
      </c>
      <c r="AN33" t="s">
        <v>128</v>
      </c>
      <c r="AO33" t="s">
        <v>128</v>
      </c>
      <c r="AP33" t="s">
        <v>128</v>
      </c>
      <c r="AQ33" t="s">
        <v>128</v>
      </c>
      <c r="AR33" t="s">
        <v>128</v>
      </c>
      <c r="AS33" t="s">
        <v>128</v>
      </c>
      <c r="AT33" t="s">
        <v>128</v>
      </c>
      <c r="AU33" t="s">
        <v>128</v>
      </c>
      <c r="AV33" t="s">
        <v>128</v>
      </c>
      <c r="AW33" t="s">
        <v>128</v>
      </c>
      <c r="AX33" t="s">
        <v>128</v>
      </c>
      <c r="AY33" t="s">
        <v>128</v>
      </c>
      <c r="AZ33" t="s">
        <v>128</v>
      </c>
      <c r="BA33" t="s">
        <v>128</v>
      </c>
      <c r="BB33" t="s">
        <v>128</v>
      </c>
      <c r="BC33" t="s">
        <v>128</v>
      </c>
      <c r="BD33" t="s">
        <v>128</v>
      </c>
      <c r="BE33" t="s">
        <v>128</v>
      </c>
      <c r="BF33" t="s">
        <v>128</v>
      </c>
      <c r="BG33" t="s">
        <v>128</v>
      </c>
      <c r="BH33" t="s">
        <v>128</v>
      </c>
      <c r="BI33" t="s">
        <v>128</v>
      </c>
      <c r="BJ33" t="s">
        <v>128</v>
      </c>
      <c r="BK33" t="s">
        <v>128</v>
      </c>
      <c r="BL33" t="s">
        <v>128</v>
      </c>
      <c r="BM33" t="s">
        <v>128</v>
      </c>
      <c r="BN33" t="s">
        <v>128</v>
      </c>
      <c r="BO33" t="s">
        <v>128</v>
      </c>
      <c r="BP33" t="s">
        <v>128</v>
      </c>
      <c r="BQ33" t="s">
        <v>128</v>
      </c>
      <c r="BR33" t="s">
        <v>128</v>
      </c>
      <c r="BS33" t="s">
        <v>128</v>
      </c>
      <c r="BT33" t="s">
        <v>128</v>
      </c>
      <c r="BU33" t="s">
        <v>128</v>
      </c>
      <c r="BV33" t="s">
        <v>128</v>
      </c>
      <c r="BW33" t="s">
        <v>128</v>
      </c>
      <c r="BX33" t="s">
        <v>128</v>
      </c>
      <c r="BY33" t="s">
        <v>128</v>
      </c>
      <c r="BZ33" t="s">
        <v>128</v>
      </c>
      <c r="CA33" t="s">
        <v>128</v>
      </c>
      <c r="CB33" t="s">
        <v>128</v>
      </c>
      <c r="CC33" t="s">
        <v>128</v>
      </c>
      <c r="CD33" t="s">
        <v>128</v>
      </c>
      <c r="CE33" t="s">
        <v>128</v>
      </c>
      <c r="CF33" t="s">
        <v>128</v>
      </c>
      <c r="CG33" t="s">
        <v>128</v>
      </c>
      <c r="CH33" t="s">
        <v>128</v>
      </c>
      <c r="CI33" t="s">
        <v>128</v>
      </c>
      <c r="CJ33" t="s">
        <v>128</v>
      </c>
      <c r="CK33" t="s">
        <v>128</v>
      </c>
      <c r="CL33" t="s">
        <v>128</v>
      </c>
      <c r="CM33" t="s">
        <v>128</v>
      </c>
      <c r="CN33" t="s">
        <v>128</v>
      </c>
      <c r="CO33" t="s">
        <v>128</v>
      </c>
      <c r="CP33" t="s">
        <v>128</v>
      </c>
      <c r="CQ33" t="s">
        <v>128</v>
      </c>
      <c r="CR33" t="s">
        <v>128</v>
      </c>
      <c r="CS33" t="s">
        <v>128</v>
      </c>
      <c r="CT33" t="s">
        <v>128</v>
      </c>
      <c r="CU33" t="s">
        <v>128</v>
      </c>
      <c r="CV33" t="s">
        <v>128</v>
      </c>
      <c r="CW33" t="s">
        <v>128</v>
      </c>
    </row>
    <row r="34" spans="1:101" x14ac:dyDescent="0.25">
      <c r="A34" t="s">
        <v>120</v>
      </c>
      <c r="B34" t="s">
        <v>128</v>
      </c>
      <c r="C34" t="s">
        <v>128</v>
      </c>
      <c r="D34" t="s">
        <v>128</v>
      </c>
      <c r="E34" t="s">
        <v>128</v>
      </c>
      <c r="F34" t="s">
        <v>128</v>
      </c>
      <c r="G34" t="s">
        <v>128</v>
      </c>
      <c r="H34" t="s">
        <v>128</v>
      </c>
      <c r="I34" t="s">
        <v>128</v>
      </c>
      <c r="J34" t="s">
        <v>128</v>
      </c>
      <c r="K34" t="s">
        <v>128</v>
      </c>
      <c r="L34" t="s">
        <v>128</v>
      </c>
      <c r="M34" t="s">
        <v>128</v>
      </c>
      <c r="N34" t="s">
        <v>128</v>
      </c>
      <c r="O34" t="s">
        <v>128</v>
      </c>
      <c r="P34" t="s">
        <v>128</v>
      </c>
      <c r="Q34" t="s">
        <v>128</v>
      </c>
      <c r="R34" t="s">
        <v>128</v>
      </c>
      <c r="S34" t="s">
        <v>128</v>
      </c>
      <c r="T34" t="s">
        <v>128</v>
      </c>
      <c r="U34" t="s">
        <v>128</v>
      </c>
      <c r="V34" t="s">
        <v>128</v>
      </c>
      <c r="W34" t="s">
        <v>128</v>
      </c>
      <c r="X34" t="s">
        <v>128</v>
      </c>
      <c r="Y34" t="s">
        <v>128</v>
      </c>
      <c r="Z34" t="s">
        <v>128</v>
      </c>
      <c r="AA34" t="s">
        <v>128</v>
      </c>
      <c r="AB34" t="s">
        <v>128</v>
      </c>
      <c r="AC34" t="s">
        <v>128</v>
      </c>
      <c r="AD34" t="s">
        <v>128</v>
      </c>
      <c r="AE34" t="s">
        <v>128</v>
      </c>
      <c r="AF34" t="s">
        <v>128</v>
      </c>
      <c r="AG34" t="s">
        <v>128</v>
      </c>
      <c r="AH34" t="s">
        <v>128</v>
      </c>
      <c r="AI34" t="s">
        <v>128</v>
      </c>
      <c r="AJ34" t="s">
        <v>128</v>
      </c>
      <c r="AK34" t="s">
        <v>128</v>
      </c>
      <c r="AL34" t="s">
        <v>128</v>
      </c>
      <c r="AM34" t="s">
        <v>128</v>
      </c>
      <c r="AN34" t="s">
        <v>128</v>
      </c>
      <c r="AO34" t="s">
        <v>128</v>
      </c>
      <c r="AP34" t="s">
        <v>128</v>
      </c>
      <c r="AQ34" t="s">
        <v>128</v>
      </c>
      <c r="AR34" t="s">
        <v>128</v>
      </c>
      <c r="AS34" t="s">
        <v>128</v>
      </c>
      <c r="AT34" t="s">
        <v>128</v>
      </c>
      <c r="AU34" t="s">
        <v>128</v>
      </c>
      <c r="AV34" t="s">
        <v>128</v>
      </c>
      <c r="AW34" t="s">
        <v>128</v>
      </c>
      <c r="AX34" t="s">
        <v>128</v>
      </c>
      <c r="AY34" t="s">
        <v>128</v>
      </c>
      <c r="AZ34" t="s">
        <v>128</v>
      </c>
      <c r="BA34" t="s">
        <v>128</v>
      </c>
      <c r="BB34" t="s">
        <v>128</v>
      </c>
      <c r="BC34" t="s">
        <v>128</v>
      </c>
      <c r="BD34" t="s">
        <v>128</v>
      </c>
      <c r="BE34" t="s">
        <v>128</v>
      </c>
      <c r="BF34" t="s">
        <v>128</v>
      </c>
      <c r="BG34" t="s">
        <v>128</v>
      </c>
      <c r="BH34" t="s">
        <v>128</v>
      </c>
      <c r="BI34" t="s">
        <v>128</v>
      </c>
      <c r="BJ34" t="s">
        <v>128</v>
      </c>
      <c r="BK34" t="s">
        <v>128</v>
      </c>
      <c r="BL34" t="s">
        <v>128</v>
      </c>
      <c r="BM34" t="s">
        <v>128</v>
      </c>
      <c r="BN34" t="s">
        <v>128</v>
      </c>
      <c r="BO34" t="s">
        <v>128</v>
      </c>
      <c r="BP34" t="s">
        <v>128</v>
      </c>
      <c r="BQ34" t="s">
        <v>128</v>
      </c>
      <c r="BR34" t="s">
        <v>128</v>
      </c>
      <c r="BS34" t="s">
        <v>128</v>
      </c>
      <c r="BT34" t="s">
        <v>128</v>
      </c>
      <c r="BU34" t="s">
        <v>128</v>
      </c>
      <c r="BV34" t="s">
        <v>128</v>
      </c>
      <c r="BW34" t="s">
        <v>128</v>
      </c>
      <c r="BX34" t="s">
        <v>128</v>
      </c>
      <c r="BY34" t="s">
        <v>128</v>
      </c>
      <c r="BZ34" t="s">
        <v>128</v>
      </c>
      <c r="CA34" t="s">
        <v>128</v>
      </c>
      <c r="CB34" t="s">
        <v>128</v>
      </c>
      <c r="CC34" t="s">
        <v>128</v>
      </c>
      <c r="CD34" t="s">
        <v>128</v>
      </c>
      <c r="CE34" t="s">
        <v>128</v>
      </c>
      <c r="CF34" t="s">
        <v>128</v>
      </c>
      <c r="CG34" t="s">
        <v>128</v>
      </c>
      <c r="CH34" t="s">
        <v>128</v>
      </c>
      <c r="CI34" t="s">
        <v>128</v>
      </c>
      <c r="CJ34" t="s">
        <v>128</v>
      </c>
      <c r="CK34" t="s">
        <v>128</v>
      </c>
      <c r="CL34" t="s">
        <v>128</v>
      </c>
      <c r="CM34" t="s">
        <v>128</v>
      </c>
      <c r="CN34" t="s">
        <v>128</v>
      </c>
      <c r="CO34" t="s">
        <v>128</v>
      </c>
      <c r="CP34" t="s">
        <v>128</v>
      </c>
      <c r="CQ34" t="s">
        <v>128</v>
      </c>
      <c r="CR34" t="s">
        <v>128</v>
      </c>
      <c r="CS34" t="s">
        <v>128</v>
      </c>
      <c r="CT34" t="s">
        <v>128</v>
      </c>
      <c r="CU34" t="s">
        <v>128</v>
      </c>
      <c r="CV34" t="s">
        <v>128</v>
      </c>
      <c r="CW34" t="s">
        <v>128</v>
      </c>
    </row>
    <row r="35" spans="1:101" x14ac:dyDescent="0.25">
      <c r="A35" t="s">
        <v>122</v>
      </c>
      <c r="B35" t="s">
        <v>128</v>
      </c>
      <c r="C35" t="s">
        <v>128</v>
      </c>
      <c r="D35" t="s">
        <v>128</v>
      </c>
      <c r="E35" t="s">
        <v>128</v>
      </c>
      <c r="F35" t="s">
        <v>128</v>
      </c>
      <c r="G35" t="s">
        <v>128</v>
      </c>
      <c r="H35" t="s">
        <v>128</v>
      </c>
      <c r="I35" t="s">
        <v>128</v>
      </c>
      <c r="J35" t="s">
        <v>128</v>
      </c>
      <c r="K35" t="s">
        <v>128</v>
      </c>
      <c r="L35" t="s">
        <v>128</v>
      </c>
      <c r="M35" t="s">
        <v>128</v>
      </c>
      <c r="N35" t="s">
        <v>128</v>
      </c>
      <c r="O35" t="s">
        <v>128</v>
      </c>
      <c r="P35" t="s">
        <v>128</v>
      </c>
      <c r="Q35" t="s">
        <v>128</v>
      </c>
      <c r="R35" t="s">
        <v>128</v>
      </c>
      <c r="S35" t="s">
        <v>128</v>
      </c>
      <c r="T35" t="s">
        <v>128</v>
      </c>
      <c r="U35" t="s">
        <v>128</v>
      </c>
      <c r="V35" t="s">
        <v>128</v>
      </c>
      <c r="W35" t="s">
        <v>128</v>
      </c>
      <c r="X35" t="s">
        <v>128</v>
      </c>
      <c r="Y35" t="s">
        <v>128</v>
      </c>
      <c r="Z35" t="s">
        <v>128</v>
      </c>
      <c r="AA35" t="s">
        <v>128</v>
      </c>
      <c r="AB35" t="s">
        <v>128</v>
      </c>
      <c r="AC35" t="s">
        <v>128</v>
      </c>
      <c r="AD35" t="s">
        <v>128</v>
      </c>
      <c r="AE35" t="s">
        <v>128</v>
      </c>
      <c r="AF35" t="s">
        <v>128</v>
      </c>
      <c r="AG35" t="s">
        <v>128</v>
      </c>
      <c r="AH35" t="s">
        <v>128</v>
      </c>
      <c r="AI35" t="s">
        <v>128</v>
      </c>
      <c r="AJ35" t="s">
        <v>128</v>
      </c>
      <c r="AK35" t="s">
        <v>128</v>
      </c>
      <c r="AL35" t="s">
        <v>128</v>
      </c>
      <c r="AM35" t="s">
        <v>128</v>
      </c>
      <c r="AN35" t="s">
        <v>128</v>
      </c>
      <c r="AO35" t="s">
        <v>128</v>
      </c>
      <c r="AP35" t="s">
        <v>128</v>
      </c>
      <c r="AQ35" t="s">
        <v>128</v>
      </c>
      <c r="AR35" t="s">
        <v>128</v>
      </c>
      <c r="AS35" t="s">
        <v>128</v>
      </c>
      <c r="AT35" t="s">
        <v>128</v>
      </c>
      <c r="AU35" t="s">
        <v>128</v>
      </c>
      <c r="AV35" t="s">
        <v>128</v>
      </c>
      <c r="AW35" t="s">
        <v>128</v>
      </c>
      <c r="AX35" t="s">
        <v>128</v>
      </c>
      <c r="AY35" t="s">
        <v>128</v>
      </c>
      <c r="AZ35" t="s">
        <v>128</v>
      </c>
      <c r="BA35" t="s">
        <v>128</v>
      </c>
      <c r="BB35" t="s">
        <v>128</v>
      </c>
      <c r="BC35" t="s">
        <v>128</v>
      </c>
      <c r="BD35" t="s">
        <v>128</v>
      </c>
      <c r="BE35" t="s">
        <v>128</v>
      </c>
      <c r="BF35" t="s">
        <v>128</v>
      </c>
      <c r="BG35" t="s">
        <v>128</v>
      </c>
      <c r="BH35" t="s">
        <v>128</v>
      </c>
      <c r="BI35" t="s">
        <v>128</v>
      </c>
      <c r="BJ35" t="s">
        <v>128</v>
      </c>
      <c r="BK35" t="s">
        <v>128</v>
      </c>
      <c r="BL35" t="s">
        <v>128</v>
      </c>
      <c r="BM35" t="s">
        <v>128</v>
      </c>
      <c r="BN35" t="s">
        <v>128</v>
      </c>
      <c r="BO35" t="s">
        <v>128</v>
      </c>
      <c r="BP35" t="s">
        <v>128</v>
      </c>
      <c r="BQ35" t="s">
        <v>128</v>
      </c>
      <c r="BR35" t="s">
        <v>128</v>
      </c>
      <c r="BS35" t="s">
        <v>128</v>
      </c>
      <c r="BT35" t="s">
        <v>128</v>
      </c>
      <c r="BU35" t="s">
        <v>128</v>
      </c>
      <c r="BV35" t="s">
        <v>128</v>
      </c>
      <c r="BW35" t="s">
        <v>128</v>
      </c>
      <c r="BX35" t="s">
        <v>128</v>
      </c>
      <c r="BY35" t="s">
        <v>128</v>
      </c>
      <c r="BZ35" t="s">
        <v>128</v>
      </c>
      <c r="CA35" t="s">
        <v>128</v>
      </c>
      <c r="CB35" t="s">
        <v>128</v>
      </c>
      <c r="CC35" t="s">
        <v>128</v>
      </c>
      <c r="CD35" t="s">
        <v>128</v>
      </c>
      <c r="CE35" t="s">
        <v>128</v>
      </c>
      <c r="CF35" t="s">
        <v>128</v>
      </c>
      <c r="CG35" t="s">
        <v>128</v>
      </c>
      <c r="CH35" t="s">
        <v>128</v>
      </c>
      <c r="CI35" t="s">
        <v>128</v>
      </c>
      <c r="CJ35" t="s">
        <v>128</v>
      </c>
      <c r="CK35" t="s">
        <v>128</v>
      </c>
      <c r="CL35" t="s">
        <v>128</v>
      </c>
      <c r="CM35" t="s">
        <v>128</v>
      </c>
      <c r="CN35" t="s">
        <v>128</v>
      </c>
      <c r="CO35" t="s">
        <v>128</v>
      </c>
      <c r="CP35" t="s">
        <v>128</v>
      </c>
      <c r="CQ35" t="s">
        <v>128</v>
      </c>
      <c r="CR35" t="s">
        <v>128</v>
      </c>
      <c r="CS35" t="s">
        <v>128</v>
      </c>
      <c r="CT35" t="s">
        <v>128</v>
      </c>
      <c r="CU35" t="s">
        <v>128</v>
      </c>
      <c r="CV35" t="s">
        <v>128</v>
      </c>
      <c r="CW35" t="s">
        <v>128</v>
      </c>
    </row>
    <row r="36" spans="1:101" x14ac:dyDescent="0.25">
      <c r="A36" t="s">
        <v>123</v>
      </c>
      <c r="B36" t="s">
        <v>128</v>
      </c>
      <c r="C36" t="s">
        <v>128</v>
      </c>
      <c r="D36" t="s">
        <v>128</v>
      </c>
      <c r="E36" t="s">
        <v>128</v>
      </c>
      <c r="F36" t="s">
        <v>128</v>
      </c>
      <c r="G36" t="s">
        <v>128</v>
      </c>
      <c r="H36" t="s">
        <v>128</v>
      </c>
      <c r="I36" t="s">
        <v>128</v>
      </c>
      <c r="J36" t="s">
        <v>128</v>
      </c>
      <c r="K36" t="s">
        <v>128</v>
      </c>
      <c r="L36" t="s">
        <v>128</v>
      </c>
      <c r="M36" t="s">
        <v>128</v>
      </c>
      <c r="N36" t="s">
        <v>128</v>
      </c>
      <c r="O36" t="s">
        <v>128</v>
      </c>
      <c r="P36" t="s">
        <v>128</v>
      </c>
      <c r="Q36" t="s">
        <v>128</v>
      </c>
      <c r="R36" t="s">
        <v>128</v>
      </c>
      <c r="S36" t="s">
        <v>128</v>
      </c>
      <c r="T36" t="s">
        <v>128</v>
      </c>
      <c r="U36" t="s">
        <v>128</v>
      </c>
      <c r="V36" t="s">
        <v>128</v>
      </c>
      <c r="W36" t="s">
        <v>128</v>
      </c>
      <c r="X36" t="s">
        <v>128</v>
      </c>
      <c r="Y36" t="s">
        <v>128</v>
      </c>
      <c r="Z36" t="s">
        <v>128</v>
      </c>
      <c r="AA36" t="s">
        <v>128</v>
      </c>
      <c r="AB36" t="s">
        <v>128</v>
      </c>
      <c r="AC36" t="s">
        <v>128</v>
      </c>
      <c r="AD36" t="s">
        <v>128</v>
      </c>
      <c r="AE36" t="s">
        <v>128</v>
      </c>
      <c r="AF36" t="s">
        <v>128</v>
      </c>
      <c r="AG36" t="s">
        <v>128</v>
      </c>
      <c r="AH36" t="s">
        <v>128</v>
      </c>
      <c r="AI36" t="s">
        <v>128</v>
      </c>
      <c r="AJ36" t="s">
        <v>128</v>
      </c>
      <c r="AK36" t="s">
        <v>128</v>
      </c>
      <c r="AL36" t="s">
        <v>128</v>
      </c>
      <c r="AM36" t="s">
        <v>128</v>
      </c>
      <c r="AN36" t="s">
        <v>128</v>
      </c>
      <c r="AO36" t="s">
        <v>128</v>
      </c>
      <c r="AP36" t="s">
        <v>128</v>
      </c>
      <c r="AQ36" t="s">
        <v>128</v>
      </c>
      <c r="AR36" t="s">
        <v>128</v>
      </c>
      <c r="AS36" t="s">
        <v>128</v>
      </c>
      <c r="AT36" t="s">
        <v>128</v>
      </c>
      <c r="AU36" t="s">
        <v>128</v>
      </c>
      <c r="AV36" t="s">
        <v>128</v>
      </c>
      <c r="AW36" t="s">
        <v>128</v>
      </c>
      <c r="AX36" t="s">
        <v>128</v>
      </c>
      <c r="AY36" t="s">
        <v>128</v>
      </c>
      <c r="AZ36" t="s">
        <v>128</v>
      </c>
      <c r="BA36" t="s">
        <v>128</v>
      </c>
      <c r="BB36" t="s">
        <v>128</v>
      </c>
      <c r="BC36" t="s">
        <v>128</v>
      </c>
      <c r="BD36" t="s">
        <v>128</v>
      </c>
      <c r="BE36" t="s">
        <v>128</v>
      </c>
      <c r="BF36" t="s">
        <v>128</v>
      </c>
      <c r="BG36" t="s">
        <v>128</v>
      </c>
      <c r="BH36" t="s">
        <v>128</v>
      </c>
      <c r="BI36" t="s">
        <v>128</v>
      </c>
      <c r="BJ36" t="s">
        <v>128</v>
      </c>
      <c r="BK36" t="s">
        <v>128</v>
      </c>
      <c r="BL36" t="s">
        <v>128</v>
      </c>
      <c r="BM36" t="s">
        <v>128</v>
      </c>
      <c r="BN36" t="s">
        <v>128</v>
      </c>
      <c r="BO36" t="s">
        <v>128</v>
      </c>
      <c r="BP36" t="s">
        <v>128</v>
      </c>
      <c r="BQ36" t="s">
        <v>128</v>
      </c>
      <c r="BR36" t="s">
        <v>128</v>
      </c>
      <c r="BS36" t="s">
        <v>128</v>
      </c>
      <c r="BT36" t="s">
        <v>128</v>
      </c>
      <c r="BU36" t="s">
        <v>128</v>
      </c>
      <c r="BV36" t="s">
        <v>128</v>
      </c>
      <c r="BW36" t="s">
        <v>128</v>
      </c>
      <c r="BX36" t="s">
        <v>128</v>
      </c>
      <c r="BY36" t="s">
        <v>128</v>
      </c>
      <c r="BZ36" t="s">
        <v>128</v>
      </c>
      <c r="CA36" t="s">
        <v>128</v>
      </c>
      <c r="CB36" t="s">
        <v>128</v>
      </c>
      <c r="CC36" t="s">
        <v>128</v>
      </c>
      <c r="CD36" t="s">
        <v>128</v>
      </c>
      <c r="CE36" t="s">
        <v>128</v>
      </c>
      <c r="CF36" t="s">
        <v>128</v>
      </c>
      <c r="CG36" t="s">
        <v>128</v>
      </c>
      <c r="CH36" t="s">
        <v>128</v>
      </c>
      <c r="CI36" t="s">
        <v>128</v>
      </c>
      <c r="CJ36" t="s">
        <v>128</v>
      </c>
      <c r="CK36" t="s">
        <v>128</v>
      </c>
      <c r="CL36" t="s">
        <v>128</v>
      </c>
      <c r="CM36" t="s">
        <v>128</v>
      </c>
      <c r="CN36" t="s">
        <v>128</v>
      </c>
      <c r="CO36" t="s">
        <v>128</v>
      </c>
      <c r="CP36" t="s">
        <v>128</v>
      </c>
      <c r="CQ36" t="s">
        <v>128</v>
      </c>
      <c r="CR36" t="s">
        <v>128</v>
      </c>
      <c r="CS36" t="s">
        <v>128</v>
      </c>
      <c r="CT36" t="s">
        <v>128</v>
      </c>
      <c r="CU36" t="s">
        <v>128</v>
      </c>
      <c r="CV36" t="s">
        <v>128</v>
      </c>
      <c r="CW36" t="s">
        <v>128</v>
      </c>
    </row>
    <row r="37" spans="1:101" x14ac:dyDescent="0.25">
      <c r="A37" t="s">
        <v>124</v>
      </c>
      <c r="B37" t="s">
        <v>128</v>
      </c>
      <c r="C37" t="s">
        <v>128</v>
      </c>
      <c r="D37" t="s">
        <v>128</v>
      </c>
      <c r="E37" t="s">
        <v>128</v>
      </c>
      <c r="F37" t="s">
        <v>128</v>
      </c>
      <c r="G37" t="s">
        <v>128</v>
      </c>
      <c r="H37" t="s">
        <v>128</v>
      </c>
      <c r="I37" t="s">
        <v>128</v>
      </c>
      <c r="J37" t="s">
        <v>128</v>
      </c>
      <c r="K37" t="s">
        <v>128</v>
      </c>
      <c r="L37" t="s">
        <v>128</v>
      </c>
      <c r="M37" t="s">
        <v>128</v>
      </c>
      <c r="N37" t="s">
        <v>128</v>
      </c>
      <c r="O37" t="s">
        <v>128</v>
      </c>
      <c r="P37" t="s">
        <v>128</v>
      </c>
      <c r="Q37" t="s">
        <v>128</v>
      </c>
      <c r="R37" t="s">
        <v>128</v>
      </c>
      <c r="S37" t="s">
        <v>128</v>
      </c>
      <c r="T37" t="s">
        <v>128</v>
      </c>
      <c r="U37" t="s">
        <v>128</v>
      </c>
      <c r="V37" t="s">
        <v>128</v>
      </c>
      <c r="W37" t="s">
        <v>128</v>
      </c>
      <c r="X37" t="s">
        <v>128</v>
      </c>
      <c r="Y37" t="s">
        <v>128</v>
      </c>
      <c r="Z37" t="s">
        <v>128</v>
      </c>
      <c r="AA37" t="s">
        <v>128</v>
      </c>
      <c r="AB37" t="s">
        <v>128</v>
      </c>
      <c r="AC37" t="s">
        <v>128</v>
      </c>
      <c r="AD37" t="s">
        <v>128</v>
      </c>
      <c r="AE37" t="s">
        <v>128</v>
      </c>
      <c r="AF37" t="s">
        <v>128</v>
      </c>
      <c r="AG37" t="s">
        <v>128</v>
      </c>
      <c r="AH37" t="s">
        <v>128</v>
      </c>
      <c r="AI37" t="s">
        <v>128</v>
      </c>
      <c r="AJ37" t="s">
        <v>128</v>
      </c>
      <c r="AK37" t="s">
        <v>128</v>
      </c>
      <c r="AL37" t="s">
        <v>128</v>
      </c>
      <c r="AM37" t="s">
        <v>128</v>
      </c>
      <c r="AN37" t="s">
        <v>128</v>
      </c>
      <c r="AO37" t="s">
        <v>128</v>
      </c>
      <c r="AP37" t="s">
        <v>128</v>
      </c>
      <c r="AQ37" t="s">
        <v>128</v>
      </c>
      <c r="AR37" t="s">
        <v>128</v>
      </c>
      <c r="AS37" t="s">
        <v>128</v>
      </c>
      <c r="AT37" t="s">
        <v>128</v>
      </c>
      <c r="AU37" t="s">
        <v>128</v>
      </c>
      <c r="AV37" t="s">
        <v>128</v>
      </c>
      <c r="AW37" t="s">
        <v>128</v>
      </c>
      <c r="AX37" t="s">
        <v>128</v>
      </c>
      <c r="AY37" t="s">
        <v>128</v>
      </c>
      <c r="AZ37" t="s">
        <v>128</v>
      </c>
      <c r="BA37" t="s">
        <v>128</v>
      </c>
      <c r="BB37" t="s">
        <v>128</v>
      </c>
      <c r="BC37" t="s">
        <v>128</v>
      </c>
      <c r="BD37" t="s">
        <v>128</v>
      </c>
      <c r="BE37" t="s">
        <v>128</v>
      </c>
      <c r="BF37" t="s">
        <v>128</v>
      </c>
      <c r="BG37" t="s">
        <v>128</v>
      </c>
      <c r="BH37" t="s">
        <v>128</v>
      </c>
      <c r="BI37" t="s">
        <v>128</v>
      </c>
      <c r="BJ37" t="s">
        <v>128</v>
      </c>
      <c r="BK37" t="s">
        <v>128</v>
      </c>
      <c r="BL37" t="s">
        <v>128</v>
      </c>
      <c r="BM37" t="s">
        <v>128</v>
      </c>
      <c r="BN37" t="s">
        <v>128</v>
      </c>
      <c r="BO37" t="s">
        <v>128</v>
      </c>
      <c r="BP37" t="s">
        <v>128</v>
      </c>
      <c r="BQ37" t="s">
        <v>128</v>
      </c>
      <c r="BR37" t="s">
        <v>128</v>
      </c>
      <c r="BS37" t="s">
        <v>128</v>
      </c>
      <c r="BT37" t="s">
        <v>128</v>
      </c>
      <c r="BU37" t="s">
        <v>128</v>
      </c>
      <c r="BV37" t="s">
        <v>128</v>
      </c>
      <c r="BW37" t="s">
        <v>128</v>
      </c>
      <c r="BX37" t="s">
        <v>128</v>
      </c>
      <c r="BY37" t="s">
        <v>128</v>
      </c>
      <c r="BZ37" t="s">
        <v>128</v>
      </c>
      <c r="CA37" t="s">
        <v>128</v>
      </c>
      <c r="CB37" t="s">
        <v>128</v>
      </c>
      <c r="CC37" t="s">
        <v>128</v>
      </c>
      <c r="CD37" t="s">
        <v>128</v>
      </c>
      <c r="CE37" t="s">
        <v>128</v>
      </c>
      <c r="CF37" t="s">
        <v>128</v>
      </c>
      <c r="CG37" t="s">
        <v>128</v>
      </c>
      <c r="CH37" t="s">
        <v>128</v>
      </c>
      <c r="CI37" t="s">
        <v>128</v>
      </c>
      <c r="CJ37" t="s">
        <v>128</v>
      </c>
      <c r="CK37" t="s">
        <v>128</v>
      </c>
      <c r="CL37" t="s">
        <v>128</v>
      </c>
      <c r="CM37" t="s">
        <v>128</v>
      </c>
      <c r="CN37" t="s">
        <v>128</v>
      </c>
      <c r="CO37" t="s">
        <v>128</v>
      </c>
      <c r="CP37" t="s">
        <v>128</v>
      </c>
      <c r="CQ37" t="s">
        <v>128</v>
      </c>
      <c r="CR37" t="s">
        <v>128</v>
      </c>
      <c r="CS37" t="s">
        <v>128</v>
      </c>
      <c r="CT37" t="s">
        <v>128</v>
      </c>
      <c r="CU37" t="s">
        <v>128</v>
      </c>
      <c r="CV37" t="s">
        <v>128</v>
      </c>
      <c r="CW37" t="s">
        <v>128</v>
      </c>
    </row>
    <row r="38" spans="1:101" x14ac:dyDescent="0.25">
      <c r="A38" t="s">
        <v>125</v>
      </c>
      <c r="B38" t="s">
        <v>128</v>
      </c>
      <c r="C38" t="s">
        <v>128</v>
      </c>
      <c r="D38" t="s">
        <v>128</v>
      </c>
      <c r="E38" t="s">
        <v>128</v>
      </c>
      <c r="F38" t="s">
        <v>128</v>
      </c>
      <c r="G38" t="s">
        <v>128</v>
      </c>
      <c r="H38" t="s">
        <v>128</v>
      </c>
      <c r="I38" t="s">
        <v>128</v>
      </c>
      <c r="J38" t="s">
        <v>128</v>
      </c>
      <c r="K38" t="s">
        <v>128</v>
      </c>
      <c r="L38" t="s">
        <v>128</v>
      </c>
      <c r="M38" t="s">
        <v>128</v>
      </c>
      <c r="N38" t="s">
        <v>128</v>
      </c>
      <c r="O38" t="s">
        <v>128</v>
      </c>
      <c r="P38" t="s">
        <v>128</v>
      </c>
      <c r="Q38" t="s">
        <v>128</v>
      </c>
      <c r="R38" t="s">
        <v>128</v>
      </c>
      <c r="S38" t="s">
        <v>128</v>
      </c>
      <c r="T38" t="s">
        <v>128</v>
      </c>
      <c r="U38" t="s">
        <v>128</v>
      </c>
      <c r="V38" t="s">
        <v>128</v>
      </c>
      <c r="W38" t="s">
        <v>128</v>
      </c>
      <c r="X38" t="s">
        <v>128</v>
      </c>
      <c r="Y38" t="s">
        <v>128</v>
      </c>
      <c r="Z38" t="s">
        <v>128</v>
      </c>
      <c r="AA38" t="s">
        <v>128</v>
      </c>
      <c r="AB38" t="s">
        <v>128</v>
      </c>
      <c r="AC38" t="s">
        <v>128</v>
      </c>
      <c r="AD38" t="s">
        <v>128</v>
      </c>
      <c r="AE38" t="s">
        <v>128</v>
      </c>
      <c r="AF38" t="s">
        <v>128</v>
      </c>
      <c r="AG38" t="s">
        <v>128</v>
      </c>
      <c r="AH38" t="s">
        <v>128</v>
      </c>
      <c r="AI38" t="s">
        <v>128</v>
      </c>
      <c r="AJ38" t="s">
        <v>128</v>
      </c>
      <c r="AK38" t="s">
        <v>128</v>
      </c>
      <c r="AL38" t="s">
        <v>128</v>
      </c>
      <c r="AM38" t="s">
        <v>128</v>
      </c>
      <c r="AN38" t="s">
        <v>128</v>
      </c>
      <c r="AO38" t="s">
        <v>128</v>
      </c>
      <c r="AP38" t="s">
        <v>128</v>
      </c>
      <c r="AQ38" t="s">
        <v>128</v>
      </c>
      <c r="AR38" t="s">
        <v>128</v>
      </c>
      <c r="AS38" t="s">
        <v>128</v>
      </c>
      <c r="AT38" t="s">
        <v>128</v>
      </c>
      <c r="AU38" t="s">
        <v>128</v>
      </c>
      <c r="AV38" t="s">
        <v>128</v>
      </c>
      <c r="AW38" t="s">
        <v>128</v>
      </c>
      <c r="AX38" t="s">
        <v>128</v>
      </c>
      <c r="AY38" t="s">
        <v>128</v>
      </c>
      <c r="AZ38" t="s">
        <v>128</v>
      </c>
      <c r="BA38" t="s">
        <v>128</v>
      </c>
      <c r="BB38" t="s">
        <v>128</v>
      </c>
      <c r="BC38" t="s">
        <v>128</v>
      </c>
      <c r="BD38" t="s">
        <v>128</v>
      </c>
      <c r="BE38" t="s">
        <v>128</v>
      </c>
      <c r="BF38" t="s">
        <v>128</v>
      </c>
      <c r="BG38" t="s">
        <v>128</v>
      </c>
      <c r="BH38" t="s">
        <v>128</v>
      </c>
      <c r="BI38" t="s">
        <v>128</v>
      </c>
      <c r="BJ38" t="s">
        <v>128</v>
      </c>
      <c r="BK38" t="s">
        <v>128</v>
      </c>
      <c r="BL38" t="s">
        <v>128</v>
      </c>
      <c r="BM38" t="s">
        <v>128</v>
      </c>
      <c r="BN38" t="s">
        <v>128</v>
      </c>
      <c r="BO38" t="s">
        <v>128</v>
      </c>
      <c r="BP38" t="s">
        <v>128</v>
      </c>
      <c r="BQ38" t="s">
        <v>128</v>
      </c>
      <c r="BR38" t="s">
        <v>128</v>
      </c>
      <c r="BS38" t="s">
        <v>128</v>
      </c>
      <c r="BT38" t="s">
        <v>128</v>
      </c>
      <c r="BU38" t="s">
        <v>128</v>
      </c>
      <c r="BV38" t="s">
        <v>128</v>
      </c>
      <c r="BW38" t="s">
        <v>128</v>
      </c>
      <c r="BX38" t="s">
        <v>128</v>
      </c>
      <c r="BY38" t="s">
        <v>128</v>
      </c>
      <c r="BZ38" t="s">
        <v>128</v>
      </c>
      <c r="CA38" t="s">
        <v>128</v>
      </c>
      <c r="CB38" t="s">
        <v>128</v>
      </c>
      <c r="CC38" t="s">
        <v>128</v>
      </c>
      <c r="CD38" t="s">
        <v>128</v>
      </c>
      <c r="CE38" t="s">
        <v>128</v>
      </c>
      <c r="CF38" t="s">
        <v>128</v>
      </c>
      <c r="CG38" t="s">
        <v>128</v>
      </c>
      <c r="CH38" t="s">
        <v>128</v>
      </c>
      <c r="CI38" t="s">
        <v>128</v>
      </c>
      <c r="CJ38" t="s">
        <v>128</v>
      </c>
      <c r="CK38" t="s">
        <v>128</v>
      </c>
      <c r="CL38" t="s">
        <v>128</v>
      </c>
      <c r="CM38" t="s">
        <v>128</v>
      </c>
      <c r="CN38" t="s">
        <v>128</v>
      </c>
      <c r="CO38" t="s">
        <v>128</v>
      </c>
      <c r="CP38" t="s">
        <v>128</v>
      </c>
      <c r="CQ38" t="s">
        <v>128</v>
      </c>
      <c r="CR38" t="s">
        <v>128</v>
      </c>
      <c r="CS38" t="s">
        <v>128</v>
      </c>
      <c r="CT38" t="s">
        <v>128</v>
      </c>
      <c r="CU38" t="s">
        <v>128</v>
      </c>
      <c r="CV38" t="s">
        <v>128</v>
      </c>
      <c r="CW38" t="s">
        <v>128</v>
      </c>
    </row>
    <row r="39" spans="1:101" x14ac:dyDescent="0.25">
      <c r="A39" t="s">
        <v>126</v>
      </c>
      <c r="B39" t="s">
        <v>128</v>
      </c>
      <c r="C39" t="s">
        <v>128</v>
      </c>
      <c r="D39" t="s">
        <v>128</v>
      </c>
      <c r="E39" t="s">
        <v>128</v>
      </c>
      <c r="F39" t="s">
        <v>128</v>
      </c>
      <c r="G39" t="s">
        <v>128</v>
      </c>
      <c r="H39" t="s">
        <v>128</v>
      </c>
      <c r="I39" t="s">
        <v>128</v>
      </c>
      <c r="J39" t="s">
        <v>128</v>
      </c>
      <c r="K39" t="s">
        <v>128</v>
      </c>
      <c r="L39" t="s">
        <v>128</v>
      </c>
      <c r="M39" t="s">
        <v>128</v>
      </c>
      <c r="N39" t="s">
        <v>128</v>
      </c>
      <c r="O39" t="s">
        <v>128</v>
      </c>
      <c r="P39" t="s">
        <v>128</v>
      </c>
      <c r="Q39" t="s">
        <v>128</v>
      </c>
      <c r="R39" t="s">
        <v>128</v>
      </c>
      <c r="S39" t="s">
        <v>128</v>
      </c>
      <c r="T39" t="s">
        <v>128</v>
      </c>
      <c r="U39" t="s">
        <v>128</v>
      </c>
      <c r="V39" t="s">
        <v>128</v>
      </c>
      <c r="W39" t="s">
        <v>128</v>
      </c>
      <c r="X39" t="s">
        <v>128</v>
      </c>
      <c r="Y39" t="s">
        <v>128</v>
      </c>
      <c r="Z39" t="s">
        <v>128</v>
      </c>
      <c r="AA39" t="s">
        <v>128</v>
      </c>
      <c r="AB39" t="s">
        <v>128</v>
      </c>
      <c r="AC39" t="s">
        <v>128</v>
      </c>
      <c r="AD39" t="s">
        <v>128</v>
      </c>
      <c r="AE39" t="s">
        <v>128</v>
      </c>
      <c r="AF39" t="s">
        <v>128</v>
      </c>
      <c r="AG39" t="s">
        <v>128</v>
      </c>
      <c r="AH39" t="s">
        <v>128</v>
      </c>
      <c r="AI39" t="s">
        <v>128</v>
      </c>
      <c r="AJ39" t="s">
        <v>128</v>
      </c>
      <c r="AK39" t="s">
        <v>128</v>
      </c>
      <c r="AL39" t="s">
        <v>128</v>
      </c>
      <c r="AM39" t="s">
        <v>128</v>
      </c>
      <c r="AN39" t="s">
        <v>128</v>
      </c>
      <c r="AO39" t="s">
        <v>128</v>
      </c>
      <c r="AP39" t="s">
        <v>128</v>
      </c>
      <c r="AQ39" t="s">
        <v>128</v>
      </c>
      <c r="AR39" t="s">
        <v>128</v>
      </c>
      <c r="AS39" t="s">
        <v>128</v>
      </c>
      <c r="AT39" t="s">
        <v>128</v>
      </c>
      <c r="AU39" t="s">
        <v>128</v>
      </c>
      <c r="AV39" t="s">
        <v>128</v>
      </c>
      <c r="AW39" t="s">
        <v>128</v>
      </c>
      <c r="AX39" t="s">
        <v>128</v>
      </c>
      <c r="AY39" t="s">
        <v>128</v>
      </c>
      <c r="AZ39" t="s">
        <v>128</v>
      </c>
      <c r="BA39" t="s">
        <v>128</v>
      </c>
      <c r="BB39" t="s">
        <v>128</v>
      </c>
      <c r="BC39" t="s">
        <v>128</v>
      </c>
      <c r="BD39" t="s">
        <v>128</v>
      </c>
      <c r="BE39" t="s">
        <v>128</v>
      </c>
      <c r="BF39" t="s">
        <v>128</v>
      </c>
      <c r="BG39" t="s">
        <v>128</v>
      </c>
      <c r="BH39" t="s">
        <v>128</v>
      </c>
      <c r="BI39" t="s">
        <v>128</v>
      </c>
      <c r="BJ39" t="s">
        <v>128</v>
      </c>
      <c r="BK39" t="s">
        <v>128</v>
      </c>
      <c r="BL39" t="s">
        <v>128</v>
      </c>
      <c r="BM39" t="s">
        <v>128</v>
      </c>
      <c r="BN39" t="s">
        <v>128</v>
      </c>
      <c r="BO39" t="s">
        <v>128</v>
      </c>
      <c r="BP39" t="s">
        <v>128</v>
      </c>
      <c r="BQ39" t="s">
        <v>128</v>
      </c>
      <c r="BR39" t="s">
        <v>128</v>
      </c>
      <c r="BS39" t="s">
        <v>128</v>
      </c>
      <c r="BT39" t="s">
        <v>128</v>
      </c>
      <c r="BU39" t="s">
        <v>128</v>
      </c>
      <c r="BV39" t="s">
        <v>128</v>
      </c>
      <c r="BW39" t="s">
        <v>128</v>
      </c>
      <c r="BX39" t="s">
        <v>128</v>
      </c>
      <c r="BY39" t="s">
        <v>128</v>
      </c>
      <c r="BZ39" t="s">
        <v>128</v>
      </c>
      <c r="CA39" t="s">
        <v>128</v>
      </c>
      <c r="CB39" t="s">
        <v>128</v>
      </c>
      <c r="CC39" t="s">
        <v>128</v>
      </c>
      <c r="CD39" t="s">
        <v>128</v>
      </c>
      <c r="CE39" t="s">
        <v>128</v>
      </c>
      <c r="CF39" t="s">
        <v>128</v>
      </c>
      <c r="CG39" t="s">
        <v>128</v>
      </c>
      <c r="CH39" t="s">
        <v>128</v>
      </c>
      <c r="CI39" t="s">
        <v>128</v>
      </c>
      <c r="CJ39" t="s">
        <v>128</v>
      </c>
      <c r="CK39" t="s">
        <v>128</v>
      </c>
      <c r="CL39" t="s">
        <v>128</v>
      </c>
      <c r="CM39" t="s">
        <v>128</v>
      </c>
      <c r="CN39" t="s">
        <v>128</v>
      </c>
      <c r="CO39" t="s">
        <v>128</v>
      </c>
      <c r="CP39" t="s">
        <v>128</v>
      </c>
      <c r="CQ39" t="s">
        <v>128</v>
      </c>
      <c r="CR39" t="s">
        <v>128</v>
      </c>
      <c r="CS39" t="s">
        <v>128</v>
      </c>
      <c r="CT39" t="s">
        <v>128</v>
      </c>
      <c r="CU39" t="s">
        <v>128</v>
      </c>
      <c r="CV39" t="s">
        <v>128</v>
      </c>
      <c r="CW39" t="s">
        <v>128</v>
      </c>
    </row>
    <row r="40" spans="1:101" x14ac:dyDescent="0.25">
      <c r="A40" t="s">
        <v>127</v>
      </c>
      <c r="B40" t="s">
        <v>128</v>
      </c>
      <c r="C40" t="s">
        <v>128</v>
      </c>
      <c r="D40" t="s">
        <v>128</v>
      </c>
      <c r="E40" t="s">
        <v>128</v>
      </c>
      <c r="F40" t="s">
        <v>128</v>
      </c>
      <c r="G40" t="s">
        <v>128</v>
      </c>
      <c r="H40" t="s">
        <v>128</v>
      </c>
      <c r="I40" t="s">
        <v>128</v>
      </c>
      <c r="J40" t="s">
        <v>128</v>
      </c>
      <c r="K40" t="s">
        <v>128</v>
      </c>
      <c r="L40" t="s">
        <v>128</v>
      </c>
      <c r="M40" t="s">
        <v>128</v>
      </c>
      <c r="N40" t="s">
        <v>128</v>
      </c>
      <c r="O40" t="s">
        <v>128</v>
      </c>
      <c r="P40" t="s">
        <v>128</v>
      </c>
      <c r="Q40" t="s">
        <v>128</v>
      </c>
      <c r="R40" t="s">
        <v>128</v>
      </c>
      <c r="S40" t="s">
        <v>128</v>
      </c>
      <c r="T40" t="s">
        <v>128</v>
      </c>
      <c r="U40" t="s">
        <v>128</v>
      </c>
      <c r="V40" t="s">
        <v>128</v>
      </c>
      <c r="W40" t="s">
        <v>128</v>
      </c>
      <c r="X40" t="s">
        <v>128</v>
      </c>
      <c r="Y40" t="s">
        <v>128</v>
      </c>
      <c r="Z40" t="s">
        <v>128</v>
      </c>
      <c r="AA40" t="s">
        <v>128</v>
      </c>
      <c r="AB40" t="s">
        <v>128</v>
      </c>
      <c r="AC40" t="s">
        <v>128</v>
      </c>
      <c r="AD40" t="s">
        <v>128</v>
      </c>
      <c r="AE40" t="s">
        <v>128</v>
      </c>
      <c r="AF40" t="s">
        <v>128</v>
      </c>
      <c r="AG40" t="s">
        <v>128</v>
      </c>
      <c r="AH40" t="s">
        <v>128</v>
      </c>
      <c r="AI40" t="s">
        <v>128</v>
      </c>
      <c r="AJ40" t="s">
        <v>128</v>
      </c>
      <c r="AK40" t="s">
        <v>128</v>
      </c>
      <c r="AL40" t="s">
        <v>128</v>
      </c>
      <c r="AM40" t="s">
        <v>128</v>
      </c>
      <c r="AN40" t="s">
        <v>128</v>
      </c>
      <c r="AO40" t="s">
        <v>128</v>
      </c>
      <c r="AP40" t="s">
        <v>128</v>
      </c>
      <c r="AQ40" t="s">
        <v>128</v>
      </c>
      <c r="AR40" t="s">
        <v>128</v>
      </c>
      <c r="AS40" t="s">
        <v>128</v>
      </c>
      <c r="AT40" t="s">
        <v>128</v>
      </c>
      <c r="AU40" t="s">
        <v>128</v>
      </c>
      <c r="AV40" t="s">
        <v>128</v>
      </c>
      <c r="AW40" t="s">
        <v>128</v>
      </c>
      <c r="AX40" t="s">
        <v>128</v>
      </c>
      <c r="AY40" t="s">
        <v>128</v>
      </c>
      <c r="AZ40" t="s">
        <v>128</v>
      </c>
      <c r="BA40" t="s">
        <v>128</v>
      </c>
      <c r="BB40" t="s">
        <v>128</v>
      </c>
      <c r="BC40" t="s">
        <v>128</v>
      </c>
      <c r="BD40" t="s">
        <v>128</v>
      </c>
      <c r="BE40" t="s">
        <v>128</v>
      </c>
      <c r="BF40" t="s">
        <v>128</v>
      </c>
      <c r="BG40" t="s">
        <v>128</v>
      </c>
      <c r="BH40" t="s">
        <v>128</v>
      </c>
      <c r="BI40" t="s">
        <v>128</v>
      </c>
      <c r="BJ40" t="s">
        <v>128</v>
      </c>
      <c r="BK40" t="s">
        <v>128</v>
      </c>
      <c r="BL40" t="s">
        <v>128</v>
      </c>
      <c r="BM40" t="s">
        <v>128</v>
      </c>
      <c r="BN40" t="s">
        <v>128</v>
      </c>
      <c r="BO40" t="s">
        <v>128</v>
      </c>
      <c r="BP40" t="s">
        <v>128</v>
      </c>
      <c r="BQ40" t="s">
        <v>128</v>
      </c>
      <c r="BR40" t="s">
        <v>128</v>
      </c>
      <c r="BS40" t="s">
        <v>128</v>
      </c>
      <c r="BT40" t="s">
        <v>128</v>
      </c>
      <c r="BU40" t="s">
        <v>128</v>
      </c>
      <c r="BV40" t="s">
        <v>128</v>
      </c>
      <c r="BW40" t="s">
        <v>128</v>
      </c>
      <c r="BX40" t="s">
        <v>128</v>
      </c>
      <c r="BY40" t="s">
        <v>128</v>
      </c>
      <c r="BZ40" t="s">
        <v>128</v>
      </c>
      <c r="CA40" t="s">
        <v>128</v>
      </c>
      <c r="CB40" t="s">
        <v>128</v>
      </c>
      <c r="CC40" t="s">
        <v>128</v>
      </c>
      <c r="CD40" t="s">
        <v>128</v>
      </c>
      <c r="CE40" t="s">
        <v>128</v>
      </c>
      <c r="CF40" t="s">
        <v>128</v>
      </c>
      <c r="CG40" t="s">
        <v>128</v>
      </c>
      <c r="CH40" t="s">
        <v>128</v>
      </c>
      <c r="CI40" t="s">
        <v>128</v>
      </c>
      <c r="CJ40" t="s">
        <v>128</v>
      </c>
      <c r="CK40" t="s">
        <v>128</v>
      </c>
      <c r="CL40" t="s">
        <v>128</v>
      </c>
      <c r="CM40" t="s">
        <v>128</v>
      </c>
      <c r="CN40" t="s">
        <v>128</v>
      </c>
      <c r="CO40" t="s">
        <v>128</v>
      </c>
      <c r="CP40" t="s">
        <v>128</v>
      </c>
      <c r="CQ40" t="s">
        <v>128</v>
      </c>
      <c r="CR40" t="s">
        <v>128</v>
      </c>
      <c r="CS40" t="s">
        <v>128</v>
      </c>
      <c r="CT40" t="s">
        <v>128</v>
      </c>
      <c r="CU40" t="s">
        <v>128</v>
      </c>
      <c r="CV40" t="s">
        <v>128</v>
      </c>
      <c r="CW40" t="s">
        <v>128</v>
      </c>
    </row>
    <row r="41" spans="1:101" x14ac:dyDescent="0.25">
      <c r="A41" t="s">
        <v>81</v>
      </c>
      <c r="B41" t="s">
        <v>128</v>
      </c>
      <c r="C41" t="s">
        <v>128</v>
      </c>
      <c r="D41" t="s">
        <v>128</v>
      </c>
      <c r="E41" t="s">
        <v>128</v>
      </c>
      <c r="F41" t="s">
        <v>128</v>
      </c>
      <c r="G41" t="s">
        <v>128</v>
      </c>
      <c r="H41" t="s">
        <v>128</v>
      </c>
      <c r="I41" t="s">
        <v>128</v>
      </c>
      <c r="J41" t="s">
        <v>128</v>
      </c>
      <c r="K41" t="s">
        <v>128</v>
      </c>
      <c r="L41" t="s">
        <v>128</v>
      </c>
      <c r="M41" t="s">
        <v>128</v>
      </c>
      <c r="N41" t="s">
        <v>128</v>
      </c>
      <c r="O41" t="s">
        <v>128</v>
      </c>
      <c r="P41" t="s">
        <v>128</v>
      </c>
      <c r="Q41" t="s">
        <v>128</v>
      </c>
      <c r="R41" t="s">
        <v>128</v>
      </c>
      <c r="S41" t="s">
        <v>128</v>
      </c>
      <c r="T41" t="s">
        <v>128</v>
      </c>
      <c r="U41" t="s">
        <v>128</v>
      </c>
      <c r="V41" t="s">
        <v>128</v>
      </c>
      <c r="W41" t="s">
        <v>128</v>
      </c>
      <c r="X41" t="s">
        <v>128</v>
      </c>
      <c r="Y41" t="s">
        <v>128</v>
      </c>
      <c r="Z41" t="s">
        <v>128</v>
      </c>
      <c r="AA41" t="s">
        <v>128</v>
      </c>
      <c r="AB41" t="s">
        <v>128</v>
      </c>
      <c r="AC41" t="s">
        <v>128</v>
      </c>
      <c r="AD41" t="s">
        <v>128</v>
      </c>
      <c r="AE41" t="s">
        <v>128</v>
      </c>
      <c r="AF41" t="s">
        <v>128</v>
      </c>
      <c r="AG41" t="s">
        <v>128</v>
      </c>
      <c r="AH41" t="s">
        <v>128</v>
      </c>
      <c r="AI41" t="s">
        <v>128</v>
      </c>
      <c r="AJ41" t="s">
        <v>128</v>
      </c>
      <c r="AK41" t="s">
        <v>128</v>
      </c>
      <c r="AL41" t="s">
        <v>128</v>
      </c>
      <c r="AM41" t="s">
        <v>128</v>
      </c>
      <c r="AN41" t="s">
        <v>128</v>
      </c>
      <c r="AO41" t="s">
        <v>128</v>
      </c>
      <c r="AP41" t="s">
        <v>128</v>
      </c>
      <c r="AQ41" t="s">
        <v>128</v>
      </c>
      <c r="AR41" t="s">
        <v>128</v>
      </c>
      <c r="AS41" t="s">
        <v>128</v>
      </c>
      <c r="AT41" t="s">
        <v>128</v>
      </c>
      <c r="AU41" t="s">
        <v>128</v>
      </c>
      <c r="AV41" t="s">
        <v>128</v>
      </c>
      <c r="AW41" t="s">
        <v>128</v>
      </c>
      <c r="AX41" t="s">
        <v>128</v>
      </c>
      <c r="AY41" t="s">
        <v>128</v>
      </c>
      <c r="AZ41" t="s">
        <v>128</v>
      </c>
      <c r="BA41" t="s">
        <v>128</v>
      </c>
      <c r="BB41" t="s">
        <v>128</v>
      </c>
      <c r="BC41" t="s">
        <v>128</v>
      </c>
      <c r="BD41" t="s">
        <v>128</v>
      </c>
      <c r="BE41" t="s">
        <v>128</v>
      </c>
      <c r="BF41" t="s">
        <v>128</v>
      </c>
      <c r="BG41" t="s">
        <v>128</v>
      </c>
      <c r="BH41" t="s">
        <v>128</v>
      </c>
      <c r="BI41" t="s">
        <v>128</v>
      </c>
      <c r="BJ41" t="s">
        <v>128</v>
      </c>
      <c r="BK41" t="s">
        <v>128</v>
      </c>
      <c r="BL41" t="s">
        <v>128</v>
      </c>
      <c r="BM41" t="s">
        <v>128</v>
      </c>
      <c r="BN41" t="s">
        <v>128</v>
      </c>
      <c r="BO41" t="s">
        <v>128</v>
      </c>
      <c r="BP41" t="s">
        <v>128</v>
      </c>
      <c r="BQ41" t="s">
        <v>128</v>
      </c>
      <c r="BR41" t="s">
        <v>128</v>
      </c>
      <c r="BS41" t="s">
        <v>128</v>
      </c>
      <c r="BT41" t="s">
        <v>128</v>
      </c>
      <c r="BU41" t="s">
        <v>128</v>
      </c>
      <c r="BV41" t="s">
        <v>128</v>
      </c>
      <c r="BW41" t="s">
        <v>128</v>
      </c>
      <c r="BX41" t="s">
        <v>128</v>
      </c>
      <c r="BY41" t="s">
        <v>128</v>
      </c>
      <c r="BZ41" t="s">
        <v>128</v>
      </c>
      <c r="CA41" t="s">
        <v>128</v>
      </c>
      <c r="CB41" t="s">
        <v>128</v>
      </c>
      <c r="CC41" t="s">
        <v>128</v>
      </c>
      <c r="CD41" t="s">
        <v>128</v>
      </c>
      <c r="CE41" t="s">
        <v>128</v>
      </c>
      <c r="CF41" t="s">
        <v>128</v>
      </c>
      <c r="CG41" t="s">
        <v>128</v>
      </c>
      <c r="CH41" t="s">
        <v>128</v>
      </c>
      <c r="CI41" t="s">
        <v>128</v>
      </c>
      <c r="CJ41" t="s">
        <v>128</v>
      </c>
      <c r="CK41" t="s">
        <v>128</v>
      </c>
      <c r="CL41" t="s">
        <v>128</v>
      </c>
      <c r="CM41" t="s">
        <v>129</v>
      </c>
      <c r="CN41" t="s">
        <v>129</v>
      </c>
      <c r="CO41" t="s">
        <v>129</v>
      </c>
      <c r="CP41" t="s">
        <v>129</v>
      </c>
      <c r="CQ41" t="s">
        <v>129</v>
      </c>
      <c r="CR41" t="s">
        <v>129</v>
      </c>
      <c r="CS41" t="s">
        <v>129</v>
      </c>
      <c r="CT41" t="s">
        <v>129</v>
      </c>
      <c r="CU41" t="s">
        <v>129</v>
      </c>
      <c r="CV41" t="s">
        <v>129</v>
      </c>
      <c r="CW41" t="s">
        <v>129</v>
      </c>
    </row>
    <row r="42" spans="1:101" x14ac:dyDescent="0.25">
      <c r="A42" t="s">
        <v>82</v>
      </c>
      <c r="B42" t="s">
        <v>128</v>
      </c>
      <c r="C42" t="s">
        <v>128</v>
      </c>
      <c r="D42" t="s">
        <v>128</v>
      </c>
      <c r="E42" t="s">
        <v>128</v>
      </c>
      <c r="F42" t="s">
        <v>128</v>
      </c>
      <c r="G42" t="s">
        <v>128</v>
      </c>
      <c r="H42" t="s">
        <v>128</v>
      </c>
      <c r="I42" t="s">
        <v>128</v>
      </c>
      <c r="J42" t="s">
        <v>128</v>
      </c>
      <c r="K42" t="s">
        <v>128</v>
      </c>
      <c r="L42" t="s">
        <v>128</v>
      </c>
      <c r="M42" t="s">
        <v>128</v>
      </c>
      <c r="N42" t="s">
        <v>128</v>
      </c>
      <c r="O42" t="s">
        <v>128</v>
      </c>
      <c r="P42" t="s">
        <v>128</v>
      </c>
      <c r="Q42" t="s">
        <v>128</v>
      </c>
      <c r="R42" t="s">
        <v>128</v>
      </c>
      <c r="S42" t="s">
        <v>128</v>
      </c>
      <c r="T42" t="s">
        <v>128</v>
      </c>
      <c r="U42" t="s">
        <v>128</v>
      </c>
      <c r="V42" t="s">
        <v>128</v>
      </c>
      <c r="W42" t="s">
        <v>128</v>
      </c>
      <c r="X42" t="s">
        <v>128</v>
      </c>
      <c r="Y42" t="s">
        <v>128</v>
      </c>
      <c r="Z42" t="s">
        <v>128</v>
      </c>
      <c r="AA42" t="s">
        <v>128</v>
      </c>
      <c r="AB42" t="s">
        <v>128</v>
      </c>
      <c r="AC42" t="s">
        <v>128</v>
      </c>
      <c r="AD42" t="s">
        <v>128</v>
      </c>
      <c r="AE42" t="s">
        <v>128</v>
      </c>
      <c r="AF42" t="s">
        <v>128</v>
      </c>
      <c r="AG42" t="s">
        <v>128</v>
      </c>
      <c r="AH42" t="s">
        <v>128</v>
      </c>
      <c r="AI42" t="s">
        <v>128</v>
      </c>
      <c r="AJ42" t="s">
        <v>128</v>
      </c>
      <c r="AK42" t="s">
        <v>128</v>
      </c>
      <c r="AL42" t="s">
        <v>128</v>
      </c>
      <c r="AM42" t="s">
        <v>128</v>
      </c>
      <c r="AN42" t="s">
        <v>128</v>
      </c>
      <c r="AO42" t="s">
        <v>128</v>
      </c>
      <c r="AP42" t="s">
        <v>128</v>
      </c>
      <c r="AQ42" t="s">
        <v>128</v>
      </c>
      <c r="AR42" t="s">
        <v>128</v>
      </c>
      <c r="AS42" t="s">
        <v>128</v>
      </c>
      <c r="AT42" t="s">
        <v>128</v>
      </c>
      <c r="AU42" t="s">
        <v>128</v>
      </c>
      <c r="AV42" t="s">
        <v>128</v>
      </c>
      <c r="AW42" t="s">
        <v>128</v>
      </c>
      <c r="AX42" t="s">
        <v>128</v>
      </c>
      <c r="AY42" t="s">
        <v>128</v>
      </c>
      <c r="AZ42" t="s">
        <v>128</v>
      </c>
      <c r="BA42" t="s">
        <v>128</v>
      </c>
      <c r="BB42" t="s">
        <v>128</v>
      </c>
      <c r="BC42" t="s">
        <v>128</v>
      </c>
      <c r="BD42" t="s">
        <v>128</v>
      </c>
      <c r="BE42" t="s">
        <v>128</v>
      </c>
      <c r="BF42" t="s">
        <v>128</v>
      </c>
      <c r="BG42" t="s">
        <v>128</v>
      </c>
      <c r="BH42" t="s">
        <v>128</v>
      </c>
      <c r="BI42" t="s">
        <v>128</v>
      </c>
      <c r="BJ42" t="s">
        <v>128</v>
      </c>
      <c r="BK42" t="s">
        <v>128</v>
      </c>
      <c r="BL42" t="s">
        <v>128</v>
      </c>
      <c r="BM42" t="s">
        <v>128</v>
      </c>
      <c r="BN42" t="s">
        <v>128</v>
      </c>
      <c r="BO42" t="s">
        <v>128</v>
      </c>
      <c r="BP42" t="s">
        <v>128</v>
      </c>
      <c r="BQ42" t="s">
        <v>128</v>
      </c>
      <c r="BR42" t="s">
        <v>128</v>
      </c>
      <c r="BS42" t="s">
        <v>128</v>
      </c>
      <c r="BT42" t="s">
        <v>128</v>
      </c>
      <c r="BU42" t="s">
        <v>128</v>
      </c>
      <c r="BV42" t="s">
        <v>128</v>
      </c>
      <c r="BW42" t="s">
        <v>128</v>
      </c>
      <c r="BX42" t="s">
        <v>128</v>
      </c>
      <c r="BY42" t="s">
        <v>128</v>
      </c>
      <c r="BZ42" t="s">
        <v>128</v>
      </c>
      <c r="CA42" t="s">
        <v>128</v>
      </c>
      <c r="CB42" t="s">
        <v>128</v>
      </c>
      <c r="CC42" t="s">
        <v>128</v>
      </c>
      <c r="CD42" t="s">
        <v>128</v>
      </c>
      <c r="CE42" t="s">
        <v>128</v>
      </c>
      <c r="CF42" t="s">
        <v>128</v>
      </c>
      <c r="CG42" t="s">
        <v>128</v>
      </c>
      <c r="CH42" t="s">
        <v>128</v>
      </c>
      <c r="CI42" t="s">
        <v>128</v>
      </c>
      <c r="CJ42" t="s">
        <v>128</v>
      </c>
      <c r="CK42" t="s">
        <v>128</v>
      </c>
      <c r="CL42" t="s">
        <v>128</v>
      </c>
      <c r="CM42" t="s">
        <v>128</v>
      </c>
      <c r="CN42" t="s">
        <v>128</v>
      </c>
      <c r="CO42" t="s">
        <v>128</v>
      </c>
      <c r="CP42" t="s">
        <v>128</v>
      </c>
      <c r="CQ42" t="s">
        <v>128</v>
      </c>
      <c r="CR42" t="s">
        <v>128</v>
      </c>
      <c r="CS42" t="s">
        <v>128</v>
      </c>
      <c r="CT42" t="s">
        <v>128</v>
      </c>
      <c r="CU42" t="s">
        <v>128</v>
      </c>
      <c r="CV42" t="s">
        <v>128</v>
      </c>
      <c r="CW42" t="s">
        <v>128</v>
      </c>
    </row>
    <row r="43" spans="1:101" x14ac:dyDescent="0.25">
      <c r="A43" t="s">
        <v>83</v>
      </c>
      <c r="B43" t="s">
        <v>128</v>
      </c>
      <c r="C43" t="s">
        <v>128</v>
      </c>
      <c r="D43" t="s">
        <v>128</v>
      </c>
      <c r="E43" t="s">
        <v>128</v>
      </c>
      <c r="F43" t="s">
        <v>128</v>
      </c>
      <c r="G43" t="s">
        <v>128</v>
      </c>
      <c r="H43" t="s">
        <v>128</v>
      </c>
      <c r="I43" t="s">
        <v>128</v>
      </c>
      <c r="J43" t="s">
        <v>128</v>
      </c>
      <c r="K43" t="s">
        <v>128</v>
      </c>
      <c r="L43" t="s">
        <v>128</v>
      </c>
      <c r="M43" t="s">
        <v>128</v>
      </c>
      <c r="N43" t="s">
        <v>128</v>
      </c>
      <c r="O43" t="s">
        <v>128</v>
      </c>
      <c r="P43" t="s">
        <v>128</v>
      </c>
      <c r="Q43" t="s">
        <v>128</v>
      </c>
      <c r="R43" t="s">
        <v>128</v>
      </c>
      <c r="S43" t="s">
        <v>128</v>
      </c>
      <c r="T43" t="s">
        <v>128</v>
      </c>
      <c r="U43" t="s">
        <v>128</v>
      </c>
      <c r="V43" t="s">
        <v>128</v>
      </c>
      <c r="W43" t="s">
        <v>128</v>
      </c>
      <c r="X43" t="s">
        <v>128</v>
      </c>
      <c r="Y43" t="s">
        <v>128</v>
      </c>
      <c r="Z43" t="s">
        <v>128</v>
      </c>
      <c r="AA43" t="s">
        <v>128</v>
      </c>
      <c r="AB43" t="s">
        <v>128</v>
      </c>
      <c r="AC43" t="s">
        <v>128</v>
      </c>
      <c r="AD43" t="s">
        <v>128</v>
      </c>
      <c r="AE43" t="s">
        <v>128</v>
      </c>
      <c r="AF43" t="s">
        <v>128</v>
      </c>
      <c r="AG43" t="s">
        <v>128</v>
      </c>
      <c r="AH43" t="s">
        <v>128</v>
      </c>
      <c r="AI43" t="s">
        <v>128</v>
      </c>
      <c r="AJ43" t="s">
        <v>128</v>
      </c>
      <c r="AK43" t="s">
        <v>128</v>
      </c>
      <c r="AL43" t="s">
        <v>128</v>
      </c>
      <c r="AM43" t="s">
        <v>128</v>
      </c>
      <c r="AN43" t="s">
        <v>128</v>
      </c>
      <c r="AO43" t="s">
        <v>128</v>
      </c>
      <c r="AP43" t="s">
        <v>128</v>
      </c>
      <c r="AQ43" t="s">
        <v>128</v>
      </c>
      <c r="AR43" t="s">
        <v>128</v>
      </c>
      <c r="AS43" t="s">
        <v>128</v>
      </c>
      <c r="AT43" t="s">
        <v>128</v>
      </c>
      <c r="AU43" t="s">
        <v>128</v>
      </c>
      <c r="AV43" t="s">
        <v>128</v>
      </c>
      <c r="AW43" t="s">
        <v>128</v>
      </c>
      <c r="AX43" t="s">
        <v>128</v>
      </c>
      <c r="AY43" t="s">
        <v>128</v>
      </c>
      <c r="AZ43" t="s">
        <v>128</v>
      </c>
      <c r="BA43" t="s">
        <v>128</v>
      </c>
      <c r="BB43" t="s">
        <v>128</v>
      </c>
      <c r="BC43" t="s">
        <v>128</v>
      </c>
      <c r="BD43" t="s">
        <v>128</v>
      </c>
      <c r="BE43" t="s">
        <v>128</v>
      </c>
      <c r="BF43" t="s">
        <v>128</v>
      </c>
      <c r="BG43" t="s">
        <v>128</v>
      </c>
      <c r="BH43" t="s">
        <v>128</v>
      </c>
      <c r="BI43" t="s">
        <v>128</v>
      </c>
      <c r="BJ43" t="s">
        <v>128</v>
      </c>
      <c r="BK43" t="s">
        <v>128</v>
      </c>
      <c r="BL43" t="s">
        <v>128</v>
      </c>
      <c r="BM43" t="s">
        <v>128</v>
      </c>
      <c r="BN43" t="s">
        <v>128</v>
      </c>
      <c r="BO43" t="s">
        <v>128</v>
      </c>
      <c r="BP43" t="s">
        <v>128</v>
      </c>
      <c r="BQ43" t="s">
        <v>128</v>
      </c>
      <c r="BR43" t="s">
        <v>128</v>
      </c>
      <c r="BS43" t="s">
        <v>128</v>
      </c>
      <c r="BT43" t="s">
        <v>128</v>
      </c>
      <c r="BU43" t="s">
        <v>128</v>
      </c>
      <c r="BV43" t="s">
        <v>128</v>
      </c>
      <c r="BW43" t="s">
        <v>128</v>
      </c>
      <c r="BX43" t="s">
        <v>128</v>
      </c>
      <c r="BY43" t="s">
        <v>128</v>
      </c>
      <c r="BZ43" t="s">
        <v>128</v>
      </c>
      <c r="CA43" t="s">
        <v>128</v>
      </c>
      <c r="CB43" t="s">
        <v>128</v>
      </c>
      <c r="CC43" t="s">
        <v>128</v>
      </c>
      <c r="CD43" t="s">
        <v>128</v>
      </c>
      <c r="CE43" t="s">
        <v>128</v>
      </c>
      <c r="CF43" t="s">
        <v>128</v>
      </c>
      <c r="CG43" t="s">
        <v>128</v>
      </c>
      <c r="CH43" t="s">
        <v>128</v>
      </c>
      <c r="CI43" t="s">
        <v>128</v>
      </c>
      <c r="CJ43" t="s">
        <v>128</v>
      </c>
      <c r="CK43" t="s">
        <v>128</v>
      </c>
      <c r="CL43" t="s">
        <v>128</v>
      </c>
      <c r="CM43" t="s">
        <v>128</v>
      </c>
      <c r="CN43" t="s">
        <v>128</v>
      </c>
      <c r="CO43" t="s">
        <v>128</v>
      </c>
      <c r="CP43" t="s">
        <v>128</v>
      </c>
      <c r="CQ43" t="s">
        <v>128</v>
      </c>
      <c r="CR43" t="s">
        <v>128</v>
      </c>
      <c r="CS43" t="s">
        <v>128</v>
      </c>
      <c r="CT43" t="s">
        <v>128</v>
      </c>
      <c r="CU43" t="s">
        <v>128</v>
      </c>
      <c r="CV43" t="s">
        <v>128</v>
      </c>
      <c r="CW43" t="s">
        <v>128</v>
      </c>
    </row>
    <row r="44" spans="1:101" x14ac:dyDescent="0.25">
      <c r="A44" t="s">
        <v>84</v>
      </c>
      <c r="B44" t="s">
        <v>128</v>
      </c>
      <c r="C44" t="s">
        <v>128</v>
      </c>
      <c r="D44" t="s">
        <v>77</v>
      </c>
      <c r="E44" t="s">
        <v>77</v>
      </c>
      <c r="F44" t="s">
        <v>77</v>
      </c>
      <c r="G44" t="s">
        <v>77</v>
      </c>
      <c r="H44" t="s">
        <v>77</v>
      </c>
      <c r="I44" t="s">
        <v>77</v>
      </c>
      <c r="J44" t="s">
        <v>77</v>
      </c>
      <c r="K44" t="s">
        <v>77</v>
      </c>
      <c r="L44" t="s">
        <v>77</v>
      </c>
      <c r="M44" t="s">
        <v>77</v>
      </c>
      <c r="N44" t="s">
        <v>77</v>
      </c>
      <c r="O44" t="s">
        <v>77</v>
      </c>
      <c r="P44" t="s">
        <v>77</v>
      </c>
      <c r="Q44" t="s">
        <v>77</v>
      </c>
      <c r="R44" t="s">
        <v>77</v>
      </c>
      <c r="S44" t="s">
        <v>77</v>
      </c>
      <c r="T44" t="s">
        <v>77</v>
      </c>
      <c r="U44" t="s">
        <v>77</v>
      </c>
      <c r="V44" t="s">
        <v>77</v>
      </c>
      <c r="W44" t="s">
        <v>77</v>
      </c>
      <c r="X44" t="s">
        <v>77</v>
      </c>
      <c r="Y44" t="s">
        <v>77</v>
      </c>
      <c r="Z44" t="s">
        <v>77</v>
      </c>
      <c r="AA44" t="s">
        <v>77</v>
      </c>
      <c r="AB44" t="s">
        <v>77</v>
      </c>
      <c r="AC44" t="s">
        <v>77</v>
      </c>
      <c r="AD44" t="s">
        <v>77</v>
      </c>
      <c r="AE44" t="s">
        <v>77</v>
      </c>
      <c r="AF44" t="s">
        <v>77</v>
      </c>
      <c r="AG44" t="s">
        <v>77</v>
      </c>
      <c r="AH44" t="s">
        <v>77</v>
      </c>
      <c r="AI44" t="s">
        <v>77</v>
      </c>
      <c r="AJ44" t="s">
        <v>77</v>
      </c>
      <c r="AK44" t="s">
        <v>77</v>
      </c>
      <c r="AL44" t="s">
        <v>77</v>
      </c>
      <c r="AM44" t="s">
        <v>77</v>
      </c>
      <c r="AN44" t="s">
        <v>77</v>
      </c>
      <c r="AO44" t="s">
        <v>77</v>
      </c>
      <c r="AP44" t="s">
        <v>77</v>
      </c>
      <c r="AQ44" t="s">
        <v>77</v>
      </c>
      <c r="AR44" t="s">
        <v>77</v>
      </c>
      <c r="AS44" t="s">
        <v>77</v>
      </c>
      <c r="AT44" t="s">
        <v>77</v>
      </c>
      <c r="AU44" t="s">
        <v>77</v>
      </c>
      <c r="AV44" t="s">
        <v>77</v>
      </c>
      <c r="AW44" t="s">
        <v>77</v>
      </c>
      <c r="AX44" t="s">
        <v>77</v>
      </c>
      <c r="AY44" t="s">
        <v>77</v>
      </c>
      <c r="AZ44" t="s">
        <v>77</v>
      </c>
      <c r="BA44" t="s">
        <v>77</v>
      </c>
      <c r="BB44" t="s">
        <v>77</v>
      </c>
      <c r="BC44" t="s">
        <v>77</v>
      </c>
      <c r="BD44" t="s">
        <v>77</v>
      </c>
      <c r="BE44" t="s">
        <v>77</v>
      </c>
      <c r="BF44" t="s">
        <v>77</v>
      </c>
      <c r="BG44" t="s">
        <v>77</v>
      </c>
      <c r="BH44" t="s">
        <v>77</v>
      </c>
      <c r="BI44" t="s">
        <v>77</v>
      </c>
      <c r="BJ44" t="s">
        <v>77</v>
      </c>
      <c r="BK44" t="s">
        <v>77</v>
      </c>
      <c r="BL44" t="s">
        <v>77</v>
      </c>
      <c r="BM44" t="s">
        <v>77</v>
      </c>
      <c r="BN44" t="s">
        <v>77</v>
      </c>
      <c r="BO44" t="s">
        <v>77</v>
      </c>
      <c r="BP44" t="s">
        <v>77</v>
      </c>
      <c r="BQ44" t="s">
        <v>77</v>
      </c>
      <c r="BR44" t="s">
        <v>77</v>
      </c>
      <c r="BS44" t="s">
        <v>77</v>
      </c>
      <c r="BT44" t="s">
        <v>77</v>
      </c>
      <c r="BU44" t="s">
        <v>77</v>
      </c>
      <c r="BV44" t="s">
        <v>77</v>
      </c>
      <c r="BW44" t="s">
        <v>77</v>
      </c>
      <c r="BX44" t="s">
        <v>77</v>
      </c>
      <c r="BY44" t="s">
        <v>77</v>
      </c>
      <c r="BZ44" t="s">
        <v>77</v>
      </c>
      <c r="CA44" t="s">
        <v>77</v>
      </c>
      <c r="CB44" t="s">
        <v>77</v>
      </c>
      <c r="CC44" t="s">
        <v>77</v>
      </c>
      <c r="CD44" t="s">
        <v>77</v>
      </c>
      <c r="CE44" t="s">
        <v>77</v>
      </c>
      <c r="CF44" t="s">
        <v>77</v>
      </c>
      <c r="CG44" t="s">
        <v>77</v>
      </c>
      <c r="CH44" t="s">
        <v>77</v>
      </c>
      <c r="CI44" t="s">
        <v>77</v>
      </c>
      <c r="CJ44" t="s">
        <v>77</v>
      </c>
      <c r="CK44" t="s">
        <v>77</v>
      </c>
      <c r="CL44" t="s">
        <v>77</v>
      </c>
      <c r="CM44" t="s">
        <v>77</v>
      </c>
      <c r="CN44" t="s">
        <v>77</v>
      </c>
      <c r="CO44" t="s">
        <v>77</v>
      </c>
      <c r="CP44" t="s">
        <v>77</v>
      </c>
      <c r="CQ44" t="s">
        <v>77</v>
      </c>
      <c r="CR44" t="s">
        <v>77</v>
      </c>
      <c r="CS44" t="s">
        <v>77</v>
      </c>
      <c r="CT44" t="s">
        <v>77</v>
      </c>
      <c r="CU44" t="s">
        <v>77</v>
      </c>
      <c r="CV44" t="s">
        <v>77</v>
      </c>
      <c r="CW44" t="s">
        <v>77</v>
      </c>
    </row>
    <row r="45" spans="1:101" x14ac:dyDescent="0.25">
      <c r="A45" t="s">
        <v>85</v>
      </c>
      <c r="B45" t="s">
        <v>128</v>
      </c>
      <c r="C45" t="s">
        <v>128</v>
      </c>
      <c r="D45" t="s">
        <v>128</v>
      </c>
      <c r="E45" t="s">
        <v>128</v>
      </c>
      <c r="F45" t="s">
        <v>128</v>
      </c>
      <c r="G45" t="s">
        <v>128</v>
      </c>
      <c r="H45" t="s">
        <v>128</v>
      </c>
      <c r="I45" t="s">
        <v>128</v>
      </c>
      <c r="J45" t="s">
        <v>128</v>
      </c>
      <c r="K45" t="s">
        <v>128</v>
      </c>
      <c r="L45" t="s">
        <v>128</v>
      </c>
      <c r="M45" t="s">
        <v>128</v>
      </c>
      <c r="N45" t="s">
        <v>128</v>
      </c>
      <c r="O45" t="s">
        <v>128</v>
      </c>
      <c r="P45" t="s">
        <v>128</v>
      </c>
      <c r="Q45" t="s">
        <v>128</v>
      </c>
      <c r="R45" t="s">
        <v>128</v>
      </c>
      <c r="S45" t="s">
        <v>128</v>
      </c>
      <c r="T45" t="s">
        <v>128</v>
      </c>
      <c r="U45" t="s">
        <v>128</v>
      </c>
      <c r="V45" t="s">
        <v>128</v>
      </c>
      <c r="W45" t="s">
        <v>128</v>
      </c>
      <c r="X45" t="s">
        <v>128</v>
      </c>
      <c r="Y45" t="s">
        <v>128</v>
      </c>
      <c r="Z45" t="s">
        <v>128</v>
      </c>
      <c r="AA45" t="s">
        <v>128</v>
      </c>
      <c r="AB45" t="s">
        <v>128</v>
      </c>
      <c r="AC45" t="s">
        <v>128</v>
      </c>
      <c r="AD45" t="s">
        <v>128</v>
      </c>
      <c r="AE45" t="s">
        <v>128</v>
      </c>
      <c r="AF45" t="s">
        <v>128</v>
      </c>
      <c r="AG45" t="s">
        <v>128</v>
      </c>
      <c r="AH45" t="s">
        <v>128</v>
      </c>
      <c r="AI45" t="s">
        <v>128</v>
      </c>
      <c r="AJ45" t="s">
        <v>128</v>
      </c>
      <c r="AK45" t="s">
        <v>128</v>
      </c>
      <c r="AL45" t="s">
        <v>128</v>
      </c>
      <c r="AM45" t="s">
        <v>128</v>
      </c>
      <c r="AN45" t="s">
        <v>128</v>
      </c>
      <c r="AO45" t="s">
        <v>128</v>
      </c>
      <c r="AP45" t="s">
        <v>128</v>
      </c>
      <c r="AQ45" t="s">
        <v>128</v>
      </c>
      <c r="AR45" t="s">
        <v>128</v>
      </c>
      <c r="AS45" t="s">
        <v>128</v>
      </c>
      <c r="AT45" t="s">
        <v>128</v>
      </c>
      <c r="AU45" t="s">
        <v>128</v>
      </c>
      <c r="AV45" t="s">
        <v>128</v>
      </c>
      <c r="AW45" t="s">
        <v>128</v>
      </c>
      <c r="AX45" t="s">
        <v>128</v>
      </c>
      <c r="AY45" t="s">
        <v>128</v>
      </c>
      <c r="AZ45" t="s">
        <v>128</v>
      </c>
      <c r="BA45" t="s">
        <v>128</v>
      </c>
      <c r="BB45" t="s">
        <v>128</v>
      </c>
      <c r="BC45" t="s">
        <v>128</v>
      </c>
      <c r="BD45" t="s">
        <v>128</v>
      </c>
      <c r="BE45" t="s">
        <v>128</v>
      </c>
      <c r="BF45" t="s">
        <v>128</v>
      </c>
      <c r="BG45" t="s">
        <v>128</v>
      </c>
      <c r="BH45" t="s">
        <v>128</v>
      </c>
      <c r="BI45" t="s">
        <v>128</v>
      </c>
      <c r="BJ45" t="s">
        <v>128</v>
      </c>
      <c r="BK45" t="s">
        <v>128</v>
      </c>
      <c r="BL45" t="s">
        <v>128</v>
      </c>
      <c r="BM45" t="s">
        <v>128</v>
      </c>
      <c r="BN45" t="s">
        <v>128</v>
      </c>
      <c r="BO45" t="s">
        <v>128</v>
      </c>
      <c r="BP45" t="s">
        <v>128</v>
      </c>
      <c r="BQ45" t="s">
        <v>128</v>
      </c>
      <c r="BR45" t="s">
        <v>128</v>
      </c>
      <c r="BS45" t="s">
        <v>128</v>
      </c>
      <c r="BT45" t="s">
        <v>128</v>
      </c>
      <c r="BU45" t="s">
        <v>128</v>
      </c>
      <c r="BV45" t="s">
        <v>128</v>
      </c>
      <c r="BW45" t="s">
        <v>128</v>
      </c>
      <c r="BX45" t="s">
        <v>128</v>
      </c>
      <c r="BY45" t="s">
        <v>128</v>
      </c>
      <c r="BZ45" t="s">
        <v>128</v>
      </c>
      <c r="CA45" t="s">
        <v>128</v>
      </c>
      <c r="CB45" t="s">
        <v>128</v>
      </c>
      <c r="CC45" t="s">
        <v>128</v>
      </c>
      <c r="CD45" t="s">
        <v>128</v>
      </c>
      <c r="CE45" t="s">
        <v>128</v>
      </c>
      <c r="CF45" t="s">
        <v>128</v>
      </c>
      <c r="CG45" t="s">
        <v>128</v>
      </c>
      <c r="CH45" t="s">
        <v>128</v>
      </c>
      <c r="CI45" t="s">
        <v>128</v>
      </c>
      <c r="CJ45" t="s">
        <v>128</v>
      </c>
      <c r="CK45" t="s">
        <v>128</v>
      </c>
      <c r="CL45" t="s">
        <v>128</v>
      </c>
      <c r="CM45" t="s">
        <v>128</v>
      </c>
      <c r="CN45" t="s">
        <v>128</v>
      </c>
      <c r="CO45" t="s">
        <v>128</v>
      </c>
      <c r="CP45" t="s">
        <v>128</v>
      </c>
      <c r="CQ45" t="s">
        <v>128</v>
      </c>
      <c r="CR45" t="s">
        <v>128</v>
      </c>
      <c r="CS45" t="s">
        <v>128</v>
      </c>
      <c r="CT45" t="s">
        <v>128</v>
      </c>
      <c r="CU45" t="s">
        <v>128</v>
      </c>
      <c r="CV45" t="s">
        <v>128</v>
      </c>
      <c r="CW45" t="s">
        <v>128</v>
      </c>
    </row>
    <row r="46" spans="1:101" x14ac:dyDescent="0.25">
      <c r="A46" t="s">
        <v>86</v>
      </c>
      <c r="B46" t="s">
        <v>128</v>
      </c>
      <c r="C46" t="s">
        <v>129</v>
      </c>
      <c r="D46" t="s">
        <v>129</v>
      </c>
      <c r="E46" t="s">
        <v>129</v>
      </c>
      <c r="F46" t="s">
        <v>129</v>
      </c>
      <c r="G46" t="s">
        <v>129</v>
      </c>
      <c r="H46" t="s">
        <v>129</v>
      </c>
      <c r="I46" t="s">
        <v>129</v>
      </c>
      <c r="J46" t="s">
        <v>129</v>
      </c>
      <c r="K46" t="s">
        <v>129</v>
      </c>
      <c r="L46" t="s">
        <v>129</v>
      </c>
      <c r="M46" t="s">
        <v>129</v>
      </c>
      <c r="N46" t="s">
        <v>129</v>
      </c>
      <c r="O46" t="s">
        <v>129</v>
      </c>
      <c r="P46" t="s">
        <v>129</v>
      </c>
      <c r="Q46" t="s">
        <v>129</v>
      </c>
      <c r="R46" t="s">
        <v>129</v>
      </c>
      <c r="S46" t="s">
        <v>129</v>
      </c>
      <c r="T46" t="s">
        <v>129</v>
      </c>
      <c r="U46" t="s">
        <v>129</v>
      </c>
      <c r="V46" t="s">
        <v>129</v>
      </c>
      <c r="W46" t="s">
        <v>129</v>
      </c>
      <c r="X46" t="s">
        <v>129</v>
      </c>
      <c r="Y46" t="s">
        <v>129</v>
      </c>
      <c r="Z46" t="s">
        <v>129</v>
      </c>
      <c r="AA46" t="s">
        <v>129</v>
      </c>
      <c r="AB46" t="s">
        <v>129</v>
      </c>
      <c r="AC46" t="s">
        <v>129</v>
      </c>
      <c r="AD46" t="s">
        <v>129</v>
      </c>
      <c r="AE46" t="s">
        <v>129</v>
      </c>
      <c r="AF46" t="s">
        <v>129</v>
      </c>
      <c r="AG46" t="s">
        <v>129</v>
      </c>
      <c r="AH46" t="s">
        <v>129</v>
      </c>
      <c r="AI46" t="s">
        <v>129</v>
      </c>
      <c r="AJ46" t="s">
        <v>129</v>
      </c>
      <c r="AK46" t="s">
        <v>129</v>
      </c>
      <c r="AL46" t="s">
        <v>129</v>
      </c>
      <c r="AM46" t="s">
        <v>129</v>
      </c>
      <c r="AN46" t="s">
        <v>129</v>
      </c>
      <c r="AO46" t="s">
        <v>129</v>
      </c>
      <c r="AP46" t="s">
        <v>129</v>
      </c>
      <c r="AQ46" t="s">
        <v>129</v>
      </c>
      <c r="AR46" t="s">
        <v>129</v>
      </c>
      <c r="AS46" t="s">
        <v>129</v>
      </c>
      <c r="AT46" t="s">
        <v>129</v>
      </c>
      <c r="AU46" t="s">
        <v>129</v>
      </c>
      <c r="AV46" t="s">
        <v>129</v>
      </c>
      <c r="AW46" t="s">
        <v>129</v>
      </c>
      <c r="AX46" t="s">
        <v>129</v>
      </c>
      <c r="AY46" t="s">
        <v>129</v>
      </c>
      <c r="AZ46" t="s">
        <v>129</v>
      </c>
      <c r="BA46" t="s">
        <v>129</v>
      </c>
      <c r="BB46" t="s">
        <v>129</v>
      </c>
      <c r="BC46" t="s">
        <v>129</v>
      </c>
      <c r="BD46" t="s">
        <v>129</v>
      </c>
      <c r="BE46" t="s">
        <v>129</v>
      </c>
      <c r="BF46" t="s">
        <v>129</v>
      </c>
      <c r="BG46" t="s">
        <v>129</v>
      </c>
      <c r="BH46" t="s">
        <v>129</v>
      </c>
      <c r="BI46" t="s">
        <v>129</v>
      </c>
      <c r="BJ46" t="s">
        <v>129</v>
      </c>
      <c r="BK46" t="s">
        <v>129</v>
      </c>
      <c r="BL46" t="s">
        <v>129</v>
      </c>
      <c r="BM46" t="s">
        <v>129</v>
      </c>
      <c r="BN46" t="s">
        <v>129</v>
      </c>
      <c r="BO46" t="s">
        <v>129</v>
      </c>
      <c r="BP46" t="s">
        <v>129</v>
      </c>
      <c r="BQ46" t="s">
        <v>129</v>
      </c>
      <c r="BR46" t="s">
        <v>129</v>
      </c>
      <c r="BS46" t="s">
        <v>129</v>
      </c>
      <c r="BT46" t="s">
        <v>129</v>
      </c>
      <c r="BU46" t="s">
        <v>129</v>
      </c>
      <c r="BV46" t="s">
        <v>129</v>
      </c>
      <c r="BW46" t="s">
        <v>129</v>
      </c>
      <c r="BX46" t="s">
        <v>129</v>
      </c>
      <c r="BY46" t="s">
        <v>129</v>
      </c>
      <c r="BZ46" t="s">
        <v>129</v>
      </c>
      <c r="CA46" t="s">
        <v>129</v>
      </c>
      <c r="CB46" t="s">
        <v>129</v>
      </c>
      <c r="CC46" t="s">
        <v>129</v>
      </c>
      <c r="CD46" t="s">
        <v>129</v>
      </c>
      <c r="CE46" t="s">
        <v>129</v>
      </c>
      <c r="CF46" t="s">
        <v>129</v>
      </c>
      <c r="CG46" t="s">
        <v>129</v>
      </c>
      <c r="CH46" t="s">
        <v>129</v>
      </c>
      <c r="CI46" t="s">
        <v>129</v>
      </c>
      <c r="CJ46" t="s">
        <v>129</v>
      </c>
      <c r="CK46" t="s">
        <v>129</v>
      </c>
      <c r="CL46" t="s">
        <v>129</v>
      </c>
      <c r="CM46" t="s">
        <v>129</v>
      </c>
      <c r="CN46" t="s">
        <v>129</v>
      </c>
      <c r="CO46" t="s">
        <v>129</v>
      </c>
      <c r="CP46" t="s">
        <v>129</v>
      </c>
      <c r="CQ46" t="s">
        <v>129</v>
      </c>
      <c r="CR46" t="s">
        <v>129</v>
      </c>
      <c r="CS46" t="s">
        <v>129</v>
      </c>
      <c r="CT46" t="s">
        <v>129</v>
      </c>
      <c r="CU46" t="s">
        <v>129</v>
      </c>
      <c r="CV46" t="s">
        <v>129</v>
      </c>
      <c r="CW46" t="s">
        <v>129</v>
      </c>
    </row>
    <row r="47" spans="1:101" x14ac:dyDescent="0.25">
      <c r="A47" t="s">
        <v>88</v>
      </c>
      <c r="B47" t="s">
        <v>128</v>
      </c>
      <c r="C47" t="s">
        <v>128</v>
      </c>
      <c r="D47" t="s">
        <v>128</v>
      </c>
      <c r="E47" t="s">
        <v>128</v>
      </c>
      <c r="F47" t="s">
        <v>128</v>
      </c>
      <c r="G47" t="s">
        <v>128</v>
      </c>
      <c r="H47" t="s">
        <v>128</v>
      </c>
      <c r="I47" t="s">
        <v>128</v>
      </c>
      <c r="J47" t="s">
        <v>128</v>
      </c>
      <c r="K47" t="s">
        <v>128</v>
      </c>
      <c r="L47" t="s">
        <v>128</v>
      </c>
      <c r="M47" t="s">
        <v>128</v>
      </c>
      <c r="N47" t="s">
        <v>128</v>
      </c>
      <c r="O47" t="s">
        <v>128</v>
      </c>
      <c r="P47" t="s">
        <v>128</v>
      </c>
      <c r="Q47" t="s">
        <v>128</v>
      </c>
      <c r="R47" t="s">
        <v>128</v>
      </c>
      <c r="S47" t="s">
        <v>128</v>
      </c>
      <c r="T47" t="s">
        <v>128</v>
      </c>
      <c r="U47" t="s">
        <v>128</v>
      </c>
      <c r="V47" t="s">
        <v>128</v>
      </c>
      <c r="W47" t="s">
        <v>128</v>
      </c>
      <c r="X47" t="s">
        <v>128</v>
      </c>
      <c r="Y47" t="s">
        <v>128</v>
      </c>
      <c r="Z47" t="s">
        <v>128</v>
      </c>
      <c r="AA47" t="s">
        <v>128</v>
      </c>
      <c r="AB47" t="s">
        <v>128</v>
      </c>
      <c r="AC47" t="s">
        <v>128</v>
      </c>
      <c r="AD47" t="s">
        <v>128</v>
      </c>
      <c r="AE47" t="s">
        <v>128</v>
      </c>
      <c r="AF47" t="s">
        <v>128</v>
      </c>
      <c r="AG47" t="s">
        <v>128</v>
      </c>
      <c r="AH47" t="s">
        <v>128</v>
      </c>
      <c r="AI47" t="s">
        <v>128</v>
      </c>
      <c r="AJ47" t="s">
        <v>128</v>
      </c>
      <c r="AK47" t="s">
        <v>128</v>
      </c>
      <c r="AL47" t="s">
        <v>128</v>
      </c>
      <c r="AM47" t="s">
        <v>128</v>
      </c>
      <c r="AN47" t="s">
        <v>128</v>
      </c>
      <c r="AO47" t="s">
        <v>128</v>
      </c>
      <c r="AP47" t="s">
        <v>128</v>
      </c>
      <c r="AQ47" t="s">
        <v>128</v>
      </c>
      <c r="AR47" t="s">
        <v>128</v>
      </c>
      <c r="AS47" t="s">
        <v>128</v>
      </c>
      <c r="AT47" t="s">
        <v>128</v>
      </c>
      <c r="AU47" t="s">
        <v>128</v>
      </c>
      <c r="AV47" t="s">
        <v>128</v>
      </c>
      <c r="AW47" t="s">
        <v>128</v>
      </c>
      <c r="AX47" t="s">
        <v>128</v>
      </c>
      <c r="AY47" t="s">
        <v>128</v>
      </c>
      <c r="AZ47" t="s">
        <v>128</v>
      </c>
      <c r="BA47" t="s">
        <v>128</v>
      </c>
      <c r="BB47" t="s">
        <v>128</v>
      </c>
      <c r="BC47" t="s">
        <v>128</v>
      </c>
      <c r="BD47" t="s">
        <v>128</v>
      </c>
      <c r="BE47" t="s">
        <v>128</v>
      </c>
      <c r="BF47" t="s">
        <v>128</v>
      </c>
      <c r="BG47" t="s">
        <v>128</v>
      </c>
      <c r="BH47" t="s">
        <v>128</v>
      </c>
      <c r="BI47" t="s">
        <v>128</v>
      </c>
      <c r="BJ47" t="s">
        <v>128</v>
      </c>
      <c r="BK47" t="s">
        <v>128</v>
      </c>
      <c r="BL47" t="s">
        <v>128</v>
      </c>
      <c r="BM47" t="s">
        <v>128</v>
      </c>
      <c r="BN47" t="s">
        <v>128</v>
      </c>
      <c r="BO47" t="s">
        <v>129</v>
      </c>
      <c r="BP47" t="s">
        <v>129</v>
      </c>
      <c r="BQ47" t="s">
        <v>129</v>
      </c>
      <c r="BR47" t="s">
        <v>129</v>
      </c>
      <c r="BS47" t="s">
        <v>129</v>
      </c>
      <c r="BT47" t="s">
        <v>129</v>
      </c>
      <c r="BU47" t="s">
        <v>129</v>
      </c>
      <c r="BV47" t="s">
        <v>129</v>
      </c>
      <c r="BW47" t="s">
        <v>129</v>
      </c>
      <c r="BX47" t="s">
        <v>129</v>
      </c>
      <c r="BY47" t="s">
        <v>129</v>
      </c>
      <c r="BZ47" t="s">
        <v>129</v>
      </c>
      <c r="CA47" t="s">
        <v>129</v>
      </c>
      <c r="CB47" t="s">
        <v>129</v>
      </c>
      <c r="CC47" t="s">
        <v>129</v>
      </c>
      <c r="CD47" t="s">
        <v>129</v>
      </c>
      <c r="CE47" t="s">
        <v>129</v>
      </c>
      <c r="CF47" t="s">
        <v>129</v>
      </c>
      <c r="CG47" t="s">
        <v>129</v>
      </c>
      <c r="CH47" t="s">
        <v>129</v>
      </c>
      <c r="CI47" t="s">
        <v>129</v>
      </c>
      <c r="CJ47" t="s">
        <v>129</v>
      </c>
      <c r="CK47" t="s">
        <v>129</v>
      </c>
      <c r="CL47" t="s">
        <v>129</v>
      </c>
      <c r="CM47" t="s">
        <v>129</v>
      </c>
      <c r="CN47" t="s">
        <v>129</v>
      </c>
      <c r="CO47" t="s">
        <v>129</v>
      </c>
      <c r="CP47" t="s">
        <v>129</v>
      </c>
      <c r="CQ47" t="s">
        <v>129</v>
      </c>
      <c r="CR47" t="s">
        <v>129</v>
      </c>
      <c r="CS47" t="s">
        <v>129</v>
      </c>
      <c r="CT47" t="s">
        <v>129</v>
      </c>
      <c r="CU47" t="s">
        <v>129</v>
      </c>
      <c r="CV47" t="s">
        <v>129</v>
      </c>
      <c r="CW47" t="s">
        <v>129</v>
      </c>
    </row>
    <row r="48" spans="1:101" x14ac:dyDescent="0.25">
      <c r="A48" t="s">
        <v>89</v>
      </c>
      <c r="B48" t="s">
        <v>128</v>
      </c>
      <c r="C48" t="s">
        <v>128</v>
      </c>
      <c r="D48" t="s">
        <v>128</v>
      </c>
      <c r="E48" t="s">
        <v>128</v>
      </c>
      <c r="F48" t="s">
        <v>128</v>
      </c>
      <c r="G48" t="s">
        <v>128</v>
      </c>
      <c r="H48" t="s">
        <v>128</v>
      </c>
      <c r="I48" t="s">
        <v>128</v>
      </c>
      <c r="J48" t="s">
        <v>128</v>
      </c>
      <c r="K48" t="s">
        <v>128</v>
      </c>
      <c r="L48" t="s">
        <v>128</v>
      </c>
      <c r="M48" t="s">
        <v>128</v>
      </c>
      <c r="N48" t="s">
        <v>128</v>
      </c>
      <c r="O48" t="s">
        <v>128</v>
      </c>
      <c r="P48" t="s">
        <v>128</v>
      </c>
      <c r="Q48" t="s">
        <v>128</v>
      </c>
      <c r="R48" t="s">
        <v>128</v>
      </c>
      <c r="S48" t="s">
        <v>128</v>
      </c>
      <c r="T48" t="s">
        <v>128</v>
      </c>
      <c r="U48" t="s">
        <v>128</v>
      </c>
      <c r="V48" t="s">
        <v>128</v>
      </c>
      <c r="W48" t="s">
        <v>128</v>
      </c>
      <c r="X48" t="s">
        <v>128</v>
      </c>
      <c r="Y48" t="s">
        <v>128</v>
      </c>
      <c r="Z48" t="s">
        <v>128</v>
      </c>
      <c r="AA48" t="s">
        <v>128</v>
      </c>
      <c r="AB48" t="s">
        <v>128</v>
      </c>
      <c r="AC48" t="s">
        <v>128</v>
      </c>
      <c r="AD48" t="s">
        <v>128</v>
      </c>
      <c r="AE48" t="s">
        <v>128</v>
      </c>
      <c r="AF48" t="s">
        <v>128</v>
      </c>
      <c r="AG48" t="s">
        <v>128</v>
      </c>
      <c r="AH48" t="s">
        <v>128</v>
      </c>
      <c r="AI48" t="s">
        <v>128</v>
      </c>
      <c r="AJ48" t="s">
        <v>128</v>
      </c>
      <c r="AK48" t="s">
        <v>128</v>
      </c>
      <c r="AL48" t="s">
        <v>128</v>
      </c>
      <c r="AM48" t="s">
        <v>128</v>
      </c>
      <c r="AN48" t="s">
        <v>128</v>
      </c>
      <c r="AO48" t="s">
        <v>128</v>
      </c>
      <c r="AP48" t="s">
        <v>128</v>
      </c>
      <c r="AQ48" t="s">
        <v>128</v>
      </c>
      <c r="AR48" t="s">
        <v>128</v>
      </c>
      <c r="AS48" t="s">
        <v>128</v>
      </c>
      <c r="AT48" t="s">
        <v>128</v>
      </c>
      <c r="AU48" t="s">
        <v>128</v>
      </c>
      <c r="AV48" t="s">
        <v>128</v>
      </c>
      <c r="AW48" t="s">
        <v>128</v>
      </c>
      <c r="AX48" t="s">
        <v>128</v>
      </c>
      <c r="AY48" t="s">
        <v>128</v>
      </c>
      <c r="AZ48" t="s">
        <v>128</v>
      </c>
      <c r="BA48" t="s">
        <v>128</v>
      </c>
      <c r="BB48" t="s">
        <v>128</v>
      </c>
      <c r="BC48" t="s">
        <v>128</v>
      </c>
      <c r="BD48" t="s">
        <v>128</v>
      </c>
      <c r="BE48" t="s">
        <v>128</v>
      </c>
      <c r="BF48" t="s">
        <v>128</v>
      </c>
      <c r="BG48" t="s">
        <v>128</v>
      </c>
      <c r="BH48" t="s">
        <v>128</v>
      </c>
      <c r="BI48" t="s">
        <v>128</v>
      </c>
      <c r="BJ48" t="s">
        <v>128</v>
      </c>
      <c r="BK48" t="s">
        <v>128</v>
      </c>
      <c r="BL48" t="s">
        <v>128</v>
      </c>
      <c r="BM48" t="s">
        <v>128</v>
      </c>
      <c r="BN48" t="s">
        <v>128</v>
      </c>
      <c r="BO48" t="s">
        <v>128</v>
      </c>
      <c r="BP48" t="s">
        <v>128</v>
      </c>
      <c r="BQ48" t="s">
        <v>128</v>
      </c>
      <c r="BR48" t="s">
        <v>128</v>
      </c>
      <c r="BS48" t="s">
        <v>128</v>
      </c>
      <c r="BT48" t="s">
        <v>128</v>
      </c>
      <c r="BU48" t="s">
        <v>128</v>
      </c>
      <c r="BV48" t="s">
        <v>128</v>
      </c>
      <c r="BW48" t="s">
        <v>129</v>
      </c>
      <c r="BX48" t="s">
        <v>129</v>
      </c>
      <c r="BY48" t="s">
        <v>129</v>
      </c>
      <c r="BZ48" t="s">
        <v>129</v>
      </c>
      <c r="CA48" t="s">
        <v>129</v>
      </c>
      <c r="CB48" t="s">
        <v>129</v>
      </c>
      <c r="CC48" t="s">
        <v>129</v>
      </c>
      <c r="CD48" t="s">
        <v>129</v>
      </c>
      <c r="CE48" t="s">
        <v>129</v>
      </c>
      <c r="CF48" t="s">
        <v>129</v>
      </c>
      <c r="CG48" t="s">
        <v>129</v>
      </c>
      <c r="CH48" t="s">
        <v>129</v>
      </c>
      <c r="CI48" t="s">
        <v>129</v>
      </c>
      <c r="CJ48" t="s">
        <v>129</v>
      </c>
      <c r="CK48" t="s">
        <v>129</v>
      </c>
      <c r="CL48" t="s">
        <v>129</v>
      </c>
      <c r="CM48" t="s">
        <v>129</v>
      </c>
      <c r="CN48" t="s">
        <v>129</v>
      </c>
      <c r="CO48" t="s">
        <v>129</v>
      </c>
      <c r="CP48" t="s">
        <v>129</v>
      </c>
      <c r="CQ48" t="s">
        <v>129</v>
      </c>
      <c r="CR48" t="s">
        <v>129</v>
      </c>
      <c r="CS48" t="s">
        <v>129</v>
      </c>
      <c r="CT48" t="s">
        <v>129</v>
      </c>
      <c r="CU48" t="s">
        <v>129</v>
      </c>
      <c r="CV48" t="s">
        <v>129</v>
      </c>
      <c r="CW48" t="s">
        <v>129</v>
      </c>
    </row>
    <row r="49" spans="1:101" x14ac:dyDescent="0.25">
      <c r="A49" t="s">
        <v>90</v>
      </c>
      <c r="B49" t="s">
        <v>128</v>
      </c>
      <c r="C49" t="s">
        <v>128</v>
      </c>
      <c r="D49" t="s">
        <v>128</v>
      </c>
      <c r="E49" t="s">
        <v>128</v>
      </c>
      <c r="F49" t="s">
        <v>128</v>
      </c>
      <c r="G49" t="s">
        <v>128</v>
      </c>
      <c r="H49" t="s">
        <v>128</v>
      </c>
      <c r="I49" t="s">
        <v>128</v>
      </c>
      <c r="J49" t="s">
        <v>128</v>
      </c>
      <c r="K49" t="s">
        <v>128</v>
      </c>
      <c r="L49" t="s">
        <v>128</v>
      </c>
      <c r="M49" t="s">
        <v>128</v>
      </c>
      <c r="N49" t="s">
        <v>128</v>
      </c>
      <c r="O49" t="s">
        <v>128</v>
      </c>
      <c r="P49" t="s">
        <v>128</v>
      </c>
      <c r="Q49" t="s">
        <v>128</v>
      </c>
      <c r="R49" t="s">
        <v>128</v>
      </c>
      <c r="S49" t="s">
        <v>128</v>
      </c>
      <c r="T49" t="s">
        <v>128</v>
      </c>
      <c r="U49" t="s">
        <v>128</v>
      </c>
      <c r="V49" t="s">
        <v>128</v>
      </c>
      <c r="W49" t="s">
        <v>128</v>
      </c>
      <c r="X49" t="s">
        <v>128</v>
      </c>
      <c r="Y49" t="s">
        <v>128</v>
      </c>
      <c r="Z49" t="s">
        <v>128</v>
      </c>
      <c r="AA49" t="s">
        <v>128</v>
      </c>
      <c r="AB49" t="s">
        <v>128</v>
      </c>
      <c r="AC49" t="s">
        <v>128</v>
      </c>
      <c r="AD49" t="s">
        <v>128</v>
      </c>
      <c r="AE49" t="s">
        <v>128</v>
      </c>
      <c r="AF49" t="s">
        <v>128</v>
      </c>
      <c r="AG49" t="s">
        <v>128</v>
      </c>
      <c r="AH49" t="s">
        <v>128</v>
      </c>
      <c r="AI49" t="s">
        <v>128</v>
      </c>
      <c r="AJ49" t="s">
        <v>128</v>
      </c>
      <c r="AK49" t="s">
        <v>128</v>
      </c>
      <c r="AL49" t="s">
        <v>128</v>
      </c>
      <c r="AM49" t="s">
        <v>128</v>
      </c>
      <c r="AN49" t="s">
        <v>128</v>
      </c>
      <c r="AO49" t="s">
        <v>128</v>
      </c>
      <c r="AP49" t="s">
        <v>128</v>
      </c>
      <c r="AQ49" t="s">
        <v>128</v>
      </c>
      <c r="AR49" t="s">
        <v>128</v>
      </c>
      <c r="AS49" t="s">
        <v>128</v>
      </c>
      <c r="AT49" t="s">
        <v>128</v>
      </c>
      <c r="AU49" t="s">
        <v>128</v>
      </c>
      <c r="AV49" t="s">
        <v>128</v>
      </c>
      <c r="AW49" t="s">
        <v>128</v>
      </c>
      <c r="AX49" t="s">
        <v>128</v>
      </c>
      <c r="AY49" t="s">
        <v>128</v>
      </c>
      <c r="AZ49" t="s">
        <v>128</v>
      </c>
      <c r="BA49" t="s">
        <v>128</v>
      </c>
      <c r="BB49" t="s">
        <v>128</v>
      </c>
      <c r="BC49" t="s">
        <v>128</v>
      </c>
      <c r="BD49" t="s">
        <v>128</v>
      </c>
      <c r="BE49" t="s">
        <v>128</v>
      </c>
      <c r="BF49" t="s">
        <v>128</v>
      </c>
      <c r="BG49" t="s">
        <v>128</v>
      </c>
      <c r="BH49" t="s">
        <v>128</v>
      </c>
      <c r="BI49" t="s">
        <v>128</v>
      </c>
      <c r="BJ49" t="s">
        <v>128</v>
      </c>
      <c r="BK49" t="s">
        <v>128</v>
      </c>
      <c r="BL49" t="s">
        <v>128</v>
      </c>
      <c r="BM49" t="s">
        <v>128</v>
      </c>
      <c r="BN49" t="s">
        <v>128</v>
      </c>
      <c r="BO49" t="s">
        <v>128</v>
      </c>
      <c r="BP49" t="s">
        <v>128</v>
      </c>
      <c r="BQ49" t="s">
        <v>128</v>
      </c>
      <c r="BR49" t="s">
        <v>128</v>
      </c>
      <c r="BS49" t="s">
        <v>128</v>
      </c>
      <c r="BT49" t="s">
        <v>128</v>
      </c>
      <c r="BU49" t="s">
        <v>128</v>
      </c>
      <c r="BV49" t="s">
        <v>128</v>
      </c>
      <c r="BW49" t="s">
        <v>128</v>
      </c>
      <c r="BX49" t="s">
        <v>128</v>
      </c>
      <c r="BY49" t="s">
        <v>128</v>
      </c>
      <c r="BZ49" t="s">
        <v>128</v>
      </c>
      <c r="CA49" t="s">
        <v>128</v>
      </c>
      <c r="CB49" t="s">
        <v>128</v>
      </c>
      <c r="CC49" t="s">
        <v>128</v>
      </c>
      <c r="CD49" t="s">
        <v>128</v>
      </c>
      <c r="CE49" t="s">
        <v>128</v>
      </c>
      <c r="CF49" t="s">
        <v>128</v>
      </c>
      <c r="CG49" t="s">
        <v>128</v>
      </c>
      <c r="CH49" t="s">
        <v>128</v>
      </c>
      <c r="CI49" t="s">
        <v>128</v>
      </c>
      <c r="CJ49" t="s">
        <v>128</v>
      </c>
      <c r="CK49" t="s">
        <v>128</v>
      </c>
      <c r="CL49" t="s">
        <v>128</v>
      </c>
      <c r="CM49" t="s">
        <v>128</v>
      </c>
      <c r="CN49" t="s">
        <v>128</v>
      </c>
      <c r="CO49" t="s">
        <v>128</v>
      </c>
      <c r="CP49" t="s">
        <v>128</v>
      </c>
      <c r="CQ49" t="s">
        <v>128</v>
      </c>
      <c r="CR49" t="s">
        <v>128</v>
      </c>
      <c r="CS49" t="s">
        <v>128</v>
      </c>
      <c r="CT49" t="s">
        <v>128</v>
      </c>
      <c r="CU49" t="s">
        <v>128</v>
      </c>
      <c r="CV49" t="s">
        <v>128</v>
      </c>
      <c r="CW49" t="s">
        <v>128</v>
      </c>
    </row>
    <row r="50" spans="1:101" x14ac:dyDescent="0.25">
      <c r="A50" t="s">
        <v>91</v>
      </c>
      <c r="B50" t="s">
        <v>128</v>
      </c>
      <c r="C50" t="s">
        <v>129</v>
      </c>
      <c r="D50" t="s">
        <v>129</v>
      </c>
      <c r="E50" t="s">
        <v>129</v>
      </c>
      <c r="F50" t="s">
        <v>129</v>
      </c>
      <c r="G50" t="s">
        <v>129</v>
      </c>
      <c r="H50" t="s">
        <v>129</v>
      </c>
      <c r="I50" t="s">
        <v>129</v>
      </c>
      <c r="J50" t="s">
        <v>129</v>
      </c>
      <c r="K50" t="s">
        <v>129</v>
      </c>
      <c r="L50" t="s">
        <v>129</v>
      </c>
      <c r="M50" t="s">
        <v>129</v>
      </c>
      <c r="N50" t="s">
        <v>129</v>
      </c>
      <c r="O50" t="s">
        <v>129</v>
      </c>
      <c r="P50" t="s">
        <v>129</v>
      </c>
      <c r="Q50" t="s">
        <v>129</v>
      </c>
      <c r="R50" t="s">
        <v>129</v>
      </c>
      <c r="S50" t="s">
        <v>129</v>
      </c>
      <c r="T50" t="s">
        <v>129</v>
      </c>
      <c r="U50" t="s">
        <v>129</v>
      </c>
      <c r="V50" t="s">
        <v>129</v>
      </c>
      <c r="W50" t="s">
        <v>129</v>
      </c>
      <c r="X50" t="s">
        <v>129</v>
      </c>
      <c r="Y50" t="s">
        <v>129</v>
      </c>
      <c r="Z50" t="s">
        <v>129</v>
      </c>
      <c r="AA50" t="s">
        <v>129</v>
      </c>
      <c r="AB50" t="s">
        <v>129</v>
      </c>
      <c r="AC50" t="s">
        <v>129</v>
      </c>
      <c r="AD50" t="s">
        <v>129</v>
      </c>
      <c r="AE50" t="s">
        <v>129</v>
      </c>
      <c r="AF50" t="s">
        <v>129</v>
      </c>
      <c r="AG50" t="s">
        <v>129</v>
      </c>
      <c r="AH50" t="s">
        <v>129</v>
      </c>
      <c r="AI50" t="s">
        <v>129</v>
      </c>
      <c r="AJ50" t="s">
        <v>129</v>
      </c>
      <c r="AK50" t="s">
        <v>129</v>
      </c>
      <c r="AL50" t="s">
        <v>129</v>
      </c>
      <c r="AM50" t="s">
        <v>129</v>
      </c>
      <c r="AN50" t="s">
        <v>129</v>
      </c>
      <c r="AO50" t="s">
        <v>129</v>
      </c>
      <c r="AP50" t="s">
        <v>129</v>
      </c>
      <c r="AQ50" t="s">
        <v>129</v>
      </c>
      <c r="AR50" t="s">
        <v>129</v>
      </c>
      <c r="AS50" t="s">
        <v>129</v>
      </c>
      <c r="AT50" t="s">
        <v>129</v>
      </c>
      <c r="AU50" t="s">
        <v>129</v>
      </c>
      <c r="AV50" t="s">
        <v>129</v>
      </c>
      <c r="AW50" t="s">
        <v>129</v>
      </c>
      <c r="AX50" t="s">
        <v>129</v>
      </c>
      <c r="AY50" t="s">
        <v>129</v>
      </c>
      <c r="AZ50" t="s">
        <v>129</v>
      </c>
      <c r="BA50" t="s">
        <v>129</v>
      </c>
      <c r="BB50" t="s">
        <v>129</v>
      </c>
      <c r="BC50" t="s">
        <v>129</v>
      </c>
      <c r="BD50" t="s">
        <v>129</v>
      </c>
      <c r="BE50" t="s">
        <v>129</v>
      </c>
      <c r="BF50" t="s">
        <v>129</v>
      </c>
      <c r="BG50" t="s">
        <v>129</v>
      </c>
      <c r="BH50" t="s">
        <v>129</v>
      </c>
      <c r="BI50" t="s">
        <v>129</v>
      </c>
      <c r="BJ50" t="s">
        <v>129</v>
      </c>
      <c r="BK50" t="s">
        <v>129</v>
      </c>
      <c r="BL50" t="s">
        <v>129</v>
      </c>
      <c r="BM50" t="s">
        <v>129</v>
      </c>
      <c r="BN50" t="s">
        <v>129</v>
      </c>
      <c r="BO50" t="s">
        <v>129</v>
      </c>
      <c r="BP50" t="s">
        <v>129</v>
      </c>
      <c r="BQ50" t="s">
        <v>129</v>
      </c>
      <c r="BR50" t="s">
        <v>129</v>
      </c>
      <c r="BS50" t="s">
        <v>129</v>
      </c>
      <c r="BT50" t="s">
        <v>129</v>
      </c>
      <c r="BU50" t="s">
        <v>129</v>
      </c>
      <c r="BV50" t="s">
        <v>129</v>
      </c>
      <c r="BW50" t="s">
        <v>129</v>
      </c>
      <c r="BX50" t="s">
        <v>129</v>
      </c>
      <c r="BY50" t="s">
        <v>129</v>
      </c>
      <c r="BZ50" t="s">
        <v>129</v>
      </c>
      <c r="CA50" t="s">
        <v>129</v>
      </c>
      <c r="CB50" t="s">
        <v>129</v>
      </c>
      <c r="CC50" t="s">
        <v>129</v>
      </c>
      <c r="CD50" t="s">
        <v>129</v>
      </c>
      <c r="CE50" t="s">
        <v>129</v>
      </c>
      <c r="CF50" t="s">
        <v>129</v>
      </c>
      <c r="CG50" t="s">
        <v>129</v>
      </c>
      <c r="CH50" t="s">
        <v>129</v>
      </c>
      <c r="CI50" t="s">
        <v>129</v>
      </c>
      <c r="CJ50" t="s">
        <v>129</v>
      </c>
      <c r="CK50" t="s">
        <v>129</v>
      </c>
      <c r="CL50" t="s">
        <v>129</v>
      </c>
      <c r="CM50" t="s">
        <v>129</v>
      </c>
      <c r="CN50" t="s">
        <v>129</v>
      </c>
      <c r="CO50" t="s">
        <v>129</v>
      </c>
      <c r="CP50" t="s">
        <v>129</v>
      </c>
      <c r="CQ50" t="s">
        <v>129</v>
      </c>
      <c r="CR50" t="s">
        <v>129</v>
      </c>
      <c r="CS50" t="s">
        <v>129</v>
      </c>
      <c r="CT50" t="s">
        <v>129</v>
      </c>
      <c r="CU50" t="s">
        <v>129</v>
      </c>
      <c r="CV50" t="s">
        <v>129</v>
      </c>
      <c r="CW50" t="s">
        <v>129</v>
      </c>
    </row>
    <row r="51" spans="1:101" x14ac:dyDescent="0.25">
      <c r="A51" t="s">
        <v>92</v>
      </c>
      <c r="B51" t="s">
        <v>128</v>
      </c>
      <c r="C51" t="s">
        <v>128</v>
      </c>
      <c r="D51" t="s">
        <v>128</v>
      </c>
      <c r="E51" t="s">
        <v>128</v>
      </c>
      <c r="F51" t="s">
        <v>128</v>
      </c>
      <c r="G51" t="s">
        <v>128</v>
      </c>
      <c r="H51" t="s">
        <v>128</v>
      </c>
      <c r="I51" t="s">
        <v>128</v>
      </c>
      <c r="J51" t="s">
        <v>128</v>
      </c>
      <c r="K51" t="s">
        <v>128</v>
      </c>
      <c r="L51" t="s">
        <v>128</v>
      </c>
      <c r="M51" t="s">
        <v>128</v>
      </c>
      <c r="N51" t="s">
        <v>128</v>
      </c>
      <c r="O51" t="s">
        <v>128</v>
      </c>
      <c r="P51" t="s">
        <v>128</v>
      </c>
      <c r="Q51" t="s">
        <v>128</v>
      </c>
      <c r="R51" t="s">
        <v>128</v>
      </c>
      <c r="S51" t="s">
        <v>128</v>
      </c>
      <c r="T51" t="s">
        <v>128</v>
      </c>
      <c r="U51" t="s">
        <v>128</v>
      </c>
      <c r="V51" t="s">
        <v>128</v>
      </c>
      <c r="W51" t="s">
        <v>128</v>
      </c>
      <c r="X51" t="s">
        <v>128</v>
      </c>
      <c r="Y51" t="s">
        <v>128</v>
      </c>
      <c r="Z51" t="s">
        <v>128</v>
      </c>
      <c r="AA51" t="s">
        <v>128</v>
      </c>
      <c r="AB51" t="s">
        <v>128</v>
      </c>
      <c r="AC51" t="s">
        <v>128</v>
      </c>
      <c r="AD51" t="s">
        <v>128</v>
      </c>
      <c r="AE51" t="s">
        <v>128</v>
      </c>
      <c r="AF51" t="s">
        <v>128</v>
      </c>
      <c r="AG51" t="s">
        <v>128</v>
      </c>
      <c r="AH51" t="s">
        <v>128</v>
      </c>
      <c r="AI51" t="s">
        <v>128</v>
      </c>
      <c r="AJ51" t="s">
        <v>128</v>
      </c>
      <c r="AK51" t="s">
        <v>128</v>
      </c>
      <c r="AL51" t="s">
        <v>128</v>
      </c>
      <c r="AM51" t="s">
        <v>128</v>
      </c>
      <c r="AN51" t="s">
        <v>128</v>
      </c>
      <c r="AO51" t="s">
        <v>128</v>
      </c>
      <c r="AP51" t="s">
        <v>128</v>
      </c>
      <c r="AQ51" t="s">
        <v>128</v>
      </c>
      <c r="AR51" t="s">
        <v>128</v>
      </c>
      <c r="AS51" t="s">
        <v>128</v>
      </c>
      <c r="AT51" t="s">
        <v>128</v>
      </c>
      <c r="AU51" t="s">
        <v>128</v>
      </c>
      <c r="AV51" t="s">
        <v>128</v>
      </c>
      <c r="AW51" t="s">
        <v>128</v>
      </c>
      <c r="AX51" t="s">
        <v>128</v>
      </c>
      <c r="AY51" t="s">
        <v>128</v>
      </c>
      <c r="AZ51" t="s">
        <v>128</v>
      </c>
      <c r="BA51" t="s">
        <v>128</v>
      </c>
      <c r="BB51" t="s">
        <v>128</v>
      </c>
      <c r="BC51" t="s">
        <v>128</v>
      </c>
      <c r="BD51" t="s">
        <v>128</v>
      </c>
      <c r="BE51" t="s">
        <v>128</v>
      </c>
      <c r="BF51" t="s">
        <v>128</v>
      </c>
      <c r="BG51" t="s">
        <v>128</v>
      </c>
      <c r="BH51" t="s">
        <v>128</v>
      </c>
      <c r="BI51" t="s">
        <v>128</v>
      </c>
      <c r="BJ51" t="s">
        <v>128</v>
      </c>
      <c r="BK51" t="s">
        <v>128</v>
      </c>
      <c r="BL51" t="s">
        <v>128</v>
      </c>
      <c r="BM51" t="s">
        <v>128</v>
      </c>
      <c r="BN51" t="s">
        <v>128</v>
      </c>
      <c r="BO51" t="s">
        <v>128</v>
      </c>
      <c r="BP51" t="s">
        <v>128</v>
      </c>
      <c r="BQ51" t="s">
        <v>128</v>
      </c>
      <c r="BR51" t="s">
        <v>128</v>
      </c>
      <c r="BS51" t="s">
        <v>128</v>
      </c>
      <c r="BT51" t="s">
        <v>128</v>
      </c>
      <c r="BU51" t="s">
        <v>128</v>
      </c>
      <c r="BV51" t="s">
        <v>128</v>
      </c>
      <c r="BW51" t="s">
        <v>128</v>
      </c>
      <c r="BX51" t="s">
        <v>128</v>
      </c>
      <c r="BY51" t="s">
        <v>128</v>
      </c>
      <c r="BZ51" t="s">
        <v>128</v>
      </c>
      <c r="CA51" t="s">
        <v>128</v>
      </c>
      <c r="CB51" t="s">
        <v>128</v>
      </c>
      <c r="CC51" t="s">
        <v>128</v>
      </c>
      <c r="CD51" t="s">
        <v>128</v>
      </c>
      <c r="CE51" t="s">
        <v>128</v>
      </c>
      <c r="CF51" t="s">
        <v>128</v>
      </c>
      <c r="CG51" t="s">
        <v>128</v>
      </c>
      <c r="CH51" t="s">
        <v>128</v>
      </c>
      <c r="CI51" t="s">
        <v>128</v>
      </c>
      <c r="CJ51" t="s">
        <v>128</v>
      </c>
      <c r="CK51" t="s">
        <v>128</v>
      </c>
      <c r="CL51" t="s">
        <v>128</v>
      </c>
      <c r="CM51" t="s">
        <v>128</v>
      </c>
      <c r="CN51" t="s">
        <v>128</v>
      </c>
      <c r="CO51" t="s">
        <v>128</v>
      </c>
      <c r="CP51" t="s">
        <v>128</v>
      </c>
      <c r="CQ51" t="s">
        <v>128</v>
      </c>
      <c r="CR51" t="s">
        <v>128</v>
      </c>
      <c r="CS51" t="s">
        <v>128</v>
      </c>
      <c r="CT51" t="s">
        <v>128</v>
      </c>
      <c r="CU51" t="s">
        <v>128</v>
      </c>
      <c r="CV51" t="s">
        <v>128</v>
      </c>
      <c r="CW51" t="s">
        <v>128</v>
      </c>
    </row>
    <row r="52" spans="1:101" x14ac:dyDescent="0.25">
      <c r="A52" t="s">
        <v>93</v>
      </c>
      <c r="B52" t="s">
        <v>128</v>
      </c>
      <c r="C52" t="s">
        <v>128</v>
      </c>
      <c r="D52" t="s">
        <v>128</v>
      </c>
      <c r="E52" t="s">
        <v>128</v>
      </c>
      <c r="F52" t="s">
        <v>128</v>
      </c>
      <c r="G52" t="s">
        <v>128</v>
      </c>
      <c r="H52" t="s">
        <v>128</v>
      </c>
      <c r="I52" t="s">
        <v>128</v>
      </c>
      <c r="J52" t="s">
        <v>128</v>
      </c>
      <c r="K52" t="s">
        <v>128</v>
      </c>
      <c r="L52" t="s">
        <v>128</v>
      </c>
      <c r="M52" t="s">
        <v>128</v>
      </c>
      <c r="N52" t="s">
        <v>128</v>
      </c>
      <c r="O52" t="s">
        <v>128</v>
      </c>
      <c r="P52" t="s">
        <v>128</v>
      </c>
      <c r="Q52" t="s">
        <v>128</v>
      </c>
      <c r="R52" t="s">
        <v>128</v>
      </c>
      <c r="S52" t="s">
        <v>128</v>
      </c>
      <c r="T52" t="s">
        <v>128</v>
      </c>
      <c r="U52" t="s">
        <v>128</v>
      </c>
      <c r="V52" t="s">
        <v>128</v>
      </c>
      <c r="W52" t="s">
        <v>128</v>
      </c>
      <c r="X52" t="s">
        <v>128</v>
      </c>
      <c r="Y52" t="s">
        <v>128</v>
      </c>
      <c r="Z52" t="s">
        <v>128</v>
      </c>
      <c r="AA52" t="s">
        <v>128</v>
      </c>
      <c r="AB52" t="s">
        <v>128</v>
      </c>
      <c r="AC52" t="s">
        <v>128</v>
      </c>
      <c r="AD52" t="s">
        <v>128</v>
      </c>
      <c r="AE52" t="s">
        <v>128</v>
      </c>
      <c r="AF52" t="s">
        <v>128</v>
      </c>
      <c r="AG52" t="s">
        <v>128</v>
      </c>
      <c r="AH52" t="s">
        <v>128</v>
      </c>
      <c r="AI52" t="s">
        <v>128</v>
      </c>
      <c r="AJ52" t="s">
        <v>128</v>
      </c>
      <c r="AK52" t="s">
        <v>128</v>
      </c>
      <c r="AL52" t="s">
        <v>128</v>
      </c>
      <c r="AM52" t="s">
        <v>128</v>
      </c>
      <c r="AN52" t="s">
        <v>128</v>
      </c>
      <c r="AO52" t="s">
        <v>128</v>
      </c>
      <c r="AP52" t="s">
        <v>128</v>
      </c>
      <c r="AQ52" t="s">
        <v>128</v>
      </c>
      <c r="AR52" t="s">
        <v>128</v>
      </c>
      <c r="AS52" t="s">
        <v>128</v>
      </c>
      <c r="AT52" t="s">
        <v>128</v>
      </c>
      <c r="AU52" t="s">
        <v>128</v>
      </c>
      <c r="AV52" t="s">
        <v>128</v>
      </c>
      <c r="AW52" t="s">
        <v>128</v>
      </c>
      <c r="AX52" t="s">
        <v>128</v>
      </c>
      <c r="AY52" t="s">
        <v>128</v>
      </c>
      <c r="AZ52" t="s">
        <v>128</v>
      </c>
      <c r="BA52" t="s">
        <v>128</v>
      </c>
      <c r="BB52" t="s">
        <v>128</v>
      </c>
      <c r="BC52" t="s">
        <v>128</v>
      </c>
      <c r="BD52" t="s">
        <v>128</v>
      </c>
      <c r="BE52" t="s">
        <v>128</v>
      </c>
      <c r="BF52" t="s">
        <v>128</v>
      </c>
      <c r="BG52" t="s">
        <v>128</v>
      </c>
      <c r="BH52" t="s">
        <v>128</v>
      </c>
      <c r="BI52" t="s">
        <v>128</v>
      </c>
      <c r="BJ52" t="s">
        <v>128</v>
      </c>
      <c r="BK52" t="s">
        <v>128</v>
      </c>
      <c r="BL52" t="s">
        <v>128</v>
      </c>
      <c r="BM52" t="s">
        <v>128</v>
      </c>
      <c r="BN52" t="s">
        <v>128</v>
      </c>
      <c r="BO52" t="s">
        <v>128</v>
      </c>
      <c r="BP52" t="s">
        <v>128</v>
      </c>
      <c r="BQ52" t="s">
        <v>128</v>
      </c>
      <c r="BR52" t="s">
        <v>128</v>
      </c>
      <c r="BS52" t="s">
        <v>128</v>
      </c>
      <c r="BT52" t="s">
        <v>128</v>
      </c>
      <c r="BU52" t="s">
        <v>128</v>
      </c>
      <c r="BV52" t="s">
        <v>128</v>
      </c>
      <c r="BW52" t="s">
        <v>128</v>
      </c>
      <c r="BX52" t="s">
        <v>128</v>
      </c>
      <c r="BY52" t="s">
        <v>128</v>
      </c>
      <c r="BZ52" t="s">
        <v>128</v>
      </c>
      <c r="CA52" t="s">
        <v>128</v>
      </c>
      <c r="CB52" t="s">
        <v>128</v>
      </c>
      <c r="CC52" t="s">
        <v>128</v>
      </c>
      <c r="CD52" t="s">
        <v>128</v>
      </c>
      <c r="CE52" t="s">
        <v>128</v>
      </c>
      <c r="CF52" t="s">
        <v>128</v>
      </c>
      <c r="CG52" t="s">
        <v>128</v>
      </c>
      <c r="CH52" t="s">
        <v>128</v>
      </c>
      <c r="CI52" t="s">
        <v>128</v>
      </c>
      <c r="CJ52" t="s">
        <v>128</v>
      </c>
      <c r="CK52" t="s">
        <v>128</v>
      </c>
      <c r="CL52" t="s">
        <v>128</v>
      </c>
      <c r="CM52" t="s">
        <v>128</v>
      </c>
      <c r="CN52" t="s">
        <v>128</v>
      </c>
      <c r="CO52" t="s">
        <v>128</v>
      </c>
      <c r="CP52" t="s">
        <v>128</v>
      </c>
      <c r="CQ52" t="s">
        <v>128</v>
      </c>
      <c r="CR52" t="s">
        <v>128</v>
      </c>
      <c r="CS52" t="s">
        <v>128</v>
      </c>
      <c r="CT52" t="s">
        <v>128</v>
      </c>
      <c r="CU52" t="s">
        <v>128</v>
      </c>
      <c r="CV52" t="s">
        <v>128</v>
      </c>
      <c r="CW52" t="s">
        <v>128</v>
      </c>
    </row>
    <row r="53" spans="1:101" x14ac:dyDescent="0.25">
      <c r="A53" t="s">
        <v>95</v>
      </c>
      <c r="B53" t="s">
        <v>128</v>
      </c>
      <c r="C53" t="s">
        <v>128</v>
      </c>
      <c r="D53" t="s">
        <v>128</v>
      </c>
      <c r="E53" t="s">
        <v>128</v>
      </c>
      <c r="F53" t="s">
        <v>128</v>
      </c>
      <c r="G53" t="s">
        <v>128</v>
      </c>
      <c r="H53" t="s">
        <v>128</v>
      </c>
      <c r="I53" t="s">
        <v>128</v>
      </c>
      <c r="J53" t="s">
        <v>128</v>
      </c>
      <c r="K53" t="s">
        <v>128</v>
      </c>
      <c r="L53" t="s">
        <v>128</v>
      </c>
      <c r="M53" t="s">
        <v>128</v>
      </c>
      <c r="N53" t="s">
        <v>128</v>
      </c>
      <c r="O53" t="s">
        <v>128</v>
      </c>
      <c r="P53" t="s">
        <v>128</v>
      </c>
      <c r="Q53" t="s">
        <v>128</v>
      </c>
      <c r="R53" t="s">
        <v>128</v>
      </c>
      <c r="S53" t="s">
        <v>128</v>
      </c>
      <c r="T53" t="s">
        <v>128</v>
      </c>
      <c r="U53" t="s">
        <v>128</v>
      </c>
      <c r="V53" t="s">
        <v>128</v>
      </c>
      <c r="W53" t="s">
        <v>128</v>
      </c>
      <c r="X53" t="s">
        <v>128</v>
      </c>
      <c r="Y53" t="s">
        <v>128</v>
      </c>
      <c r="Z53" t="s">
        <v>128</v>
      </c>
      <c r="AA53" t="s">
        <v>128</v>
      </c>
      <c r="AB53" t="s">
        <v>128</v>
      </c>
      <c r="AC53" t="s">
        <v>128</v>
      </c>
      <c r="AD53" t="s">
        <v>128</v>
      </c>
      <c r="AE53" t="s">
        <v>128</v>
      </c>
      <c r="AF53" t="s">
        <v>128</v>
      </c>
      <c r="AG53" t="s">
        <v>128</v>
      </c>
      <c r="AH53" t="s">
        <v>128</v>
      </c>
      <c r="AI53" t="s">
        <v>128</v>
      </c>
      <c r="AJ53" t="s">
        <v>128</v>
      </c>
      <c r="AK53" t="s">
        <v>128</v>
      </c>
      <c r="AL53" t="s">
        <v>128</v>
      </c>
      <c r="AM53" t="s">
        <v>128</v>
      </c>
      <c r="AN53" t="s">
        <v>128</v>
      </c>
      <c r="AO53" t="s">
        <v>128</v>
      </c>
      <c r="AP53" t="s">
        <v>128</v>
      </c>
      <c r="AQ53" t="s">
        <v>128</v>
      </c>
      <c r="AR53" t="s">
        <v>128</v>
      </c>
      <c r="AS53" t="s">
        <v>128</v>
      </c>
      <c r="AT53" t="s">
        <v>128</v>
      </c>
      <c r="AU53" t="s">
        <v>128</v>
      </c>
      <c r="AV53" t="s">
        <v>128</v>
      </c>
      <c r="AW53" t="s">
        <v>128</v>
      </c>
      <c r="AX53" t="s">
        <v>128</v>
      </c>
      <c r="AY53" t="s">
        <v>128</v>
      </c>
      <c r="AZ53" t="s">
        <v>128</v>
      </c>
      <c r="BA53" t="s">
        <v>128</v>
      </c>
      <c r="BB53" t="s">
        <v>128</v>
      </c>
      <c r="BC53" t="s">
        <v>128</v>
      </c>
      <c r="BD53" t="s">
        <v>128</v>
      </c>
      <c r="BE53" t="s">
        <v>128</v>
      </c>
      <c r="BF53" t="s">
        <v>128</v>
      </c>
      <c r="BG53" t="s">
        <v>128</v>
      </c>
      <c r="BH53" t="s">
        <v>128</v>
      </c>
      <c r="BI53" t="s">
        <v>128</v>
      </c>
      <c r="BJ53" t="s">
        <v>128</v>
      </c>
      <c r="BK53" t="s">
        <v>128</v>
      </c>
      <c r="BL53" t="s">
        <v>128</v>
      </c>
      <c r="BM53" t="s">
        <v>128</v>
      </c>
      <c r="BN53" t="s">
        <v>128</v>
      </c>
      <c r="BO53" t="s">
        <v>128</v>
      </c>
      <c r="BP53" t="s">
        <v>128</v>
      </c>
      <c r="BQ53" t="s">
        <v>128</v>
      </c>
      <c r="BR53" t="s">
        <v>128</v>
      </c>
      <c r="BS53" t="s">
        <v>128</v>
      </c>
      <c r="BT53" t="s">
        <v>128</v>
      </c>
      <c r="BU53" t="s">
        <v>128</v>
      </c>
      <c r="BV53" t="s">
        <v>128</v>
      </c>
      <c r="BW53" t="s">
        <v>128</v>
      </c>
      <c r="BX53" t="s">
        <v>128</v>
      </c>
      <c r="BY53" t="s">
        <v>128</v>
      </c>
      <c r="BZ53" t="s">
        <v>128</v>
      </c>
      <c r="CA53" t="s">
        <v>128</v>
      </c>
      <c r="CB53" t="s">
        <v>128</v>
      </c>
      <c r="CC53" t="s">
        <v>128</v>
      </c>
      <c r="CD53" t="s">
        <v>128</v>
      </c>
      <c r="CE53" t="s">
        <v>128</v>
      </c>
      <c r="CF53" t="s">
        <v>128</v>
      </c>
      <c r="CG53" t="s">
        <v>128</v>
      </c>
      <c r="CH53" t="s">
        <v>128</v>
      </c>
      <c r="CI53" t="s">
        <v>128</v>
      </c>
      <c r="CJ53" t="s">
        <v>128</v>
      </c>
      <c r="CK53" t="s">
        <v>128</v>
      </c>
      <c r="CL53" t="s">
        <v>128</v>
      </c>
      <c r="CM53" t="s">
        <v>128</v>
      </c>
      <c r="CN53" t="s">
        <v>128</v>
      </c>
      <c r="CO53" t="s">
        <v>128</v>
      </c>
      <c r="CP53" t="s">
        <v>128</v>
      </c>
      <c r="CQ53" t="s">
        <v>128</v>
      </c>
      <c r="CR53" t="s">
        <v>128</v>
      </c>
      <c r="CS53" t="s">
        <v>128</v>
      </c>
      <c r="CT53" t="s">
        <v>128</v>
      </c>
      <c r="CU53" t="s">
        <v>128</v>
      </c>
      <c r="CV53" t="s">
        <v>128</v>
      </c>
      <c r="CW53" t="s">
        <v>128</v>
      </c>
    </row>
    <row r="54" spans="1:101" x14ac:dyDescent="0.25">
      <c r="A54" t="s">
        <v>96</v>
      </c>
      <c r="B54" t="s">
        <v>128</v>
      </c>
      <c r="C54" t="s">
        <v>128</v>
      </c>
      <c r="D54" t="s">
        <v>128</v>
      </c>
      <c r="E54" t="s">
        <v>128</v>
      </c>
      <c r="F54" t="s">
        <v>128</v>
      </c>
      <c r="G54" t="s">
        <v>128</v>
      </c>
      <c r="H54" t="s">
        <v>128</v>
      </c>
      <c r="I54" t="s">
        <v>128</v>
      </c>
      <c r="J54" t="s">
        <v>128</v>
      </c>
      <c r="K54" t="s">
        <v>128</v>
      </c>
      <c r="L54" t="s">
        <v>128</v>
      </c>
      <c r="M54" t="s">
        <v>128</v>
      </c>
      <c r="N54" t="s">
        <v>128</v>
      </c>
      <c r="O54" t="s">
        <v>128</v>
      </c>
      <c r="P54" t="s">
        <v>128</v>
      </c>
      <c r="Q54" t="s">
        <v>128</v>
      </c>
      <c r="R54" t="s">
        <v>128</v>
      </c>
      <c r="S54" t="s">
        <v>128</v>
      </c>
      <c r="T54" t="s">
        <v>128</v>
      </c>
      <c r="U54" t="s">
        <v>128</v>
      </c>
      <c r="V54" t="s">
        <v>128</v>
      </c>
      <c r="W54" t="s">
        <v>128</v>
      </c>
      <c r="X54" t="s">
        <v>128</v>
      </c>
      <c r="Y54" t="s">
        <v>128</v>
      </c>
      <c r="Z54" t="s">
        <v>128</v>
      </c>
      <c r="AA54" t="s">
        <v>128</v>
      </c>
      <c r="AB54" t="s">
        <v>128</v>
      </c>
      <c r="AC54" t="s">
        <v>128</v>
      </c>
      <c r="AD54" t="s">
        <v>128</v>
      </c>
      <c r="AE54" t="s">
        <v>128</v>
      </c>
      <c r="AF54" t="s">
        <v>128</v>
      </c>
      <c r="AG54" t="s">
        <v>128</v>
      </c>
      <c r="AH54" t="s">
        <v>128</v>
      </c>
      <c r="AI54" t="s">
        <v>128</v>
      </c>
      <c r="AJ54" t="s">
        <v>128</v>
      </c>
      <c r="AK54" t="s">
        <v>128</v>
      </c>
      <c r="AL54" t="s">
        <v>128</v>
      </c>
      <c r="AM54" t="s">
        <v>128</v>
      </c>
      <c r="AN54" t="s">
        <v>128</v>
      </c>
      <c r="AO54" t="s">
        <v>128</v>
      </c>
      <c r="AP54" t="s">
        <v>128</v>
      </c>
      <c r="AQ54" t="s">
        <v>128</v>
      </c>
      <c r="AR54" t="s">
        <v>128</v>
      </c>
      <c r="AS54" t="s">
        <v>128</v>
      </c>
      <c r="AT54" t="s">
        <v>128</v>
      </c>
      <c r="AU54" t="s">
        <v>128</v>
      </c>
      <c r="AV54" t="s">
        <v>128</v>
      </c>
      <c r="AW54" t="s">
        <v>128</v>
      </c>
      <c r="AX54" t="s">
        <v>128</v>
      </c>
      <c r="AY54" t="s">
        <v>128</v>
      </c>
      <c r="AZ54" t="s">
        <v>128</v>
      </c>
      <c r="BA54" t="s">
        <v>128</v>
      </c>
      <c r="BB54" t="s">
        <v>128</v>
      </c>
      <c r="BC54" t="s">
        <v>128</v>
      </c>
      <c r="BD54" t="s">
        <v>128</v>
      </c>
      <c r="BE54" t="s">
        <v>128</v>
      </c>
      <c r="BF54" t="s">
        <v>128</v>
      </c>
      <c r="BG54" t="s">
        <v>128</v>
      </c>
      <c r="BH54" t="s">
        <v>128</v>
      </c>
      <c r="BI54" t="s">
        <v>128</v>
      </c>
      <c r="BJ54" t="s">
        <v>128</v>
      </c>
      <c r="BK54" t="s">
        <v>128</v>
      </c>
      <c r="BL54" t="s">
        <v>128</v>
      </c>
      <c r="BM54" t="s">
        <v>128</v>
      </c>
      <c r="BN54" t="s">
        <v>128</v>
      </c>
      <c r="BO54" t="s">
        <v>128</v>
      </c>
      <c r="BP54" t="s">
        <v>128</v>
      </c>
      <c r="BQ54" t="s">
        <v>128</v>
      </c>
      <c r="BR54" t="s">
        <v>128</v>
      </c>
      <c r="BS54" t="s">
        <v>128</v>
      </c>
      <c r="BT54" t="s">
        <v>128</v>
      </c>
      <c r="BU54" t="s">
        <v>128</v>
      </c>
      <c r="BV54" t="s">
        <v>128</v>
      </c>
      <c r="BW54" t="s">
        <v>128</v>
      </c>
      <c r="BX54" t="s">
        <v>128</v>
      </c>
      <c r="BY54" t="s">
        <v>128</v>
      </c>
      <c r="BZ54" t="s">
        <v>128</v>
      </c>
      <c r="CA54" t="s">
        <v>128</v>
      </c>
      <c r="CB54" t="s">
        <v>128</v>
      </c>
      <c r="CC54" t="s">
        <v>128</v>
      </c>
      <c r="CD54" t="s">
        <v>128</v>
      </c>
      <c r="CE54" t="s">
        <v>128</v>
      </c>
      <c r="CF54" t="s">
        <v>128</v>
      </c>
      <c r="CG54" t="s">
        <v>128</v>
      </c>
      <c r="CH54" t="s">
        <v>128</v>
      </c>
      <c r="CI54" t="s">
        <v>128</v>
      </c>
      <c r="CJ54" t="s">
        <v>128</v>
      </c>
      <c r="CK54" t="s">
        <v>128</v>
      </c>
      <c r="CL54" t="s">
        <v>128</v>
      </c>
      <c r="CM54" t="s">
        <v>128</v>
      </c>
      <c r="CN54" t="s">
        <v>128</v>
      </c>
      <c r="CO54" t="s">
        <v>128</v>
      </c>
      <c r="CP54" t="s">
        <v>128</v>
      </c>
      <c r="CQ54" t="s">
        <v>128</v>
      </c>
      <c r="CR54" t="s">
        <v>128</v>
      </c>
      <c r="CS54" t="s">
        <v>128</v>
      </c>
      <c r="CT54" t="s">
        <v>128</v>
      </c>
      <c r="CU54" t="s">
        <v>128</v>
      </c>
      <c r="CV54" t="s">
        <v>128</v>
      </c>
      <c r="CW54" t="s">
        <v>128</v>
      </c>
    </row>
    <row r="55" spans="1:101" x14ac:dyDescent="0.25">
      <c r="A55" t="s">
        <v>97</v>
      </c>
      <c r="B55" t="s">
        <v>128</v>
      </c>
      <c r="C55" t="s">
        <v>128</v>
      </c>
      <c r="D55" t="s">
        <v>128</v>
      </c>
      <c r="E55" t="s">
        <v>128</v>
      </c>
      <c r="F55" t="s">
        <v>128</v>
      </c>
      <c r="G55" t="s">
        <v>128</v>
      </c>
      <c r="H55" t="s">
        <v>128</v>
      </c>
      <c r="I55" t="s">
        <v>128</v>
      </c>
      <c r="J55" t="s">
        <v>128</v>
      </c>
      <c r="K55" t="s">
        <v>128</v>
      </c>
      <c r="L55" t="s">
        <v>128</v>
      </c>
      <c r="M55" t="s">
        <v>128</v>
      </c>
      <c r="N55" t="s">
        <v>128</v>
      </c>
      <c r="O55" t="s">
        <v>128</v>
      </c>
      <c r="P55" t="s">
        <v>128</v>
      </c>
      <c r="Q55" t="s">
        <v>128</v>
      </c>
      <c r="R55" t="s">
        <v>128</v>
      </c>
      <c r="S55" t="s">
        <v>128</v>
      </c>
      <c r="T55" t="s">
        <v>128</v>
      </c>
      <c r="U55" t="s">
        <v>128</v>
      </c>
      <c r="V55" t="s">
        <v>128</v>
      </c>
      <c r="W55" t="s">
        <v>128</v>
      </c>
      <c r="X55" t="s">
        <v>128</v>
      </c>
      <c r="Y55" t="s">
        <v>128</v>
      </c>
      <c r="Z55" t="s">
        <v>128</v>
      </c>
      <c r="AA55" t="s">
        <v>128</v>
      </c>
      <c r="AB55" t="s">
        <v>128</v>
      </c>
      <c r="AC55" t="s">
        <v>128</v>
      </c>
      <c r="AD55" t="s">
        <v>128</v>
      </c>
      <c r="AE55" t="s">
        <v>128</v>
      </c>
      <c r="AF55" t="s">
        <v>128</v>
      </c>
      <c r="AG55" t="s">
        <v>128</v>
      </c>
      <c r="AH55" t="s">
        <v>128</v>
      </c>
      <c r="AI55" t="s">
        <v>128</v>
      </c>
      <c r="AJ55" t="s">
        <v>128</v>
      </c>
      <c r="AK55" t="s">
        <v>128</v>
      </c>
      <c r="AL55" t="s">
        <v>128</v>
      </c>
      <c r="AM55" t="s">
        <v>128</v>
      </c>
      <c r="AN55" t="s">
        <v>128</v>
      </c>
      <c r="AO55" t="s">
        <v>128</v>
      </c>
      <c r="AP55" t="s">
        <v>128</v>
      </c>
      <c r="AQ55" t="s">
        <v>128</v>
      </c>
      <c r="AR55" t="s">
        <v>128</v>
      </c>
      <c r="AS55" t="s">
        <v>128</v>
      </c>
      <c r="AT55" t="s">
        <v>128</v>
      </c>
      <c r="AU55" t="s">
        <v>128</v>
      </c>
      <c r="AV55" t="s">
        <v>128</v>
      </c>
      <c r="AW55" t="s">
        <v>128</v>
      </c>
      <c r="AX55" t="s">
        <v>128</v>
      </c>
      <c r="AY55" t="s">
        <v>128</v>
      </c>
      <c r="AZ55" t="s">
        <v>128</v>
      </c>
      <c r="BA55" t="s">
        <v>128</v>
      </c>
      <c r="BB55" t="s">
        <v>128</v>
      </c>
      <c r="BC55" t="s">
        <v>128</v>
      </c>
      <c r="BD55" t="s">
        <v>128</v>
      </c>
      <c r="BE55" t="s">
        <v>128</v>
      </c>
      <c r="BF55" t="s">
        <v>128</v>
      </c>
      <c r="BG55" t="s">
        <v>128</v>
      </c>
      <c r="BH55" t="s">
        <v>128</v>
      </c>
      <c r="BI55" t="s">
        <v>128</v>
      </c>
      <c r="BJ55" t="s">
        <v>128</v>
      </c>
      <c r="BK55" t="s">
        <v>128</v>
      </c>
      <c r="BL55" t="s">
        <v>128</v>
      </c>
      <c r="BM55" t="s">
        <v>128</v>
      </c>
      <c r="BN55" t="s">
        <v>128</v>
      </c>
      <c r="BO55" t="s">
        <v>128</v>
      </c>
      <c r="BP55" t="s">
        <v>128</v>
      </c>
      <c r="BQ55" t="s">
        <v>128</v>
      </c>
      <c r="BR55" t="s">
        <v>128</v>
      </c>
      <c r="BS55" t="s">
        <v>128</v>
      </c>
      <c r="BT55" t="s">
        <v>128</v>
      </c>
      <c r="BU55" t="s">
        <v>128</v>
      </c>
      <c r="BV55" t="s">
        <v>128</v>
      </c>
      <c r="BW55" t="s">
        <v>128</v>
      </c>
      <c r="BX55" t="s">
        <v>128</v>
      </c>
      <c r="BY55" t="s">
        <v>128</v>
      </c>
      <c r="BZ55" t="s">
        <v>128</v>
      </c>
      <c r="CA55" t="s">
        <v>128</v>
      </c>
      <c r="CB55" t="s">
        <v>128</v>
      </c>
      <c r="CC55" t="s">
        <v>128</v>
      </c>
      <c r="CD55" t="s">
        <v>128</v>
      </c>
      <c r="CE55" t="s">
        <v>128</v>
      </c>
      <c r="CF55" t="s">
        <v>128</v>
      </c>
      <c r="CG55" t="s">
        <v>128</v>
      </c>
      <c r="CH55" t="s">
        <v>128</v>
      </c>
      <c r="CI55" t="s">
        <v>128</v>
      </c>
      <c r="CJ55" t="s">
        <v>128</v>
      </c>
      <c r="CK55" t="s">
        <v>128</v>
      </c>
      <c r="CL55" t="s">
        <v>128</v>
      </c>
      <c r="CM55" t="s">
        <v>128</v>
      </c>
      <c r="CN55" t="s">
        <v>128</v>
      </c>
      <c r="CO55" t="s">
        <v>128</v>
      </c>
      <c r="CP55" t="s">
        <v>128</v>
      </c>
      <c r="CQ55" t="s">
        <v>128</v>
      </c>
      <c r="CR55" t="s">
        <v>128</v>
      </c>
      <c r="CS55" t="s">
        <v>128</v>
      </c>
      <c r="CT55" t="s">
        <v>128</v>
      </c>
      <c r="CU55" t="s">
        <v>128</v>
      </c>
      <c r="CV55" t="s">
        <v>128</v>
      </c>
      <c r="CW55" t="s">
        <v>128</v>
      </c>
    </row>
    <row r="56" spans="1:101" x14ac:dyDescent="0.25">
      <c r="A56" t="s">
        <v>98</v>
      </c>
      <c r="B56" t="s">
        <v>128</v>
      </c>
      <c r="C56" t="s">
        <v>128</v>
      </c>
      <c r="D56" t="s">
        <v>128</v>
      </c>
      <c r="E56" t="s">
        <v>128</v>
      </c>
      <c r="F56" t="s">
        <v>128</v>
      </c>
      <c r="G56" t="s">
        <v>128</v>
      </c>
      <c r="H56" t="s">
        <v>128</v>
      </c>
      <c r="I56" t="s">
        <v>128</v>
      </c>
      <c r="J56" t="s">
        <v>128</v>
      </c>
      <c r="K56" t="s">
        <v>128</v>
      </c>
      <c r="L56" t="s">
        <v>128</v>
      </c>
      <c r="M56" t="s">
        <v>128</v>
      </c>
      <c r="N56" t="s">
        <v>128</v>
      </c>
      <c r="O56" t="s">
        <v>128</v>
      </c>
      <c r="P56" t="s">
        <v>128</v>
      </c>
      <c r="Q56" t="s">
        <v>128</v>
      </c>
      <c r="R56" t="s">
        <v>128</v>
      </c>
      <c r="S56" t="s">
        <v>128</v>
      </c>
      <c r="T56" t="s">
        <v>128</v>
      </c>
      <c r="U56" t="s">
        <v>128</v>
      </c>
      <c r="V56" t="s">
        <v>128</v>
      </c>
      <c r="W56" t="s">
        <v>128</v>
      </c>
      <c r="X56" t="s">
        <v>128</v>
      </c>
      <c r="Y56" t="s">
        <v>128</v>
      </c>
      <c r="Z56" t="s">
        <v>128</v>
      </c>
      <c r="AA56" t="s">
        <v>128</v>
      </c>
      <c r="AB56" t="s">
        <v>128</v>
      </c>
      <c r="AC56" t="s">
        <v>128</v>
      </c>
      <c r="AD56" t="s">
        <v>128</v>
      </c>
      <c r="AE56" t="s">
        <v>128</v>
      </c>
      <c r="AF56" t="s">
        <v>128</v>
      </c>
      <c r="AG56" t="s">
        <v>128</v>
      </c>
      <c r="AH56" t="s">
        <v>128</v>
      </c>
      <c r="AI56" t="s">
        <v>128</v>
      </c>
      <c r="AJ56" t="s">
        <v>128</v>
      </c>
      <c r="AK56" t="s">
        <v>128</v>
      </c>
      <c r="AL56" t="s">
        <v>128</v>
      </c>
      <c r="AM56" t="s">
        <v>128</v>
      </c>
      <c r="AN56" t="s">
        <v>128</v>
      </c>
      <c r="AO56" t="s">
        <v>128</v>
      </c>
      <c r="AP56" t="s">
        <v>128</v>
      </c>
      <c r="AQ56" t="s">
        <v>128</v>
      </c>
      <c r="AR56" t="s">
        <v>128</v>
      </c>
      <c r="AS56" t="s">
        <v>128</v>
      </c>
      <c r="AT56" t="s">
        <v>128</v>
      </c>
      <c r="AU56" t="s">
        <v>128</v>
      </c>
      <c r="AV56" t="s">
        <v>128</v>
      </c>
      <c r="AW56" t="s">
        <v>128</v>
      </c>
      <c r="AX56" t="s">
        <v>128</v>
      </c>
      <c r="AY56" t="s">
        <v>128</v>
      </c>
      <c r="AZ56" t="s">
        <v>128</v>
      </c>
      <c r="BA56" t="s">
        <v>128</v>
      </c>
      <c r="BB56" t="s">
        <v>128</v>
      </c>
      <c r="BC56" t="s">
        <v>128</v>
      </c>
      <c r="BD56" t="s">
        <v>128</v>
      </c>
      <c r="BE56" t="s">
        <v>128</v>
      </c>
      <c r="BF56" t="s">
        <v>128</v>
      </c>
      <c r="BG56" t="s">
        <v>128</v>
      </c>
      <c r="BH56" t="s">
        <v>128</v>
      </c>
      <c r="BI56" t="s">
        <v>128</v>
      </c>
      <c r="BJ56" t="s">
        <v>128</v>
      </c>
      <c r="BK56" t="s">
        <v>128</v>
      </c>
      <c r="BL56" t="s">
        <v>128</v>
      </c>
      <c r="BM56" t="s">
        <v>128</v>
      </c>
      <c r="BN56" t="s">
        <v>128</v>
      </c>
      <c r="BO56" t="s">
        <v>128</v>
      </c>
      <c r="BP56" t="s">
        <v>128</v>
      </c>
      <c r="BQ56" t="s">
        <v>128</v>
      </c>
      <c r="BR56" t="s">
        <v>128</v>
      </c>
      <c r="BS56" t="s">
        <v>128</v>
      </c>
      <c r="BT56" t="s">
        <v>128</v>
      </c>
      <c r="BU56" t="s">
        <v>128</v>
      </c>
      <c r="BV56" t="s">
        <v>128</v>
      </c>
      <c r="BW56" t="s">
        <v>128</v>
      </c>
      <c r="BX56" t="s">
        <v>128</v>
      </c>
      <c r="BY56" t="s">
        <v>128</v>
      </c>
      <c r="BZ56" t="s">
        <v>128</v>
      </c>
      <c r="CA56" t="s">
        <v>128</v>
      </c>
      <c r="CB56" t="s">
        <v>128</v>
      </c>
      <c r="CC56" t="s">
        <v>128</v>
      </c>
      <c r="CD56" t="s">
        <v>128</v>
      </c>
      <c r="CE56" t="s">
        <v>128</v>
      </c>
      <c r="CF56" t="s">
        <v>128</v>
      </c>
      <c r="CG56" t="s">
        <v>128</v>
      </c>
      <c r="CH56" t="s">
        <v>128</v>
      </c>
      <c r="CI56" t="s">
        <v>128</v>
      </c>
      <c r="CJ56" t="s">
        <v>128</v>
      </c>
      <c r="CK56" t="s">
        <v>128</v>
      </c>
      <c r="CL56" t="s">
        <v>128</v>
      </c>
      <c r="CM56" t="s">
        <v>128</v>
      </c>
      <c r="CN56" t="s">
        <v>128</v>
      </c>
      <c r="CO56" t="s">
        <v>128</v>
      </c>
      <c r="CP56" t="s">
        <v>128</v>
      </c>
      <c r="CQ56" t="s">
        <v>128</v>
      </c>
      <c r="CR56" t="s">
        <v>128</v>
      </c>
      <c r="CS56" t="s">
        <v>128</v>
      </c>
      <c r="CT56" t="s">
        <v>128</v>
      </c>
      <c r="CU56" t="s">
        <v>128</v>
      </c>
      <c r="CV56" t="s">
        <v>128</v>
      </c>
      <c r="CW56" t="s">
        <v>128</v>
      </c>
    </row>
    <row r="57" spans="1:101" x14ac:dyDescent="0.25">
      <c r="A57" t="s">
        <v>99</v>
      </c>
      <c r="B57" t="s">
        <v>128</v>
      </c>
      <c r="C57" t="s">
        <v>128</v>
      </c>
      <c r="D57" t="s">
        <v>128</v>
      </c>
      <c r="E57" t="s">
        <v>128</v>
      </c>
      <c r="F57" t="s">
        <v>128</v>
      </c>
      <c r="G57" t="s">
        <v>128</v>
      </c>
      <c r="H57" t="s">
        <v>128</v>
      </c>
      <c r="I57" t="s">
        <v>128</v>
      </c>
      <c r="J57" t="s">
        <v>128</v>
      </c>
      <c r="K57" t="s">
        <v>128</v>
      </c>
      <c r="L57" t="s">
        <v>128</v>
      </c>
      <c r="M57" t="s">
        <v>128</v>
      </c>
      <c r="N57" t="s">
        <v>128</v>
      </c>
      <c r="O57" t="s">
        <v>128</v>
      </c>
      <c r="P57" t="s">
        <v>128</v>
      </c>
      <c r="Q57" t="s">
        <v>128</v>
      </c>
      <c r="R57" t="s">
        <v>128</v>
      </c>
      <c r="S57" t="s">
        <v>128</v>
      </c>
      <c r="T57" t="s">
        <v>128</v>
      </c>
      <c r="U57" t="s">
        <v>128</v>
      </c>
      <c r="V57" t="s">
        <v>128</v>
      </c>
      <c r="W57" t="s">
        <v>128</v>
      </c>
      <c r="X57" t="s">
        <v>128</v>
      </c>
      <c r="Y57" t="s">
        <v>128</v>
      </c>
      <c r="Z57" t="s">
        <v>128</v>
      </c>
      <c r="AA57" t="s">
        <v>128</v>
      </c>
      <c r="AB57" t="s">
        <v>128</v>
      </c>
      <c r="AC57" t="s">
        <v>128</v>
      </c>
      <c r="AD57" t="s">
        <v>128</v>
      </c>
      <c r="AE57" t="s">
        <v>128</v>
      </c>
      <c r="AF57" t="s">
        <v>128</v>
      </c>
      <c r="AG57" t="s">
        <v>128</v>
      </c>
      <c r="AH57" t="s">
        <v>128</v>
      </c>
      <c r="AI57" t="s">
        <v>128</v>
      </c>
      <c r="AJ57" t="s">
        <v>128</v>
      </c>
      <c r="AK57" t="s">
        <v>128</v>
      </c>
      <c r="AL57" t="s">
        <v>128</v>
      </c>
      <c r="AM57" t="s">
        <v>128</v>
      </c>
      <c r="AN57" t="s">
        <v>128</v>
      </c>
      <c r="AO57" t="s">
        <v>128</v>
      </c>
      <c r="AP57" t="s">
        <v>128</v>
      </c>
      <c r="AQ57" t="s">
        <v>128</v>
      </c>
      <c r="AR57" t="s">
        <v>128</v>
      </c>
      <c r="AS57" t="s">
        <v>128</v>
      </c>
      <c r="AT57" t="s">
        <v>128</v>
      </c>
      <c r="AU57" t="s">
        <v>128</v>
      </c>
      <c r="AV57" t="s">
        <v>128</v>
      </c>
      <c r="AW57" t="s">
        <v>128</v>
      </c>
      <c r="AX57" t="s">
        <v>128</v>
      </c>
      <c r="AY57" t="s">
        <v>128</v>
      </c>
      <c r="AZ57" t="s">
        <v>128</v>
      </c>
      <c r="BA57" t="s">
        <v>128</v>
      </c>
      <c r="BB57" t="s">
        <v>128</v>
      </c>
      <c r="BC57" t="s">
        <v>128</v>
      </c>
      <c r="BD57" t="s">
        <v>128</v>
      </c>
      <c r="BE57" t="s">
        <v>128</v>
      </c>
      <c r="BF57" t="s">
        <v>128</v>
      </c>
      <c r="BG57" t="s">
        <v>128</v>
      </c>
      <c r="BH57" t="s">
        <v>128</v>
      </c>
      <c r="BI57" t="s">
        <v>128</v>
      </c>
      <c r="BJ57" t="s">
        <v>128</v>
      </c>
      <c r="BK57" t="s">
        <v>128</v>
      </c>
      <c r="BL57" t="s">
        <v>128</v>
      </c>
      <c r="BM57" t="s">
        <v>128</v>
      </c>
      <c r="BN57" t="s">
        <v>128</v>
      </c>
      <c r="BO57" t="s">
        <v>128</v>
      </c>
      <c r="BP57" t="s">
        <v>128</v>
      </c>
      <c r="BQ57" t="s">
        <v>128</v>
      </c>
      <c r="BR57" t="s">
        <v>128</v>
      </c>
      <c r="BS57" t="s">
        <v>128</v>
      </c>
      <c r="BT57" t="s">
        <v>128</v>
      </c>
      <c r="BU57" t="s">
        <v>128</v>
      </c>
      <c r="BV57" t="s">
        <v>128</v>
      </c>
      <c r="BW57" t="s">
        <v>128</v>
      </c>
      <c r="BX57" t="s">
        <v>128</v>
      </c>
      <c r="BY57" t="s">
        <v>128</v>
      </c>
      <c r="BZ57" t="s">
        <v>128</v>
      </c>
      <c r="CA57" t="s">
        <v>128</v>
      </c>
      <c r="CB57" t="s">
        <v>128</v>
      </c>
      <c r="CC57" t="s">
        <v>128</v>
      </c>
      <c r="CD57" t="s">
        <v>128</v>
      </c>
      <c r="CE57" t="s">
        <v>128</v>
      </c>
      <c r="CF57" t="s">
        <v>128</v>
      </c>
      <c r="CG57" t="s">
        <v>128</v>
      </c>
      <c r="CH57" t="s">
        <v>128</v>
      </c>
      <c r="CI57" t="s">
        <v>128</v>
      </c>
      <c r="CJ57" t="s">
        <v>128</v>
      </c>
      <c r="CK57" t="s">
        <v>128</v>
      </c>
      <c r="CL57" t="s">
        <v>128</v>
      </c>
      <c r="CM57" t="s">
        <v>128</v>
      </c>
      <c r="CN57" t="s">
        <v>128</v>
      </c>
      <c r="CO57" t="s">
        <v>128</v>
      </c>
      <c r="CP57" t="s">
        <v>128</v>
      </c>
      <c r="CQ57" t="s">
        <v>128</v>
      </c>
      <c r="CR57" t="s">
        <v>128</v>
      </c>
      <c r="CS57" t="s">
        <v>128</v>
      </c>
      <c r="CT57" t="s">
        <v>128</v>
      </c>
      <c r="CU57" t="s">
        <v>128</v>
      </c>
      <c r="CV57" t="s">
        <v>128</v>
      </c>
      <c r="CW57" t="s">
        <v>128</v>
      </c>
    </row>
    <row r="58" spans="1:101" x14ac:dyDescent="0.25">
      <c r="A58" t="s">
        <v>100</v>
      </c>
      <c r="B58" t="s">
        <v>128</v>
      </c>
      <c r="C58" t="s">
        <v>128</v>
      </c>
      <c r="D58" t="s">
        <v>128</v>
      </c>
      <c r="E58" t="s">
        <v>128</v>
      </c>
      <c r="F58" t="s">
        <v>128</v>
      </c>
      <c r="G58" t="s">
        <v>128</v>
      </c>
      <c r="H58" t="s">
        <v>128</v>
      </c>
      <c r="I58" t="s">
        <v>128</v>
      </c>
      <c r="J58" t="s">
        <v>128</v>
      </c>
      <c r="K58" t="s">
        <v>128</v>
      </c>
      <c r="L58" t="s">
        <v>128</v>
      </c>
      <c r="M58" t="s">
        <v>128</v>
      </c>
      <c r="N58" t="s">
        <v>128</v>
      </c>
      <c r="O58" t="s">
        <v>128</v>
      </c>
      <c r="P58" t="s">
        <v>128</v>
      </c>
      <c r="Q58" t="s">
        <v>128</v>
      </c>
      <c r="R58" t="s">
        <v>128</v>
      </c>
      <c r="S58" t="s">
        <v>128</v>
      </c>
      <c r="T58" t="s">
        <v>128</v>
      </c>
      <c r="U58" t="s">
        <v>128</v>
      </c>
      <c r="V58" t="s">
        <v>128</v>
      </c>
      <c r="W58" t="s">
        <v>128</v>
      </c>
      <c r="X58" t="s">
        <v>128</v>
      </c>
      <c r="Y58" t="s">
        <v>128</v>
      </c>
      <c r="Z58" t="s">
        <v>128</v>
      </c>
      <c r="AA58" t="s">
        <v>128</v>
      </c>
      <c r="AB58" t="s">
        <v>128</v>
      </c>
      <c r="AC58" t="s">
        <v>128</v>
      </c>
      <c r="AD58" t="s">
        <v>128</v>
      </c>
      <c r="AE58" t="s">
        <v>128</v>
      </c>
      <c r="AF58" t="s">
        <v>128</v>
      </c>
      <c r="AG58" t="s">
        <v>128</v>
      </c>
      <c r="AH58" t="s">
        <v>128</v>
      </c>
      <c r="AI58" t="s">
        <v>128</v>
      </c>
      <c r="AJ58" t="s">
        <v>128</v>
      </c>
      <c r="AK58" t="s">
        <v>128</v>
      </c>
      <c r="AL58" t="s">
        <v>128</v>
      </c>
      <c r="AM58" t="s">
        <v>128</v>
      </c>
      <c r="AN58" t="s">
        <v>128</v>
      </c>
      <c r="AO58" t="s">
        <v>128</v>
      </c>
      <c r="AP58" t="s">
        <v>128</v>
      </c>
      <c r="AQ58" t="s">
        <v>128</v>
      </c>
      <c r="AR58" t="s">
        <v>128</v>
      </c>
      <c r="AS58" t="s">
        <v>128</v>
      </c>
      <c r="AT58" t="s">
        <v>128</v>
      </c>
      <c r="AU58" t="s">
        <v>128</v>
      </c>
      <c r="AV58" t="s">
        <v>128</v>
      </c>
      <c r="AW58" t="s">
        <v>128</v>
      </c>
      <c r="AX58" t="s">
        <v>128</v>
      </c>
      <c r="AY58" t="s">
        <v>128</v>
      </c>
      <c r="AZ58" t="s">
        <v>128</v>
      </c>
      <c r="BA58" t="s">
        <v>128</v>
      </c>
      <c r="BB58" t="s">
        <v>128</v>
      </c>
      <c r="BC58" t="s">
        <v>128</v>
      </c>
      <c r="BD58" t="s">
        <v>128</v>
      </c>
      <c r="BE58" t="s">
        <v>128</v>
      </c>
      <c r="BF58" t="s">
        <v>128</v>
      </c>
      <c r="BG58" t="s">
        <v>128</v>
      </c>
      <c r="BH58" t="s">
        <v>128</v>
      </c>
      <c r="BI58" t="s">
        <v>128</v>
      </c>
      <c r="BJ58" t="s">
        <v>128</v>
      </c>
      <c r="BK58" t="s">
        <v>128</v>
      </c>
      <c r="BL58" t="s">
        <v>128</v>
      </c>
      <c r="BM58" t="s">
        <v>128</v>
      </c>
      <c r="BN58" t="s">
        <v>128</v>
      </c>
      <c r="BO58" t="s">
        <v>128</v>
      </c>
      <c r="BP58" t="s">
        <v>128</v>
      </c>
      <c r="BQ58" t="s">
        <v>128</v>
      </c>
      <c r="BR58" t="s">
        <v>128</v>
      </c>
      <c r="BS58" t="s">
        <v>128</v>
      </c>
      <c r="BT58" t="s">
        <v>128</v>
      </c>
      <c r="BU58" t="s">
        <v>128</v>
      </c>
      <c r="BV58" t="s">
        <v>128</v>
      </c>
      <c r="BW58" t="s">
        <v>128</v>
      </c>
      <c r="BX58" t="s">
        <v>128</v>
      </c>
      <c r="BY58" t="s">
        <v>128</v>
      </c>
      <c r="BZ58" t="s">
        <v>128</v>
      </c>
      <c r="CA58" t="s">
        <v>128</v>
      </c>
      <c r="CB58" t="s">
        <v>128</v>
      </c>
      <c r="CC58" t="s">
        <v>128</v>
      </c>
      <c r="CD58" t="s">
        <v>128</v>
      </c>
      <c r="CE58" t="s">
        <v>128</v>
      </c>
      <c r="CF58" t="s">
        <v>128</v>
      </c>
      <c r="CG58" t="s">
        <v>128</v>
      </c>
      <c r="CH58" t="s">
        <v>128</v>
      </c>
      <c r="CI58" t="s">
        <v>128</v>
      </c>
      <c r="CJ58" t="s">
        <v>128</v>
      </c>
      <c r="CK58" t="s">
        <v>128</v>
      </c>
      <c r="CL58" t="s">
        <v>128</v>
      </c>
      <c r="CM58" t="s">
        <v>128</v>
      </c>
      <c r="CN58" t="s">
        <v>128</v>
      </c>
      <c r="CO58" t="s">
        <v>128</v>
      </c>
      <c r="CP58" t="s">
        <v>128</v>
      </c>
      <c r="CQ58" t="s">
        <v>128</v>
      </c>
      <c r="CR58" t="s">
        <v>128</v>
      </c>
      <c r="CS58" t="s">
        <v>128</v>
      </c>
      <c r="CT58" t="s">
        <v>128</v>
      </c>
      <c r="CU58" t="s">
        <v>128</v>
      </c>
      <c r="CV58" t="s">
        <v>128</v>
      </c>
      <c r="CW58" t="s">
        <v>128</v>
      </c>
    </row>
    <row r="61" spans="1:101" x14ac:dyDescent="0.25">
      <c r="A61" s="3" t="s">
        <v>130</v>
      </c>
    </row>
    <row r="62" spans="1:101" x14ac:dyDescent="0.25">
      <c r="A62" t="s">
        <v>101</v>
      </c>
      <c r="B62" t="s">
        <v>128</v>
      </c>
      <c r="C62" t="s">
        <v>128</v>
      </c>
      <c r="D62" t="s">
        <v>128</v>
      </c>
      <c r="E62" t="s">
        <v>128</v>
      </c>
      <c r="F62" t="s">
        <v>128</v>
      </c>
      <c r="G62" t="s">
        <v>128</v>
      </c>
      <c r="H62" t="s">
        <v>128</v>
      </c>
      <c r="I62" t="s">
        <v>128</v>
      </c>
      <c r="J62" t="s">
        <v>128</v>
      </c>
      <c r="K62" t="s">
        <v>128</v>
      </c>
      <c r="L62" t="s">
        <v>128</v>
      </c>
      <c r="M62" t="s">
        <v>128</v>
      </c>
      <c r="N62" t="s">
        <v>128</v>
      </c>
      <c r="O62" t="s">
        <v>128</v>
      </c>
      <c r="P62" t="s">
        <v>128</v>
      </c>
      <c r="Q62" t="s">
        <v>128</v>
      </c>
      <c r="R62" t="s">
        <v>128</v>
      </c>
      <c r="S62" t="s">
        <v>128</v>
      </c>
      <c r="T62" t="s">
        <v>128</v>
      </c>
      <c r="U62" t="s">
        <v>128</v>
      </c>
      <c r="V62" t="s">
        <v>128</v>
      </c>
      <c r="W62" t="s">
        <v>128</v>
      </c>
      <c r="X62" t="s">
        <v>128</v>
      </c>
      <c r="Y62" t="s">
        <v>128</v>
      </c>
      <c r="Z62" t="s">
        <v>128</v>
      </c>
      <c r="AA62" t="s">
        <v>128</v>
      </c>
      <c r="AB62" t="s">
        <v>128</v>
      </c>
      <c r="AC62" t="s">
        <v>128</v>
      </c>
      <c r="AD62" t="s">
        <v>128</v>
      </c>
      <c r="AE62" t="s">
        <v>128</v>
      </c>
      <c r="AF62" t="s">
        <v>128</v>
      </c>
      <c r="AG62" t="s">
        <v>128</v>
      </c>
      <c r="AH62" t="s">
        <v>128</v>
      </c>
      <c r="AI62" t="s">
        <v>128</v>
      </c>
      <c r="AJ62" t="s">
        <v>128</v>
      </c>
      <c r="AK62" t="s">
        <v>128</v>
      </c>
      <c r="AL62" t="s">
        <v>128</v>
      </c>
      <c r="AM62" t="s">
        <v>128</v>
      </c>
      <c r="AN62" t="s">
        <v>128</v>
      </c>
      <c r="AO62" t="s">
        <v>128</v>
      </c>
      <c r="AP62" t="s">
        <v>128</v>
      </c>
      <c r="AQ62" t="s">
        <v>128</v>
      </c>
      <c r="AR62" t="s">
        <v>128</v>
      </c>
      <c r="AS62" t="s">
        <v>128</v>
      </c>
      <c r="AT62" t="s">
        <v>128</v>
      </c>
      <c r="AU62" t="s">
        <v>128</v>
      </c>
      <c r="AV62" t="s">
        <v>128</v>
      </c>
      <c r="AW62" t="s">
        <v>128</v>
      </c>
      <c r="AX62" t="s">
        <v>128</v>
      </c>
      <c r="AY62" t="s">
        <v>128</v>
      </c>
      <c r="AZ62" t="s">
        <v>128</v>
      </c>
      <c r="BA62" t="s">
        <v>128</v>
      </c>
      <c r="BB62" t="s">
        <v>128</v>
      </c>
      <c r="BC62" t="s">
        <v>128</v>
      </c>
      <c r="BD62" t="s">
        <v>128</v>
      </c>
      <c r="BE62" t="s">
        <v>128</v>
      </c>
      <c r="BF62" t="s">
        <v>128</v>
      </c>
      <c r="BG62" t="s">
        <v>128</v>
      </c>
      <c r="BH62" t="s">
        <v>128</v>
      </c>
      <c r="BI62" t="s">
        <v>128</v>
      </c>
      <c r="BJ62" t="s">
        <v>128</v>
      </c>
      <c r="BK62" t="s">
        <v>128</v>
      </c>
      <c r="BL62" t="s">
        <v>128</v>
      </c>
      <c r="BM62" t="s">
        <v>128</v>
      </c>
      <c r="BN62" t="s">
        <v>128</v>
      </c>
      <c r="BO62" t="s">
        <v>128</v>
      </c>
      <c r="BP62" t="s">
        <v>128</v>
      </c>
      <c r="BQ62" t="s">
        <v>128</v>
      </c>
      <c r="BR62" t="s">
        <v>128</v>
      </c>
      <c r="BS62" t="s">
        <v>128</v>
      </c>
      <c r="BT62" t="s">
        <v>128</v>
      </c>
      <c r="BU62" t="s">
        <v>128</v>
      </c>
      <c r="BV62" t="s">
        <v>128</v>
      </c>
      <c r="BW62" t="s">
        <v>128</v>
      </c>
      <c r="BX62" t="s">
        <v>128</v>
      </c>
      <c r="BY62" t="s">
        <v>128</v>
      </c>
      <c r="BZ62" t="s">
        <v>128</v>
      </c>
      <c r="CA62" t="s">
        <v>128</v>
      </c>
      <c r="CB62" t="s">
        <v>128</v>
      </c>
      <c r="CC62" t="s">
        <v>128</v>
      </c>
      <c r="CD62" t="s">
        <v>128</v>
      </c>
      <c r="CE62" t="s">
        <v>128</v>
      </c>
      <c r="CF62" t="s">
        <v>128</v>
      </c>
      <c r="CG62" t="s">
        <v>128</v>
      </c>
      <c r="CH62" t="s">
        <v>128</v>
      </c>
      <c r="CI62" t="s">
        <v>128</v>
      </c>
      <c r="CJ62" t="s">
        <v>128</v>
      </c>
      <c r="CK62" t="s">
        <v>128</v>
      </c>
      <c r="CL62" t="s">
        <v>128</v>
      </c>
      <c r="CM62" t="s">
        <v>128</v>
      </c>
      <c r="CN62" t="s">
        <v>128</v>
      </c>
      <c r="CO62" t="s">
        <v>128</v>
      </c>
      <c r="CP62" t="s">
        <v>128</v>
      </c>
      <c r="CQ62" t="s">
        <v>128</v>
      </c>
      <c r="CR62" t="s">
        <v>128</v>
      </c>
      <c r="CS62" t="s">
        <v>128</v>
      </c>
      <c r="CT62" t="s">
        <v>128</v>
      </c>
      <c r="CU62" t="s">
        <v>128</v>
      </c>
      <c r="CV62" t="s">
        <v>128</v>
      </c>
      <c r="CW62" t="s">
        <v>128</v>
      </c>
    </row>
    <row r="63" spans="1:101" x14ac:dyDescent="0.25">
      <c r="A63" t="s">
        <v>80</v>
      </c>
      <c r="B63" t="s">
        <v>128</v>
      </c>
      <c r="C63" t="s">
        <v>128</v>
      </c>
      <c r="D63" t="s">
        <v>128</v>
      </c>
      <c r="E63" t="s">
        <v>128</v>
      </c>
      <c r="F63" t="s">
        <v>128</v>
      </c>
      <c r="G63" t="s">
        <v>128</v>
      </c>
      <c r="H63" t="s">
        <v>128</v>
      </c>
      <c r="I63" t="s">
        <v>128</v>
      </c>
      <c r="J63" t="s">
        <v>128</v>
      </c>
      <c r="K63" t="s">
        <v>128</v>
      </c>
      <c r="L63" t="s">
        <v>128</v>
      </c>
      <c r="M63" t="s">
        <v>128</v>
      </c>
      <c r="N63" t="s">
        <v>128</v>
      </c>
      <c r="O63" t="s">
        <v>128</v>
      </c>
      <c r="P63" t="s">
        <v>128</v>
      </c>
      <c r="Q63" t="s">
        <v>128</v>
      </c>
      <c r="R63" t="s">
        <v>128</v>
      </c>
      <c r="S63" t="s">
        <v>128</v>
      </c>
      <c r="T63" t="s">
        <v>128</v>
      </c>
      <c r="U63" t="s">
        <v>128</v>
      </c>
      <c r="V63" t="s">
        <v>128</v>
      </c>
      <c r="W63" t="s">
        <v>128</v>
      </c>
      <c r="X63" t="s">
        <v>128</v>
      </c>
      <c r="Y63" t="s">
        <v>128</v>
      </c>
      <c r="Z63" t="s">
        <v>128</v>
      </c>
      <c r="AA63" t="s">
        <v>128</v>
      </c>
      <c r="AB63" t="s">
        <v>128</v>
      </c>
      <c r="AC63" t="s">
        <v>128</v>
      </c>
      <c r="AD63" t="s">
        <v>128</v>
      </c>
      <c r="AE63" t="s">
        <v>128</v>
      </c>
      <c r="AF63" t="s">
        <v>128</v>
      </c>
      <c r="AG63" t="s">
        <v>128</v>
      </c>
      <c r="AH63" t="s">
        <v>128</v>
      </c>
      <c r="AI63" t="s">
        <v>128</v>
      </c>
      <c r="AJ63" t="s">
        <v>128</v>
      </c>
      <c r="AK63" t="s">
        <v>128</v>
      </c>
      <c r="AL63" t="s">
        <v>128</v>
      </c>
      <c r="AM63" t="s">
        <v>128</v>
      </c>
      <c r="AN63" t="s">
        <v>128</v>
      </c>
      <c r="AO63" t="s">
        <v>128</v>
      </c>
      <c r="AP63" t="s">
        <v>128</v>
      </c>
      <c r="AQ63" t="s">
        <v>128</v>
      </c>
      <c r="AR63" t="s">
        <v>128</v>
      </c>
      <c r="AS63" t="s">
        <v>128</v>
      </c>
      <c r="AT63" t="s">
        <v>128</v>
      </c>
      <c r="AU63" t="s">
        <v>128</v>
      </c>
      <c r="AV63" t="s">
        <v>128</v>
      </c>
      <c r="AW63" t="s">
        <v>128</v>
      </c>
      <c r="AX63" t="s">
        <v>128</v>
      </c>
      <c r="AY63" t="s">
        <v>128</v>
      </c>
      <c r="AZ63" t="s">
        <v>128</v>
      </c>
      <c r="BA63" t="s">
        <v>128</v>
      </c>
      <c r="BB63" t="s">
        <v>128</v>
      </c>
      <c r="BC63" t="s">
        <v>128</v>
      </c>
      <c r="BD63" t="s">
        <v>128</v>
      </c>
      <c r="BE63" t="s">
        <v>128</v>
      </c>
      <c r="BF63" t="s">
        <v>128</v>
      </c>
      <c r="BG63" t="s">
        <v>128</v>
      </c>
      <c r="BH63" t="s">
        <v>128</v>
      </c>
      <c r="BI63" t="s">
        <v>128</v>
      </c>
      <c r="BJ63" t="s">
        <v>128</v>
      </c>
      <c r="BK63" t="s">
        <v>128</v>
      </c>
      <c r="BL63" t="s">
        <v>128</v>
      </c>
      <c r="BM63" t="s">
        <v>128</v>
      </c>
      <c r="BN63" t="s">
        <v>128</v>
      </c>
      <c r="BO63" t="s">
        <v>128</v>
      </c>
      <c r="BP63" t="s">
        <v>128</v>
      </c>
      <c r="BQ63" t="s">
        <v>128</v>
      </c>
      <c r="BR63" t="s">
        <v>128</v>
      </c>
      <c r="BS63" t="s">
        <v>128</v>
      </c>
      <c r="BT63" t="s">
        <v>128</v>
      </c>
      <c r="BU63" t="s">
        <v>128</v>
      </c>
      <c r="BV63" t="s">
        <v>128</v>
      </c>
      <c r="BW63" t="s">
        <v>128</v>
      </c>
      <c r="BX63" t="s">
        <v>128</v>
      </c>
      <c r="BY63" t="s">
        <v>128</v>
      </c>
      <c r="BZ63" t="s">
        <v>128</v>
      </c>
      <c r="CA63" t="s">
        <v>128</v>
      </c>
      <c r="CB63" t="s">
        <v>128</v>
      </c>
      <c r="CC63" t="s">
        <v>128</v>
      </c>
      <c r="CD63" t="s">
        <v>128</v>
      </c>
      <c r="CE63" t="s">
        <v>128</v>
      </c>
      <c r="CF63" t="s">
        <v>128</v>
      </c>
      <c r="CG63" t="s">
        <v>128</v>
      </c>
      <c r="CH63" t="s">
        <v>128</v>
      </c>
      <c r="CI63" t="s">
        <v>128</v>
      </c>
      <c r="CJ63" t="s">
        <v>128</v>
      </c>
      <c r="CK63" t="s">
        <v>128</v>
      </c>
      <c r="CL63" t="s">
        <v>128</v>
      </c>
      <c r="CM63" t="s">
        <v>128</v>
      </c>
      <c r="CN63" t="s">
        <v>128</v>
      </c>
      <c r="CO63" t="s">
        <v>128</v>
      </c>
      <c r="CP63" t="s">
        <v>128</v>
      </c>
      <c r="CQ63" t="s">
        <v>128</v>
      </c>
      <c r="CR63" t="s">
        <v>128</v>
      </c>
      <c r="CS63" t="s">
        <v>128</v>
      </c>
      <c r="CT63" t="s">
        <v>128</v>
      </c>
      <c r="CU63" t="s">
        <v>128</v>
      </c>
      <c r="CV63" t="s">
        <v>128</v>
      </c>
      <c r="CW63" t="s">
        <v>128</v>
      </c>
    </row>
    <row r="64" spans="1:101" x14ac:dyDescent="0.25">
      <c r="A64" t="s">
        <v>111</v>
      </c>
      <c r="B64" t="s">
        <v>77</v>
      </c>
      <c r="C64" t="s">
        <v>77</v>
      </c>
      <c r="D64" t="s">
        <v>77</v>
      </c>
      <c r="E64" t="s">
        <v>77</v>
      </c>
      <c r="F64" t="s">
        <v>77</v>
      </c>
      <c r="G64" t="s">
        <v>77</v>
      </c>
      <c r="H64" t="s">
        <v>77</v>
      </c>
      <c r="I64" t="s">
        <v>77</v>
      </c>
      <c r="J64" t="s">
        <v>77</v>
      </c>
      <c r="K64" t="s">
        <v>77</v>
      </c>
      <c r="L64" t="s">
        <v>77</v>
      </c>
      <c r="M64" t="s">
        <v>77</v>
      </c>
      <c r="N64" t="s">
        <v>77</v>
      </c>
      <c r="O64" t="s">
        <v>77</v>
      </c>
      <c r="P64" t="s">
        <v>77</v>
      </c>
      <c r="Q64" t="s">
        <v>77</v>
      </c>
      <c r="R64" t="s">
        <v>77</v>
      </c>
      <c r="S64" t="s">
        <v>77</v>
      </c>
      <c r="T64" t="s">
        <v>77</v>
      </c>
      <c r="U64" t="s">
        <v>77</v>
      </c>
      <c r="V64" t="s">
        <v>77</v>
      </c>
      <c r="W64" t="s">
        <v>77</v>
      </c>
      <c r="X64" t="s">
        <v>77</v>
      </c>
      <c r="Y64" t="s">
        <v>77</v>
      </c>
      <c r="Z64" t="s">
        <v>77</v>
      </c>
      <c r="AA64" t="s">
        <v>77</v>
      </c>
      <c r="AB64" t="s">
        <v>77</v>
      </c>
      <c r="AC64" t="s">
        <v>77</v>
      </c>
      <c r="AD64" t="s">
        <v>77</v>
      </c>
      <c r="AE64" t="s">
        <v>77</v>
      </c>
      <c r="AF64" t="s">
        <v>77</v>
      </c>
      <c r="AG64" t="s">
        <v>77</v>
      </c>
      <c r="AH64" t="s">
        <v>77</v>
      </c>
      <c r="AI64" t="s">
        <v>77</v>
      </c>
      <c r="AJ64" t="s">
        <v>77</v>
      </c>
      <c r="AK64" t="s">
        <v>77</v>
      </c>
      <c r="AL64" t="s">
        <v>77</v>
      </c>
      <c r="AM64" t="s">
        <v>77</v>
      </c>
      <c r="AN64" t="s">
        <v>77</v>
      </c>
      <c r="AO64" t="s">
        <v>77</v>
      </c>
      <c r="AP64" t="s">
        <v>77</v>
      </c>
      <c r="AQ64" t="s">
        <v>77</v>
      </c>
      <c r="AR64" t="s">
        <v>77</v>
      </c>
      <c r="AS64" t="s">
        <v>77</v>
      </c>
      <c r="AT64" t="s">
        <v>77</v>
      </c>
      <c r="AU64" t="s">
        <v>77</v>
      </c>
      <c r="AV64" t="s">
        <v>77</v>
      </c>
      <c r="AW64" t="s">
        <v>77</v>
      </c>
      <c r="AX64" t="s">
        <v>77</v>
      </c>
      <c r="AY64" t="s">
        <v>77</v>
      </c>
      <c r="AZ64" t="s">
        <v>77</v>
      </c>
      <c r="BA64" t="s">
        <v>77</v>
      </c>
      <c r="BB64" t="s">
        <v>77</v>
      </c>
      <c r="BC64" t="s">
        <v>77</v>
      </c>
      <c r="BD64" t="s">
        <v>77</v>
      </c>
      <c r="BE64" t="s">
        <v>77</v>
      </c>
      <c r="BF64" t="s">
        <v>77</v>
      </c>
      <c r="BG64" t="s">
        <v>77</v>
      </c>
      <c r="BH64" t="s">
        <v>77</v>
      </c>
      <c r="BI64" t="s">
        <v>77</v>
      </c>
      <c r="BJ64" t="s">
        <v>77</v>
      </c>
      <c r="BK64" t="s">
        <v>77</v>
      </c>
      <c r="BL64" t="s">
        <v>77</v>
      </c>
      <c r="BM64" t="s">
        <v>77</v>
      </c>
      <c r="BN64" t="s">
        <v>77</v>
      </c>
      <c r="BO64" t="s">
        <v>77</v>
      </c>
      <c r="BP64" t="s">
        <v>77</v>
      </c>
      <c r="BQ64" t="s">
        <v>77</v>
      </c>
      <c r="BR64" t="s">
        <v>77</v>
      </c>
      <c r="BS64" t="s">
        <v>77</v>
      </c>
      <c r="BT64" t="s">
        <v>77</v>
      </c>
      <c r="BU64" t="s">
        <v>77</v>
      </c>
      <c r="BV64" t="s">
        <v>77</v>
      </c>
      <c r="BW64" t="s">
        <v>77</v>
      </c>
      <c r="BX64" t="s">
        <v>77</v>
      </c>
      <c r="BY64" t="s">
        <v>77</v>
      </c>
      <c r="BZ64" t="s">
        <v>77</v>
      </c>
      <c r="CA64" t="s">
        <v>77</v>
      </c>
      <c r="CB64" t="s">
        <v>77</v>
      </c>
      <c r="CC64" t="s">
        <v>77</v>
      </c>
      <c r="CD64" t="s">
        <v>77</v>
      </c>
      <c r="CE64" t="s">
        <v>77</v>
      </c>
      <c r="CF64" t="s">
        <v>77</v>
      </c>
      <c r="CG64" t="s">
        <v>77</v>
      </c>
      <c r="CH64" t="s">
        <v>77</v>
      </c>
      <c r="CI64" t="s">
        <v>77</v>
      </c>
      <c r="CJ64" t="s">
        <v>77</v>
      </c>
      <c r="CK64" t="s">
        <v>77</v>
      </c>
      <c r="CL64" t="s">
        <v>77</v>
      </c>
      <c r="CM64" t="s">
        <v>77</v>
      </c>
      <c r="CN64" t="s">
        <v>77</v>
      </c>
      <c r="CO64" t="s">
        <v>77</v>
      </c>
      <c r="CP64" t="s">
        <v>77</v>
      </c>
      <c r="CQ64" t="s">
        <v>77</v>
      </c>
      <c r="CR64" t="s">
        <v>77</v>
      </c>
      <c r="CS64" t="s">
        <v>77</v>
      </c>
      <c r="CT64" t="s">
        <v>77</v>
      </c>
      <c r="CU64" t="s">
        <v>77</v>
      </c>
      <c r="CV64" t="s">
        <v>77</v>
      </c>
      <c r="CW64" t="s">
        <v>77</v>
      </c>
    </row>
    <row r="65" spans="1:101" x14ac:dyDescent="0.25">
      <c r="A65" t="s">
        <v>121</v>
      </c>
      <c r="B65" t="s">
        <v>77</v>
      </c>
      <c r="C65" t="s">
        <v>77</v>
      </c>
      <c r="D65" t="s">
        <v>77</v>
      </c>
      <c r="E65" t="s">
        <v>77</v>
      </c>
      <c r="F65" t="s">
        <v>77</v>
      </c>
      <c r="G65" t="s">
        <v>77</v>
      </c>
      <c r="H65" t="s">
        <v>77</v>
      </c>
      <c r="I65" t="s">
        <v>77</v>
      </c>
      <c r="J65" t="s">
        <v>77</v>
      </c>
      <c r="K65" t="s">
        <v>77</v>
      </c>
      <c r="L65" t="s">
        <v>77</v>
      </c>
      <c r="M65" t="s">
        <v>77</v>
      </c>
      <c r="N65" t="s">
        <v>77</v>
      </c>
      <c r="O65" t="s">
        <v>77</v>
      </c>
      <c r="P65" t="s">
        <v>77</v>
      </c>
      <c r="Q65" t="s">
        <v>77</v>
      </c>
      <c r="R65" t="s">
        <v>77</v>
      </c>
      <c r="S65" t="s">
        <v>77</v>
      </c>
      <c r="T65" t="s">
        <v>77</v>
      </c>
      <c r="U65" t="s">
        <v>77</v>
      </c>
      <c r="V65" t="s">
        <v>77</v>
      </c>
      <c r="W65" t="s">
        <v>77</v>
      </c>
      <c r="X65" t="s">
        <v>77</v>
      </c>
      <c r="Y65" t="s">
        <v>77</v>
      </c>
      <c r="Z65" t="s">
        <v>77</v>
      </c>
      <c r="AA65" t="s">
        <v>77</v>
      </c>
      <c r="AB65" t="s">
        <v>77</v>
      </c>
      <c r="AC65" t="s">
        <v>77</v>
      </c>
      <c r="AD65" t="s">
        <v>77</v>
      </c>
      <c r="AE65" t="s">
        <v>77</v>
      </c>
      <c r="AF65" t="s">
        <v>77</v>
      </c>
      <c r="AG65" t="s">
        <v>77</v>
      </c>
      <c r="AH65" t="s">
        <v>77</v>
      </c>
      <c r="AI65" t="s">
        <v>77</v>
      </c>
      <c r="AJ65" t="s">
        <v>77</v>
      </c>
      <c r="AK65" t="s">
        <v>77</v>
      </c>
      <c r="AL65" t="s">
        <v>77</v>
      </c>
      <c r="AM65" t="s">
        <v>77</v>
      </c>
      <c r="AN65" t="s">
        <v>77</v>
      </c>
      <c r="AO65" t="s">
        <v>77</v>
      </c>
      <c r="AP65" t="s">
        <v>77</v>
      </c>
      <c r="AQ65" t="s">
        <v>77</v>
      </c>
      <c r="AR65" t="s">
        <v>77</v>
      </c>
      <c r="AS65" t="s">
        <v>77</v>
      </c>
      <c r="AT65" t="s">
        <v>77</v>
      </c>
      <c r="AU65" t="s">
        <v>77</v>
      </c>
      <c r="AV65" t="s">
        <v>77</v>
      </c>
      <c r="AW65" t="s">
        <v>77</v>
      </c>
      <c r="AX65" t="s">
        <v>77</v>
      </c>
      <c r="AY65" t="s">
        <v>77</v>
      </c>
      <c r="AZ65" t="s">
        <v>77</v>
      </c>
      <c r="BA65" t="s">
        <v>77</v>
      </c>
      <c r="BB65" t="s">
        <v>77</v>
      </c>
      <c r="BC65" t="s">
        <v>77</v>
      </c>
      <c r="BD65" t="s">
        <v>77</v>
      </c>
      <c r="BE65" t="s">
        <v>77</v>
      </c>
      <c r="BF65" t="s">
        <v>77</v>
      </c>
      <c r="BG65" t="s">
        <v>77</v>
      </c>
      <c r="BH65" t="s">
        <v>77</v>
      </c>
      <c r="BI65" t="s">
        <v>77</v>
      </c>
      <c r="BJ65" t="s">
        <v>77</v>
      </c>
      <c r="BK65" t="s">
        <v>77</v>
      </c>
      <c r="BL65" t="s">
        <v>77</v>
      </c>
      <c r="BM65" t="s">
        <v>77</v>
      </c>
      <c r="BN65" t="s">
        <v>77</v>
      </c>
      <c r="BO65" t="s">
        <v>77</v>
      </c>
      <c r="BP65" t="s">
        <v>77</v>
      </c>
      <c r="BQ65" t="s">
        <v>77</v>
      </c>
      <c r="BR65" t="s">
        <v>77</v>
      </c>
      <c r="BS65" t="s">
        <v>77</v>
      </c>
      <c r="BT65" t="s">
        <v>77</v>
      </c>
      <c r="BU65" t="s">
        <v>77</v>
      </c>
      <c r="BV65" t="s">
        <v>77</v>
      </c>
      <c r="BW65" t="s">
        <v>77</v>
      </c>
      <c r="BX65" t="s">
        <v>77</v>
      </c>
      <c r="BY65" t="s">
        <v>77</v>
      </c>
      <c r="BZ65" t="s">
        <v>77</v>
      </c>
      <c r="CA65" t="s">
        <v>77</v>
      </c>
      <c r="CB65" t="s">
        <v>77</v>
      </c>
      <c r="CC65" t="s">
        <v>77</v>
      </c>
      <c r="CD65" t="s">
        <v>77</v>
      </c>
      <c r="CE65" t="s">
        <v>77</v>
      </c>
      <c r="CF65" t="s">
        <v>77</v>
      </c>
      <c r="CG65" t="s">
        <v>77</v>
      </c>
      <c r="CH65" t="s">
        <v>77</v>
      </c>
      <c r="CI65" t="s">
        <v>77</v>
      </c>
      <c r="CJ65" t="s">
        <v>77</v>
      </c>
      <c r="CK65" t="s">
        <v>77</v>
      </c>
      <c r="CL65" t="s">
        <v>77</v>
      </c>
      <c r="CM65" t="s">
        <v>77</v>
      </c>
      <c r="CN65" t="s">
        <v>77</v>
      </c>
      <c r="CO65" t="s">
        <v>77</v>
      </c>
      <c r="CP65" t="s">
        <v>77</v>
      </c>
      <c r="CQ65" t="s">
        <v>77</v>
      </c>
      <c r="CR65" t="s">
        <v>77</v>
      </c>
      <c r="CS65" t="s">
        <v>77</v>
      </c>
      <c r="CT65" t="s">
        <v>77</v>
      </c>
      <c r="CU65" t="s">
        <v>77</v>
      </c>
      <c r="CV65" t="s">
        <v>77</v>
      </c>
      <c r="CW65" t="s">
        <v>77</v>
      </c>
    </row>
    <row r="66" spans="1:101" x14ac:dyDescent="0.25">
      <c r="A66" t="s">
        <v>87</v>
      </c>
      <c r="B66" t="s">
        <v>77</v>
      </c>
      <c r="C66" t="s">
        <v>77</v>
      </c>
      <c r="D66" t="s">
        <v>77</v>
      </c>
      <c r="E66" t="s">
        <v>77</v>
      </c>
      <c r="F66" t="s">
        <v>77</v>
      </c>
      <c r="G66" t="s">
        <v>77</v>
      </c>
      <c r="H66" t="s">
        <v>77</v>
      </c>
      <c r="I66" t="s">
        <v>77</v>
      </c>
      <c r="J66" t="s">
        <v>77</v>
      </c>
      <c r="K66" t="s">
        <v>77</v>
      </c>
      <c r="L66" t="s">
        <v>77</v>
      </c>
      <c r="M66" t="s">
        <v>77</v>
      </c>
      <c r="N66" t="s">
        <v>77</v>
      </c>
      <c r="O66" t="s">
        <v>77</v>
      </c>
      <c r="P66" t="s">
        <v>77</v>
      </c>
      <c r="Q66" t="s">
        <v>77</v>
      </c>
      <c r="R66" t="s">
        <v>77</v>
      </c>
      <c r="S66" t="s">
        <v>77</v>
      </c>
      <c r="T66" t="s">
        <v>77</v>
      </c>
      <c r="U66" t="s">
        <v>77</v>
      </c>
      <c r="V66" t="s">
        <v>77</v>
      </c>
      <c r="W66" t="s">
        <v>77</v>
      </c>
      <c r="X66" t="s">
        <v>77</v>
      </c>
      <c r="Y66" t="s">
        <v>77</v>
      </c>
      <c r="Z66" t="s">
        <v>77</v>
      </c>
      <c r="AA66" t="s">
        <v>77</v>
      </c>
      <c r="AB66" t="s">
        <v>77</v>
      </c>
      <c r="AC66" t="s">
        <v>77</v>
      </c>
      <c r="AD66" t="s">
        <v>77</v>
      </c>
      <c r="AE66" t="s">
        <v>77</v>
      </c>
      <c r="AF66" t="s">
        <v>77</v>
      </c>
      <c r="AG66" t="s">
        <v>77</v>
      </c>
      <c r="AH66" t="s">
        <v>77</v>
      </c>
      <c r="AI66" t="s">
        <v>77</v>
      </c>
      <c r="AJ66" t="s">
        <v>77</v>
      </c>
      <c r="AK66" t="s">
        <v>77</v>
      </c>
      <c r="AL66" t="s">
        <v>77</v>
      </c>
      <c r="AM66" t="s">
        <v>77</v>
      </c>
      <c r="AN66" t="s">
        <v>77</v>
      </c>
      <c r="AO66" t="s">
        <v>77</v>
      </c>
      <c r="AP66" t="s">
        <v>77</v>
      </c>
      <c r="AQ66" t="s">
        <v>77</v>
      </c>
      <c r="AR66" t="s">
        <v>77</v>
      </c>
      <c r="AS66" t="s">
        <v>77</v>
      </c>
      <c r="AT66" t="s">
        <v>77</v>
      </c>
      <c r="AU66" t="s">
        <v>77</v>
      </c>
      <c r="AV66" t="s">
        <v>77</v>
      </c>
      <c r="AW66" t="s">
        <v>77</v>
      </c>
      <c r="AX66" t="s">
        <v>77</v>
      </c>
      <c r="AY66" t="s">
        <v>77</v>
      </c>
      <c r="AZ66" t="s">
        <v>77</v>
      </c>
      <c r="BA66" t="s">
        <v>77</v>
      </c>
      <c r="BB66" t="s">
        <v>77</v>
      </c>
      <c r="BC66" t="s">
        <v>77</v>
      </c>
      <c r="BD66" t="s">
        <v>77</v>
      </c>
      <c r="BE66" t="s">
        <v>77</v>
      </c>
      <c r="BF66" t="s">
        <v>77</v>
      </c>
      <c r="BG66" t="s">
        <v>77</v>
      </c>
      <c r="BH66" t="s">
        <v>77</v>
      </c>
      <c r="BI66" t="s">
        <v>77</v>
      </c>
      <c r="BJ66" t="s">
        <v>77</v>
      </c>
      <c r="BK66" t="s">
        <v>77</v>
      </c>
      <c r="BL66" t="s">
        <v>77</v>
      </c>
      <c r="BM66" t="s">
        <v>77</v>
      </c>
      <c r="BN66" t="s">
        <v>77</v>
      </c>
      <c r="BO66" t="s">
        <v>77</v>
      </c>
      <c r="BP66" t="s">
        <v>77</v>
      </c>
      <c r="BQ66" t="s">
        <v>77</v>
      </c>
      <c r="BR66" t="s">
        <v>77</v>
      </c>
      <c r="BS66" t="s">
        <v>77</v>
      </c>
      <c r="BT66" t="s">
        <v>77</v>
      </c>
      <c r="BU66" t="s">
        <v>77</v>
      </c>
      <c r="BV66" t="s">
        <v>77</v>
      </c>
      <c r="BW66" t="s">
        <v>77</v>
      </c>
      <c r="BX66" t="s">
        <v>77</v>
      </c>
      <c r="BY66" t="s">
        <v>77</v>
      </c>
      <c r="BZ66" t="s">
        <v>77</v>
      </c>
      <c r="CA66" t="s">
        <v>77</v>
      </c>
      <c r="CB66" t="s">
        <v>77</v>
      </c>
      <c r="CC66" t="s">
        <v>77</v>
      </c>
      <c r="CD66" t="s">
        <v>77</v>
      </c>
      <c r="CE66" t="s">
        <v>77</v>
      </c>
      <c r="CF66" t="s">
        <v>77</v>
      </c>
      <c r="CG66" t="s">
        <v>77</v>
      </c>
      <c r="CH66" t="s">
        <v>77</v>
      </c>
      <c r="CI66" t="s">
        <v>77</v>
      </c>
      <c r="CJ66" t="s">
        <v>77</v>
      </c>
      <c r="CK66" t="s">
        <v>77</v>
      </c>
      <c r="CL66" t="s">
        <v>77</v>
      </c>
      <c r="CM66" t="s">
        <v>77</v>
      </c>
      <c r="CN66" t="s">
        <v>77</v>
      </c>
      <c r="CO66" t="s">
        <v>77</v>
      </c>
      <c r="CP66" t="s">
        <v>77</v>
      </c>
      <c r="CQ66" t="s">
        <v>77</v>
      </c>
      <c r="CR66" t="s">
        <v>77</v>
      </c>
      <c r="CS66" t="s">
        <v>77</v>
      </c>
      <c r="CT66" t="s">
        <v>77</v>
      </c>
      <c r="CU66" t="s">
        <v>77</v>
      </c>
      <c r="CV66" t="s">
        <v>77</v>
      </c>
      <c r="CW66" t="s">
        <v>77</v>
      </c>
    </row>
    <row r="67" spans="1:101" x14ac:dyDescent="0.25">
      <c r="A67" t="s">
        <v>94</v>
      </c>
      <c r="B67" t="s">
        <v>77</v>
      </c>
      <c r="C67" t="s">
        <v>77</v>
      </c>
      <c r="D67" t="s">
        <v>77</v>
      </c>
      <c r="E67" t="s">
        <v>77</v>
      </c>
      <c r="F67" t="s">
        <v>77</v>
      </c>
      <c r="G67" t="s">
        <v>77</v>
      </c>
      <c r="H67" t="s">
        <v>77</v>
      </c>
      <c r="I67" t="s">
        <v>77</v>
      </c>
      <c r="J67" t="s">
        <v>77</v>
      </c>
      <c r="K67" t="s">
        <v>77</v>
      </c>
      <c r="L67" t="s">
        <v>77</v>
      </c>
      <c r="M67" t="s">
        <v>77</v>
      </c>
      <c r="N67" t="s">
        <v>77</v>
      </c>
      <c r="O67" t="s">
        <v>77</v>
      </c>
      <c r="P67" t="s">
        <v>77</v>
      </c>
      <c r="Q67" t="s">
        <v>77</v>
      </c>
      <c r="R67" t="s">
        <v>77</v>
      </c>
      <c r="S67" t="s">
        <v>77</v>
      </c>
      <c r="T67" t="s">
        <v>77</v>
      </c>
      <c r="U67" t="s">
        <v>77</v>
      </c>
      <c r="V67" t="s">
        <v>77</v>
      </c>
      <c r="W67" t="s">
        <v>77</v>
      </c>
      <c r="X67" t="s">
        <v>77</v>
      </c>
      <c r="Y67" t="s">
        <v>77</v>
      </c>
      <c r="Z67" t="s">
        <v>77</v>
      </c>
      <c r="AA67" t="s">
        <v>77</v>
      </c>
      <c r="AB67" t="s">
        <v>77</v>
      </c>
      <c r="AC67" t="s">
        <v>77</v>
      </c>
      <c r="AD67" t="s">
        <v>77</v>
      </c>
      <c r="AE67" t="s">
        <v>77</v>
      </c>
      <c r="AF67" t="s">
        <v>77</v>
      </c>
      <c r="AG67" t="s">
        <v>77</v>
      </c>
      <c r="AH67" t="s">
        <v>77</v>
      </c>
      <c r="AI67" t="s">
        <v>77</v>
      </c>
      <c r="AJ67" t="s">
        <v>77</v>
      </c>
      <c r="AK67" t="s">
        <v>77</v>
      </c>
      <c r="AL67" t="s">
        <v>77</v>
      </c>
      <c r="AM67" t="s">
        <v>77</v>
      </c>
      <c r="AN67" t="s">
        <v>77</v>
      </c>
      <c r="AO67" t="s">
        <v>77</v>
      </c>
      <c r="AP67" t="s">
        <v>77</v>
      </c>
      <c r="AQ67" t="s">
        <v>77</v>
      </c>
      <c r="AR67" t="s">
        <v>77</v>
      </c>
      <c r="AS67" t="s">
        <v>77</v>
      </c>
      <c r="AT67" t="s">
        <v>77</v>
      </c>
      <c r="AU67" t="s">
        <v>77</v>
      </c>
      <c r="AV67" t="s">
        <v>77</v>
      </c>
      <c r="AW67" t="s">
        <v>77</v>
      </c>
      <c r="AX67" t="s">
        <v>77</v>
      </c>
      <c r="AY67" t="s">
        <v>77</v>
      </c>
      <c r="AZ67" t="s">
        <v>77</v>
      </c>
      <c r="BA67" t="s">
        <v>77</v>
      </c>
      <c r="BB67" t="s">
        <v>77</v>
      </c>
      <c r="BC67" t="s">
        <v>77</v>
      </c>
      <c r="BD67" t="s">
        <v>77</v>
      </c>
      <c r="BE67" t="s">
        <v>77</v>
      </c>
      <c r="BF67" t="s">
        <v>77</v>
      </c>
      <c r="BG67" t="s">
        <v>77</v>
      </c>
      <c r="BH67" t="s">
        <v>77</v>
      </c>
      <c r="BI67" t="s">
        <v>77</v>
      </c>
      <c r="BJ67" t="s">
        <v>77</v>
      </c>
      <c r="BK67" t="s">
        <v>77</v>
      </c>
      <c r="BL67" t="s">
        <v>77</v>
      </c>
      <c r="BM67" t="s">
        <v>77</v>
      </c>
      <c r="BN67" t="s">
        <v>77</v>
      </c>
      <c r="BO67" t="s">
        <v>77</v>
      </c>
      <c r="BP67" t="s">
        <v>77</v>
      </c>
      <c r="BQ67" t="s">
        <v>77</v>
      </c>
      <c r="BR67" t="s">
        <v>77</v>
      </c>
      <c r="BS67" t="s">
        <v>77</v>
      </c>
      <c r="BT67" t="s">
        <v>77</v>
      </c>
      <c r="BU67" t="s">
        <v>77</v>
      </c>
      <c r="BV67" t="s">
        <v>77</v>
      </c>
      <c r="BW67" t="s">
        <v>77</v>
      </c>
      <c r="BX67" t="s">
        <v>77</v>
      </c>
      <c r="BY67" t="s">
        <v>77</v>
      </c>
      <c r="BZ67" t="s">
        <v>77</v>
      </c>
      <c r="CA67" t="s">
        <v>77</v>
      </c>
      <c r="CB67" t="s">
        <v>77</v>
      </c>
      <c r="CC67" t="s">
        <v>77</v>
      </c>
      <c r="CD67" t="s">
        <v>77</v>
      </c>
      <c r="CE67" t="s">
        <v>77</v>
      </c>
      <c r="CF67" t="s">
        <v>77</v>
      </c>
      <c r="CG67" t="s">
        <v>77</v>
      </c>
      <c r="CH67" t="s">
        <v>77</v>
      </c>
      <c r="CI67" t="s">
        <v>77</v>
      </c>
      <c r="CJ67" t="s">
        <v>77</v>
      </c>
      <c r="CK67" t="s">
        <v>77</v>
      </c>
      <c r="CL67" t="s">
        <v>77</v>
      </c>
      <c r="CM67" t="s">
        <v>77</v>
      </c>
      <c r="CN67" t="s">
        <v>77</v>
      </c>
      <c r="CO67" t="s">
        <v>77</v>
      </c>
      <c r="CP67" t="s">
        <v>77</v>
      </c>
      <c r="CQ67" t="s">
        <v>77</v>
      </c>
      <c r="CR67" t="s">
        <v>77</v>
      </c>
      <c r="CS67" t="s">
        <v>77</v>
      </c>
      <c r="CT67" t="s">
        <v>77</v>
      </c>
      <c r="CU67" t="s">
        <v>77</v>
      </c>
      <c r="CV67" t="s">
        <v>77</v>
      </c>
      <c r="CW67" t="s">
        <v>77</v>
      </c>
    </row>
  </sheetData>
  <pageMargins left="0.7" right="0.7" top="0.78740157499999996" bottom="0.78740157499999996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5A361FC52636644AF018940F5BBAE47" ma:contentTypeVersion="16" ma:contentTypeDescription="Ein neues Dokument erstellen." ma:contentTypeScope="" ma:versionID="cd1529957c7d17fe4a80e725ffea5175">
  <xsd:schema xmlns:xsd="http://www.w3.org/2001/XMLSchema" xmlns:xs="http://www.w3.org/2001/XMLSchema" xmlns:p="http://schemas.microsoft.com/office/2006/metadata/properties" xmlns:ns2="e8c9f281-3412-4e7c-aa99-f11e77b29808" xmlns:ns3="12b2bc4a-8c05-4ac9-8444-39aa43079f4e" targetNamespace="http://schemas.microsoft.com/office/2006/metadata/properties" ma:root="true" ma:fieldsID="d684b0cbbc2c5e1d636bbda5fbd3ff3e" ns2:_="" ns3:_="">
    <xsd:import namespace="e8c9f281-3412-4e7c-aa99-f11e77b29808"/>
    <xsd:import namespace="12b2bc4a-8c05-4ac9-8444-39aa43079f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c9f281-3412-4e7c-aa99-f11e77b298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Bildmarkierungen" ma:readOnly="false" ma:fieldId="{5cf76f15-5ced-4ddc-b409-7134ff3c332f}" ma:taxonomyMulti="true" ma:sspId="1483a60f-3d25-42ae-b010-69d7fed137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b2bc4a-8c05-4ac9-8444-39aa43079f4e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e2c757e8-f5ca-42fb-966e-1bf4dd28d8b4}" ma:internalName="TaxCatchAll" ma:showField="CatchAllData" ma:web="12b2bc4a-8c05-4ac9-8444-39aa43079f4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2b2bc4a-8c05-4ac9-8444-39aa43079f4e" xsi:nil="true"/>
    <lcf76f155ced4ddcb4097134ff3c332f xmlns="e8c9f281-3412-4e7c-aa99-f11e77b2980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B2B35F8-3B12-4B22-A8CA-B7CFF2CE84B2}"/>
</file>

<file path=customXml/itemProps2.xml><?xml version="1.0" encoding="utf-8"?>
<ds:datastoreItem xmlns:ds="http://schemas.openxmlformats.org/officeDocument/2006/customXml" ds:itemID="{85C4B5FB-B68C-473F-A974-30F992B86D5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A4D2731-7D66-4F1B-AFBE-57D678374DDC}">
  <ds:schemaRefs>
    <ds:schemaRef ds:uri="http://schemas.microsoft.com/office/2006/metadata/properties"/>
    <ds:schemaRef ds:uri="http://schemas.microsoft.com/office/infopath/2007/PartnerControls"/>
    <ds:schemaRef ds:uri="12b2bc4a-8c05-4ac9-8444-39aa43079f4e"/>
    <ds:schemaRef ds:uri="e8c9f281-3412-4e7c-aa99-f11e77b2980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11</vt:i4>
      </vt:variant>
    </vt:vector>
  </HeadingPairs>
  <TitlesOfParts>
    <vt:vector size="11" baseType="lpstr">
      <vt:lpstr>Info</vt:lpstr>
      <vt:lpstr>Phytoplankton</vt:lpstr>
      <vt:lpstr>Copepoda predatory</vt:lpstr>
      <vt:lpstr>Nauplia</vt:lpstr>
      <vt:lpstr>Copepoda predatory - ALL</vt:lpstr>
      <vt:lpstr>Rotifera herbivorous 2</vt:lpstr>
      <vt:lpstr>Cladocera small</vt:lpstr>
      <vt:lpstr>Daphnidae</vt:lpstr>
      <vt:lpstr>no effect</vt:lpstr>
      <vt:lpstr>raw_data_effect</vt:lpstr>
      <vt:lpstr>raw_data_no_effect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Chiara Accolla</dc:creator>
  <cp:lastModifiedBy>OConnor, Isabel</cp:lastModifiedBy>
  <dcterms:created xsi:type="dcterms:W3CDTF">2022-02-22T18:19:44Z</dcterms:created>
  <dcterms:modified xsi:type="dcterms:W3CDTF">2025-01-06T13:40:19Z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0x01010065A361FC52636644AF018940F5BBAE47</vt:lpwstr>
  </property>
  <property fmtid="{D5CDD505-2E9C-101B-9397-08002B2CF9AE}" pid="3" name="MediaServiceImageTags">
    <vt:lpwstr/>
  </property>
</Properties>
</file>