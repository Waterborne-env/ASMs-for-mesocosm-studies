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-Validation\"/>
    </mc:Choice>
  </mc:AlternateContent>
  <xr:revisionPtr revIDLastSave="0" documentId="13_ncr:1_{592CC807-FC6F-4283-B67E-EB0CFBA34A77}" xr6:coauthVersionLast="47" xr6:coauthVersionMax="47" xr10:uidLastSave="{00000000-0000-0000-0000-000000000000}"/>
  <bookViews>
    <workbookView xWindow="34275" yWindow="525" windowWidth="20115" windowHeight="12855" firstSheet="4" activeTab="9" xr2:uid="{075614E4-6253-4D74-B70A-DD4D9EC3BFD1}"/>
  </bookViews>
  <sheets>
    <sheet name="Daphnia longispina" sheetId="3" r:id="rId1"/>
    <sheet name="Daphnia spp" sheetId="4" r:id="rId2"/>
    <sheet name="Chydorus sph." sheetId="6" r:id="rId3"/>
    <sheet name="Cyclopoids" sheetId="2" r:id="rId4"/>
    <sheet name="Hexartha spp" sheetId="9" r:id="rId5"/>
    <sheet name="Keratella" sheetId="1" r:id="rId6"/>
    <sheet name="Nauplii" sheetId="5" r:id="rId7"/>
    <sheet name="Polyartha" sheetId="7" r:id="rId8"/>
    <sheet name="Simocephalus spp" sheetId="10" r:id="rId9"/>
    <sheet name="Synchaeta spp" sheetId="8" r:id="rId10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9" i="8" l="1"/>
  <c r="J58" i="8"/>
  <c r="J57" i="8"/>
  <c r="J60" i="10"/>
  <c r="J59" i="10"/>
  <c r="J58" i="10"/>
  <c r="K60" i="7"/>
  <c r="K59" i="7"/>
  <c r="K58" i="7"/>
  <c r="J60" i="5"/>
  <c r="J59" i="5"/>
  <c r="J58" i="5"/>
  <c r="J60" i="1"/>
  <c r="J59" i="1"/>
  <c r="J58" i="1"/>
  <c r="K60" i="9"/>
  <c r="K59" i="9"/>
  <c r="K58" i="9"/>
  <c r="J60" i="4"/>
  <c r="J59" i="4"/>
  <c r="J58" i="4"/>
  <c r="K60" i="3"/>
  <c r="K59" i="3"/>
  <c r="K58" i="3"/>
  <c r="J60" i="2"/>
  <c r="J59" i="2"/>
  <c r="J58" i="2"/>
  <c r="K52" i="6"/>
  <c r="K51" i="6"/>
  <c r="K50" i="6"/>
  <c r="I59" i="8"/>
  <c r="I58" i="8"/>
  <c r="I57" i="8"/>
  <c r="I60" i="10"/>
  <c r="I59" i="10"/>
  <c r="I58" i="10"/>
  <c r="J60" i="7"/>
  <c r="J59" i="7"/>
  <c r="J58" i="7"/>
  <c r="I60" i="5"/>
  <c r="I59" i="5"/>
  <c r="I58" i="5"/>
  <c r="I60" i="1"/>
  <c r="I59" i="1"/>
  <c r="I58" i="1"/>
  <c r="J60" i="9"/>
  <c r="J59" i="9"/>
  <c r="J58" i="9"/>
  <c r="I60" i="4"/>
  <c r="I59" i="4"/>
  <c r="I58" i="4"/>
  <c r="J60" i="3"/>
  <c r="J59" i="3"/>
  <c r="J58" i="3"/>
  <c r="I60" i="2"/>
  <c r="I59" i="2"/>
  <c r="I58" i="2"/>
  <c r="F59" i="8"/>
  <c r="E59" i="8"/>
  <c r="D59" i="8"/>
  <c r="F58" i="8"/>
  <c r="E58" i="8"/>
  <c r="D58" i="8"/>
  <c r="F57" i="8"/>
  <c r="E57" i="8"/>
  <c r="D57" i="8"/>
  <c r="C59" i="8"/>
  <c r="C58" i="8"/>
  <c r="C57" i="8"/>
  <c r="F60" i="10"/>
  <c r="E60" i="10"/>
  <c r="D60" i="10"/>
  <c r="F59" i="10"/>
  <c r="E59" i="10"/>
  <c r="D59" i="10"/>
  <c r="F58" i="10"/>
  <c r="E58" i="10"/>
  <c r="D58" i="10"/>
  <c r="C60" i="10"/>
  <c r="C59" i="10"/>
  <c r="C58" i="10"/>
  <c r="F60" i="7"/>
  <c r="E60" i="7"/>
  <c r="D60" i="7"/>
  <c r="F59" i="7"/>
  <c r="E59" i="7"/>
  <c r="D59" i="7"/>
  <c r="F58" i="7"/>
  <c r="E58" i="7"/>
  <c r="D58" i="7"/>
  <c r="C60" i="7"/>
  <c r="C59" i="7"/>
  <c r="C58" i="7"/>
  <c r="F60" i="5"/>
  <c r="E60" i="5"/>
  <c r="D60" i="5"/>
  <c r="F59" i="5"/>
  <c r="E59" i="5"/>
  <c r="D59" i="5"/>
  <c r="F58" i="5"/>
  <c r="E58" i="5"/>
  <c r="D58" i="5"/>
  <c r="C59" i="5"/>
  <c r="C60" i="5"/>
  <c r="C58" i="5"/>
  <c r="F60" i="1"/>
  <c r="E60" i="1"/>
  <c r="D60" i="1"/>
  <c r="F59" i="1"/>
  <c r="E59" i="1"/>
  <c r="D59" i="1"/>
  <c r="F58" i="1"/>
  <c r="E58" i="1"/>
  <c r="D58" i="1"/>
  <c r="C60" i="1"/>
  <c r="C59" i="1"/>
  <c r="C58" i="1"/>
  <c r="F60" i="9"/>
  <c r="E60" i="9"/>
  <c r="D60" i="9"/>
  <c r="F59" i="9"/>
  <c r="E59" i="9"/>
  <c r="D59" i="9"/>
  <c r="F58" i="9"/>
  <c r="E58" i="9"/>
  <c r="D58" i="9"/>
  <c r="C60" i="9"/>
  <c r="C59" i="9"/>
  <c r="C58" i="9"/>
  <c r="F60" i="2"/>
  <c r="E60" i="2"/>
  <c r="D60" i="2"/>
  <c r="F59" i="2"/>
  <c r="E59" i="2"/>
  <c r="D59" i="2"/>
  <c r="F58" i="2"/>
  <c r="E58" i="2"/>
  <c r="D58" i="2"/>
  <c r="C60" i="2"/>
  <c r="C59" i="2"/>
  <c r="C58" i="2"/>
  <c r="F52" i="6"/>
  <c r="E52" i="6"/>
  <c r="D52" i="6"/>
  <c r="F51" i="6"/>
  <c r="E51" i="6"/>
  <c r="D51" i="6"/>
  <c r="F50" i="6"/>
  <c r="E50" i="6"/>
  <c r="D50" i="6"/>
  <c r="C52" i="6"/>
  <c r="C51" i="6"/>
  <c r="C50" i="6"/>
  <c r="F60" i="4"/>
  <c r="E60" i="4"/>
  <c r="F59" i="4"/>
  <c r="E59" i="4"/>
  <c r="F58" i="4"/>
  <c r="E58" i="4"/>
  <c r="D60" i="4"/>
  <c r="D59" i="4"/>
  <c r="D58" i="4"/>
  <c r="F60" i="3"/>
  <c r="E60" i="3"/>
  <c r="D60" i="3"/>
  <c r="F59" i="3"/>
  <c r="E59" i="3"/>
  <c r="D59" i="3"/>
  <c r="F58" i="3"/>
  <c r="E58" i="3"/>
  <c r="D58" i="3"/>
  <c r="C60" i="3"/>
  <c r="C59" i="3"/>
  <c r="C58" i="3"/>
</calcChain>
</file>

<file path=xl/sharedStrings.xml><?xml version="1.0" encoding="utf-8"?>
<sst xmlns="http://schemas.openxmlformats.org/spreadsheetml/2006/main" count="121" uniqueCount="13">
  <si>
    <t>DOY</t>
  </si>
  <si>
    <t>14-a</t>
  </si>
  <si>
    <t>16-a</t>
  </si>
  <si>
    <t>18-c</t>
  </si>
  <si>
    <t>19-b</t>
  </si>
  <si>
    <t>Control</t>
  </si>
  <si>
    <t>Mean</t>
  </si>
  <si>
    <t>Min</t>
  </si>
  <si>
    <t>Max</t>
  </si>
  <si>
    <t>18-a</t>
  </si>
  <si>
    <t>18-b</t>
  </si>
  <si>
    <t>19-a</t>
  </si>
  <si>
    <t>3.36]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</si>
</sst>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1" applyNumberFormat="1" applyFont="1" applyBorder="1" applyAlignment="1">
      <alignment horizontal="center" wrapText="1"/>
    </xf>
    <xf numFmtId="2" fontId="4" fillId="0" borderId="0" xfId="1" applyNumberFormat="1" applyFont="1" applyBorder="1" applyAlignment="1">
      <alignment horizontal="center" vertical="center" wrapText="1"/>
    </xf>
    <xf numFmtId="2" fontId="4" fillId="0" borderId="0" xfId="1" applyNumberFormat="1" applyFont="1" applyBorder="1" applyAlignment="1">
      <alignment horizontal="center" vertical="center"/>
    </xf>
    <xf numFmtId="1" fontId="4" fillId="0" borderId="0" xfId="1" applyNumberFormat="1" applyFont="1" applyBorder="1" applyAlignment="1">
      <alignment horizontal="center" vertical="center" wrapText="1"/>
    </xf>
    <xf numFmtId="0" fontId="0" fillId="0" borderId="0" xfId="0" applyFont="1" applyBorder="1"/>
    <xf numFmtId="2" fontId="5" fillId="0" borderId="0" xfId="1" applyNumberFormat="1" applyFont="1" applyBorder="1" applyAlignment="1">
      <alignment horizontal="center"/>
    </xf>
    <xf numFmtId="2" fontId="5" fillId="0" borderId="0" xfId="1" applyNumberFormat="1" applyFont="1" applyBorder="1" applyAlignment="1">
      <alignment horizontal="center" wrapText="1"/>
    </xf>
    <xf numFmtId="2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" fontId="4" fillId="0" borderId="0" xfId="1" applyNumberFormat="1" applyFont="1" applyFill="1" applyBorder="1" applyAlignment="1">
      <alignment horizontal="center" vertical="center" wrapText="1"/>
    </xf>
    <xf numFmtId="2" fontId="1" fillId="0" borderId="0" xfId="1" applyNumberFormat="1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</cellXfs>
  <cellStyles count="2">
    <cellStyle name="Normal" xfId="0" builtinId="0"/>
    <cellStyle name="Standard_Tabelle1 3" xfId="1" xr:uid="{400782B3-FFE4-4AEF-BC4E-EF13103F0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Daphnia</a:t>
            </a:r>
            <a:r>
              <a:rPr lang="en-US" i="1" baseline="0"/>
              <a:t> longispina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'Daphnia longispina'!$C$3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'Daphnia longispina'!$B$5:$B$56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'Daphnia longispina'!$C$5:$C$56</c:f>
              <c:numCache>
                <c:formatCode>0.00</c:formatCode>
                <c:ptCount val="52"/>
                <c:pt idx="0">
                  <c:v>0</c:v>
                </c:pt>
                <c:pt idx="1">
                  <c:v>0.22666666666666668</c:v>
                </c:pt>
                <c:pt idx="5">
                  <c:v>0.186</c:v>
                </c:pt>
                <c:pt idx="7">
                  <c:v>4.6850000000000005</c:v>
                </c:pt>
                <c:pt idx="9">
                  <c:v>8.9083333333333332</c:v>
                </c:pt>
                <c:pt idx="15">
                  <c:v>1.8216666666666665</c:v>
                </c:pt>
                <c:pt idx="22">
                  <c:v>8.7683333333333344</c:v>
                </c:pt>
                <c:pt idx="30">
                  <c:v>11.556666666666667</c:v>
                </c:pt>
                <c:pt idx="35">
                  <c:v>4.2299999999999995</c:v>
                </c:pt>
                <c:pt idx="41">
                  <c:v>10.265000000000001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8-42CF-A96C-5401DB479BAA}"/>
            </c:ext>
          </c:extLst>
        </c:ser>
        <c:ser>
          <c:idx val="1"/>
          <c:order val="1"/>
          <c:tx>
            <c:strRef>
              <c:f>'Daphnia longispina'!$D$3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'Daphnia longispina'!$B$5:$B$56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'Daphnia longispina'!$D$5:$D$56</c:f>
              <c:numCache>
                <c:formatCode>General</c:formatCode>
                <c:ptCount val="52"/>
                <c:pt idx="16" formatCode="0.00">
                  <c:v>15.99</c:v>
                </c:pt>
                <c:pt idx="20" formatCode="0.00">
                  <c:v>6.1166666666666671</c:v>
                </c:pt>
                <c:pt idx="24" formatCode="0.00">
                  <c:v>1.4783333333333335</c:v>
                </c:pt>
                <c:pt idx="27" formatCode="0.00">
                  <c:v>1.4783333333333335</c:v>
                </c:pt>
                <c:pt idx="33" formatCode="0.00">
                  <c:v>1.4726270723237591</c:v>
                </c:pt>
                <c:pt idx="38" formatCode="0.00">
                  <c:v>1.1061175599077915</c:v>
                </c:pt>
                <c:pt idx="44" formatCode="0.00">
                  <c:v>1.25833333333333</c:v>
                </c:pt>
                <c:pt idx="50" formatCode="0.00">
                  <c:v>0.36833333333333335</c:v>
                </c:pt>
                <c:pt idx="51" formatCode="0.00">
                  <c:v>1.8266666666666669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48-42CF-A96C-5401DB479BAA}"/>
            </c:ext>
          </c:extLst>
        </c:ser>
        <c:ser>
          <c:idx val="2"/>
          <c:order val="2"/>
          <c:tx>
            <c:strRef>
              <c:f>'Daphnia longispina'!$E$3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'Daphnia longispina'!$B$5:$B$56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'Daphnia longispina'!$E$5:$E$56</c:f>
              <c:numCache>
                <c:formatCode>General</c:formatCode>
                <c:ptCount val="52"/>
                <c:pt idx="2" formatCode="0.00">
                  <c:v>6.4739999999999993</c:v>
                </c:pt>
                <c:pt idx="5" formatCode="0.00">
                  <c:v>1.1900000000000002</c:v>
                </c:pt>
                <c:pt idx="6" formatCode="0.00">
                  <c:v>15.984</c:v>
                </c:pt>
                <c:pt idx="7" formatCode="0.00">
                  <c:v>0.71399999999999997</c:v>
                </c:pt>
                <c:pt idx="11" formatCode="0.00">
                  <c:v>2.3620000000000005</c:v>
                </c:pt>
                <c:pt idx="19" formatCode="0.00">
                  <c:v>15.937999999999999</c:v>
                </c:pt>
                <c:pt idx="25" formatCode="0.00">
                  <c:v>5.0179999999999998</c:v>
                </c:pt>
                <c:pt idx="28" formatCode="0.00">
                  <c:v>12.916</c:v>
                </c:pt>
                <c:pt idx="32" formatCode="0.00">
                  <c:v>3.9199999999999995</c:v>
                </c:pt>
                <c:pt idx="33" formatCode="0.00">
                  <c:v>6.8759999999999994</c:v>
                </c:pt>
                <c:pt idx="39" formatCode="0.00">
                  <c:v>5.0419999999999998</c:v>
                </c:pt>
                <c:pt idx="45" formatCode="0.00">
                  <c:v>7.2119999999999989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48-42CF-A96C-5401DB479BAA}"/>
            </c:ext>
          </c:extLst>
        </c:ser>
        <c:ser>
          <c:idx val="3"/>
          <c:order val="3"/>
          <c:tx>
            <c:strRef>
              <c:f>'Daphnia longispina'!$F$3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'Daphnia longispina'!$B$5:$B$56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'Daphnia longispina'!$F$5:$F$56</c:f>
              <c:numCache>
                <c:formatCode>General</c:formatCode>
                <c:ptCount val="52"/>
                <c:pt idx="7" formatCode="0.00">
                  <c:v>1.0433333333333332</c:v>
                </c:pt>
                <c:pt idx="10" formatCode="0.00">
                  <c:v>0.47500000000000003</c:v>
                </c:pt>
                <c:pt idx="12" formatCode="0.00">
                  <c:v>0.43333333333333335</c:v>
                </c:pt>
                <c:pt idx="16" formatCode="0.00">
                  <c:v>1.2933333333333334</c:v>
                </c:pt>
                <c:pt idx="18" formatCode="0.00">
                  <c:v>0.59833333333333338</c:v>
                </c:pt>
                <c:pt idx="20" formatCode="0.00">
                  <c:v>0.6183333333333334</c:v>
                </c:pt>
                <c:pt idx="25" formatCode="0.00">
                  <c:v>0.31666666666666665</c:v>
                </c:pt>
                <c:pt idx="28" formatCode="0.00">
                  <c:v>1.0966666666666667</c:v>
                </c:pt>
                <c:pt idx="32" formatCode="0.00">
                  <c:v>0.97500000000000009</c:v>
                </c:pt>
                <c:pt idx="33" formatCode="0.00">
                  <c:v>1.8233333333333335</c:v>
                </c:pt>
                <c:pt idx="37" formatCode="0.00">
                  <c:v>2.3000000000000003</c:v>
                </c:pt>
                <c:pt idx="39" formatCode="0.00">
                  <c:v>1.6849999999999998</c:v>
                </c:pt>
                <c:pt idx="43" formatCode="0.00">
                  <c:v>3.0066666666666664</c:v>
                </c:pt>
                <c:pt idx="45" formatCode="0.00">
                  <c:v>4.8966666666666674</c:v>
                </c:pt>
                <c:pt idx="47" formatCode="0.00">
                  <c:v>4.546666666666666</c:v>
                </c:pt>
                <c:pt idx="48" formatCode="0.00">
                  <c:v>5.9849999999999994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48-42CF-A96C-5401DB479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Daphnia</a:t>
            </a:r>
            <a:r>
              <a:rPr lang="en-US" i="1" baseline="0"/>
              <a:t> spp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'Daphnia spp'!$C$3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'Daphnia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'Daphnia spp'!$C$5:$C$56</c:f>
              <c:numCache>
                <c:formatCode>0.00</c:formatCode>
                <c:ptCount val="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0-4F3F-BC84-28BFB77D3D27}"/>
            </c:ext>
          </c:extLst>
        </c:ser>
        <c:ser>
          <c:idx val="1"/>
          <c:order val="1"/>
          <c:tx>
            <c:strRef>
              <c:f>'Daphnia spp'!$D$3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'Daphnia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'Daphnia spp'!$D$5:$D$56</c:f>
              <c:numCache>
                <c:formatCode>General</c:formatCode>
                <c:ptCount val="52"/>
                <c:pt idx="16" formatCode="0.00">
                  <c:v>7.3616666666666672</c:v>
                </c:pt>
                <c:pt idx="20" formatCode="0.00">
                  <c:v>3.0933333333333337</c:v>
                </c:pt>
                <c:pt idx="24" formatCode="0.00">
                  <c:v>3.44</c:v>
                </c:pt>
                <c:pt idx="27" formatCode="0.00">
                  <c:v>3.44</c:v>
                </c:pt>
                <c:pt idx="33" formatCode="0.00">
                  <c:v>3.172625209749576</c:v>
                </c:pt>
                <c:pt idx="38" formatCode="0.00">
                  <c:v>2.456653360874983</c:v>
                </c:pt>
                <c:pt idx="44" formatCode="0.00">
                  <c:v>4.9716666666666667</c:v>
                </c:pt>
                <c:pt idx="50" formatCode="0.00">
                  <c:v>0.59166666666666667</c:v>
                </c:pt>
                <c:pt idx="51" formatCode="0.00">
                  <c:v>0.51500000000000001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B0-4F3F-BC84-28BFB77D3D27}"/>
            </c:ext>
          </c:extLst>
        </c:ser>
        <c:ser>
          <c:idx val="2"/>
          <c:order val="2"/>
          <c:tx>
            <c:strRef>
              <c:f>'Daphnia spp'!$E$3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'Daphnia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'Daphnia spp'!$E$5:$E$56</c:f>
              <c:numCache>
                <c:formatCode>General</c:formatCode>
                <c:ptCount val="52"/>
                <c:pt idx="2" formatCode="0.00">
                  <c:v>2.8000000000000004E-2</c:v>
                </c:pt>
                <c:pt idx="5" formatCode="0.00">
                  <c:v>3.4959999999999996</c:v>
                </c:pt>
                <c:pt idx="6" formatCode="0.00">
                  <c:v>1.8060000000000003</c:v>
                </c:pt>
                <c:pt idx="7" formatCode="0.00">
                  <c:v>6.3980000000000006</c:v>
                </c:pt>
                <c:pt idx="11" formatCode="0.00">
                  <c:v>15.044</c:v>
                </c:pt>
                <c:pt idx="19" formatCode="0.00">
                  <c:v>2.4380000000000002</c:v>
                </c:pt>
                <c:pt idx="25" formatCode="0.00">
                  <c:v>32.950000000000003</c:v>
                </c:pt>
                <c:pt idx="28" formatCode="0.00">
                  <c:v>29.956</c:v>
                </c:pt>
                <c:pt idx="32" formatCode="0.00">
                  <c:v>20.911999999999999</c:v>
                </c:pt>
                <c:pt idx="33" formatCode="0.00">
                  <c:v>19.024000000000001</c:v>
                </c:pt>
                <c:pt idx="39" formatCode="0.00">
                  <c:v>24.089999999999996</c:v>
                </c:pt>
                <c:pt idx="45" formatCode="0.00">
                  <c:v>8.4260000000000002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B0-4F3F-BC84-28BFB77D3D27}"/>
            </c:ext>
          </c:extLst>
        </c:ser>
        <c:ser>
          <c:idx val="3"/>
          <c:order val="3"/>
          <c:tx>
            <c:strRef>
              <c:f>'Daphnia spp'!$F$3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'Daphnia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'Daphnia spp'!$F$5:$F$56</c:f>
              <c:numCache>
                <c:formatCode>General</c:formatCode>
                <c:ptCount val="52"/>
                <c:pt idx="7" formatCode="0.00">
                  <c:v>2.0483333333333333</c:v>
                </c:pt>
                <c:pt idx="10" formatCode="0.00">
                  <c:v>1.0616666666666665</c:v>
                </c:pt>
                <c:pt idx="12" formatCode="0.00">
                  <c:v>1.0233333333333332</c:v>
                </c:pt>
                <c:pt idx="16" formatCode="0.00">
                  <c:v>2.9266666666666672</c:v>
                </c:pt>
                <c:pt idx="18" formatCode="0.00">
                  <c:v>2.8733333333333335</c:v>
                </c:pt>
                <c:pt idx="20" formatCode="0.00">
                  <c:v>2.6750000000000003</c:v>
                </c:pt>
                <c:pt idx="25" formatCode="0.00">
                  <c:v>2.2166666666666663</c:v>
                </c:pt>
                <c:pt idx="28" formatCode="0.00">
                  <c:v>2.6783333333333332</c:v>
                </c:pt>
                <c:pt idx="32" formatCode="0.00">
                  <c:v>4.3666666666666663</c:v>
                </c:pt>
                <c:pt idx="33" formatCode="0.00">
                  <c:v>4.4349999999999996</c:v>
                </c:pt>
                <c:pt idx="37" formatCode="0.00">
                  <c:v>8.5566666666666666</c:v>
                </c:pt>
                <c:pt idx="39" formatCode="0.00">
                  <c:v>12.234999999999999</c:v>
                </c:pt>
                <c:pt idx="43" formatCode="0.00">
                  <c:v>15.765000000000001</c:v>
                </c:pt>
                <c:pt idx="45" formatCode="0.00">
                  <c:v>6.9233333333333347</c:v>
                </c:pt>
                <c:pt idx="47" formatCode="0.00">
                  <c:v>8.3549999999999986</c:v>
                </c:pt>
                <c:pt idx="48" formatCode="0.00">
                  <c:v>14.253333333333332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B0-4F3F-BC84-28BFB77D3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Chydorus</a:t>
            </a:r>
            <a:r>
              <a:rPr lang="en-US" i="1" baseline="0"/>
              <a:t> sphaericus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'Chydorus sph.'!$C$3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'Chydorus sph.'!$B$4:$B$48</c:f>
              <c:numCache>
                <c:formatCode>General</c:formatCode>
                <c:ptCount val="4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156</c:v>
                </c:pt>
                <c:pt idx="7" formatCode="0">
                  <c:v>162</c:v>
                </c:pt>
                <c:pt idx="8" formatCode="0">
                  <c:v>163</c:v>
                </c:pt>
                <c:pt idx="9" formatCode="0">
                  <c:v>164</c:v>
                </c:pt>
                <c:pt idx="10" formatCode="0">
                  <c:v>165</c:v>
                </c:pt>
                <c:pt idx="11" formatCode="0">
                  <c:v>166</c:v>
                </c:pt>
                <c:pt idx="12" formatCode="0">
                  <c:v>170</c:v>
                </c:pt>
                <c:pt idx="13" formatCode="0">
                  <c:v>171</c:v>
                </c:pt>
                <c:pt idx="14" formatCode="0">
                  <c:v>172</c:v>
                </c:pt>
                <c:pt idx="15" formatCode="0">
                  <c:v>173</c:v>
                </c:pt>
                <c:pt idx="16" formatCode="0">
                  <c:v>178</c:v>
                </c:pt>
                <c:pt idx="17" formatCode="0">
                  <c:v>179</c:v>
                </c:pt>
                <c:pt idx="18" formatCode="0">
                  <c:v>180</c:v>
                </c:pt>
                <c:pt idx="19" formatCode="0">
                  <c:v>181</c:v>
                </c:pt>
                <c:pt idx="20" formatCode="0">
                  <c:v>185</c:v>
                </c:pt>
                <c:pt idx="21" formatCode="0">
                  <c:v>186</c:v>
                </c:pt>
                <c:pt idx="22" formatCode="0">
                  <c:v>187</c:v>
                </c:pt>
                <c:pt idx="23" formatCode="0">
                  <c:v>192</c:v>
                </c:pt>
                <c:pt idx="24" formatCode="0">
                  <c:v>193</c:v>
                </c:pt>
                <c:pt idx="25" formatCode="0">
                  <c:v>194</c:v>
                </c:pt>
                <c:pt idx="26" formatCode="0">
                  <c:v>195</c:v>
                </c:pt>
                <c:pt idx="27" formatCode="0">
                  <c:v>200</c:v>
                </c:pt>
                <c:pt idx="28" formatCode="0">
                  <c:v>207</c:v>
                </c:pt>
                <c:pt idx="29" formatCode="0">
                  <c:v>208</c:v>
                </c:pt>
                <c:pt idx="30" formatCode="0">
                  <c:v>210</c:v>
                </c:pt>
                <c:pt idx="31" formatCode="0">
                  <c:v>214</c:v>
                </c:pt>
                <c:pt idx="32" formatCode="0">
                  <c:v>220</c:v>
                </c:pt>
                <c:pt idx="33" formatCode="0">
                  <c:v>221</c:v>
                </c:pt>
                <c:pt idx="34" formatCode="0">
                  <c:v>222</c:v>
                </c:pt>
                <c:pt idx="35" formatCode="0">
                  <c:v>224</c:v>
                </c:pt>
                <c:pt idx="36" formatCode="0">
                  <c:v>228</c:v>
                </c:pt>
                <c:pt idx="37" formatCode="0">
                  <c:v>234</c:v>
                </c:pt>
                <c:pt idx="38" formatCode="0">
                  <c:v>235</c:v>
                </c:pt>
                <c:pt idx="39" formatCode="0">
                  <c:v>236</c:v>
                </c:pt>
                <c:pt idx="40" formatCode="0">
                  <c:v>241</c:v>
                </c:pt>
                <c:pt idx="41" formatCode="0">
                  <c:v>249</c:v>
                </c:pt>
                <c:pt idx="42" formatCode="0">
                  <c:v>250</c:v>
                </c:pt>
                <c:pt idx="43" formatCode="0">
                  <c:v>251</c:v>
                </c:pt>
                <c:pt idx="44" formatCode="0">
                  <c:v>262</c:v>
                </c:pt>
              </c:numCache>
            </c:numRef>
          </c:xVal>
          <c:yVal>
            <c:numRef>
              <c:f>'Chydorus sph.'!$C$4:$C$48</c:f>
              <c:numCache>
                <c:formatCode>0.00</c:formatCode>
                <c:ptCount val="45"/>
                <c:pt idx="0">
                  <c:v>0.58333333333333337</c:v>
                </c:pt>
                <c:pt idx="1">
                  <c:v>0.84333333333333338</c:v>
                </c:pt>
                <c:pt idx="3">
                  <c:v>1.7879999999999998</c:v>
                </c:pt>
                <c:pt idx="5">
                  <c:v>8.4249999999999989</c:v>
                </c:pt>
                <c:pt idx="7">
                  <c:v>25.931666666666668</c:v>
                </c:pt>
                <c:pt idx="12">
                  <c:v>0.91666666666666663</c:v>
                </c:pt>
                <c:pt idx="19">
                  <c:v>2.0449999999999999</c:v>
                </c:pt>
                <c:pt idx="26">
                  <c:v>2.0449999999999999</c:v>
                </c:pt>
                <c:pt idx="30">
                  <c:v>1.6866666666666665</c:v>
                </c:pt>
                <c:pt idx="35">
                  <c:v>1.5666666666666664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7-42AF-B04B-7E2A91091754}"/>
            </c:ext>
          </c:extLst>
        </c:ser>
        <c:ser>
          <c:idx val="1"/>
          <c:order val="1"/>
          <c:tx>
            <c:strRef>
              <c:f>'Chydorus sph.'!$D$3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'Chydorus sph.'!$B$4:$B$48</c:f>
              <c:numCache>
                <c:formatCode>General</c:formatCode>
                <c:ptCount val="4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156</c:v>
                </c:pt>
                <c:pt idx="7" formatCode="0">
                  <c:v>162</c:v>
                </c:pt>
                <c:pt idx="8" formatCode="0">
                  <c:v>163</c:v>
                </c:pt>
                <c:pt idx="9" formatCode="0">
                  <c:v>164</c:v>
                </c:pt>
                <c:pt idx="10" formatCode="0">
                  <c:v>165</c:v>
                </c:pt>
                <c:pt idx="11" formatCode="0">
                  <c:v>166</c:v>
                </c:pt>
                <c:pt idx="12" formatCode="0">
                  <c:v>170</c:v>
                </c:pt>
                <c:pt idx="13" formatCode="0">
                  <c:v>171</c:v>
                </c:pt>
                <c:pt idx="14" formatCode="0">
                  <c:v>172</c:v>
                </c:pt>
                <c:pt idx="15" formatCode="0">
                  <c:v>173</c:v>
                </c:pt>
                <c:pt idx="16" formatCode="0">
                  <c:v>178</c:v>
                </c:pt>
                <c:pt idx="17" formatCode="0">
                  <c:v>179</c:v>
                </c:pt>
                <c:pt idx="18" formatCode="0">
                  <c:v>180</c:v>
                </c:pt>
                <c:pt idx="19" formatCode="0">
                  <c:v>181</c:v>
                </c:pt>
                <c:pt idx="20" formatCode="0">
                  <c:v>185</c:v>
                </c:pt>
                <c:pt idx="21" formatCode="0">
                  <c:v>186</c:v>
                </c:pt>
                <c:pt idx="22" formatCode="0">
                  <c:v>187</c:v>
                </c:pt>
                <c:pt idx="23" formatCode="0">
                  <c:v>192</c:v>
                </c:pt>
                <c:pt idx="24" formatCode="0">
                  <c:v>193</c:v>
                </c:pt>
                <c:pt idx="25" formatCode="0">
                  <c:v>194</c:v>
                </c:pt>
                <c:pt idx="26" formatCode="0">
                  <c:v>195</c:v>
                </c:pt>
                <c:pt idx="27" formatCode="0">
                  <c:v>200</c:v>
                </c:pt>
                <c:pt idx="28" formatCode="0">
                  <c:v>207</c:v>
                </c:pt>
                <c:pt idx="29" formatCode="0">
                  <c:v>208</c:v>
                </c:pt>
                <c:pt idx="30" formatCode="0">
                  <c:v>210</c:v>
                </c:pt>
                <c:pt idx="31" formatCode="0">
                  <c:v>214</c:v>
                </c:pt>
                <c:pt idx="32" formatCode="0">
                  <c:v>220</c:v>
                </c:pt>
                <c:pt idx="33" formatCode="0">
                  <c:v>221</c:v>
                </c:pt>
                <c:pt idx="34" formatCode="0">
                  <c:v>222</c:v>
                </c:pt>
                <c:pt idx="35" formatCode="0">
                  <c:v>224</c:v>
                </c:pt>
                <c:pt idx="36" formatCode="0">
                  <c:v>228</c:v>
                </c:pt>
                <c:pt idx="37" formatCode="0">
                  <c:v>234</c:v>
                </c:pt>
                <c:pt idx="38" formatCode="0">
                  <c:v>235</c:v>
                </c:pt>
                <c:pt idx="39" formatCode="0">
                  <c:v>236</c:v>
                </c:pt>
                <c:pt idx="40" formatCode="0">
                  <c:v>241</c:v>
                </c:pt>
                <c:pt idx="41" formatCode="0">
                  <c:v>249</c:v>
                </c:pt>
                <c:pt idx="42" formatCode="0">
                  <c:v>250</c:v>
                </c:pt>
                <c:pt idx="43" formatCode="0">
                  <c:v>251</c:v>
                </c:pt>
                <c:pt idx="44" formatCode="0">
                  <c:v>262</c:v>
                </c:pt>
              </c:numCache>
            </c:numRef>
          </c:xVal>
          <c:yVal>
            <c:numRef>
              <c:f>'Chydorus sph.'!$D$4:$D$48</c:f>
              <c:numCache>
                <c:formatCode>General</c:formatCode>
                <c:ptCount val="45"/>
                <c:pt idx="13" formatCode="0.00">
                  <c:v>17.728333333333335</c:v>
                </c:pt>
                <c:pt idx="17" formatCode="0.00">
                  <c:v>2.0616666666666665</c:v>
                </c:pt>
                <c:pt idx="20" formatCode="0.00">
                  <c:v>1.5599999999999998</c:v>
                </c:pt>
                <c:pt idx="23" formatCode="0.00">
                  <c:v>1.5599999999999998</c:v>
                </c:pt>
                <c:pt idx="28" formatCode="0.00">
                  <c:v>1.396433289172478</c:v>
                </c:pt>
                <c:pt idx="32" formatCode="0.00">
                  <c:v>1.0945426091427244</c:v>
                </c:pt>
                <c:pt idx="37" formatCode="0.00">
                  <c:v>7.2183333333333328</c:v>
                </c:pt>
                <c:pt idx="43" formatCode="0.00">
                  <c:v>17.138333333333332</c:v>
                </c:pt>
                <c:pt idx="44" formatCode="0.00">
                  <c:v>8.6966666666666654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67-42AF-B04B-7E2A91091754}"/>
            </c:ext>
          </c:extLst>
        </c:ser>
        <c:ser>
          <c:idx val="2"/>
          <c:order val="2"/>
          <c:tx>
            <c:strRef>
              <c:f>'Chydorus sph.'!$E$3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'Chydorus sph.'!$B$4:$B$48</c:f>
              <c:numCache>
                <c:formatCode>General</c:formatCode>
                <c:ptCount val="4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156</c:v>
                </c:pt>
                <c:pt idx="7" formatCode="0">
                  <c:v>162</c:v>
                </c:pt>
                <c:pt idx="8" formatCode="0">
                  <c:v>163</c:v>
                </c:pt>
                <c:pt idx="9" formatCode="0">
                  <c:v>164</c:v>
                </c:pt>
                <c:pt idx="10" formatCode="0">
                  <c:v>165</c:v>
                </c:pt>
                <c:pt idx="11" formatCode="0">
                  <c:v>166</c:v>
                </c:pt>
                <c:pt idx="12" formatCode="0">
                  <c:v>170</c:v>
                </c:pt>
                <c:pt idx="13" formatCode="0">
                  <c:v>171</c:v>
                </c:pt>
                <c:pt idx="14" formatCode="0">
                  <c:v>172</c:v>
                </c:pt>
                <c:pt idx="15" formatCode="0">
                  <c:v>173</c:v>
                </c:pt>
                <c:pt idx="16" formatCode="0">
                  <c:v>178</c:v>
                </c:pt>
                <c:pt idx="17" formatCode="0">
                  <c:v>179</c:v>
                </c:pt>
                <c:pt idx="18" formatCode="0">
                  <c:v>180</c:v>
                </c:pt>
                <c:pt idx="19" formatCode="0">
                  <c:v>181</c:v>
                </c:pt>
                <c:pt idx="20" formatCode="0">
                  <c:v>185</c:v>
                </c:pt>
                <c:pt idx="21" formatCode="0">
                  <c:v>186</c:v>
                </c:pt>
                <c:pt idx="22" formatCode="0">
                  <c:v>187</c:v>
                </c:pt>
                <c:pt idx="23" formatCode="0">
                  <c:v>192</c:v>
                </c:pt>
                <c:pt idx="24" formatCode="0">
                  <c:v>193</c:v>
                </c:pt>
                <c:pt idx="25" formatCode="0">
                  <c:v>194</c:v>
                </c:pt>
                <c:pt idx="26" formatCode="0">
                  <c:v>195</c:v>
                </c:pt>
                <c:pt idx="27" formatCode="0">
                  <c:v>200</c:v>
                </c:pt>
                <c:pt idx="28" formatCode="0">
                  <c:v>207</c:v>
                </c:pt>
                <c:pt idx="29" formatCode="0">
                  <c:v>208</c:v>
                </c:pt>
                <c:pt idx="30" formatCode="0">
                  <c:v>210</c:v>
                </c:pt>
                <c:pt idx="31" formatCode="0">
                  <c:v>214</c:v>
                </c:pt>
                <c:pt idx="32" formatCode="0">
                  <c:v>220</c:v>
                </c:pt>
                <c:pt idx="33" formatCode="0">
                  <c:v>221</c:v>
                </c:pt>
                <c:pt idx="34" formatCode="0">
                  <c:v>222</c:v>
                </c:pt>
                <c:pt idx="35" formatCode="0">
                  <c:v>224</c:v>
                </c:pt>
                <c:pt idx="36" formatCode="0">
                  <c:v>228</c:v>
                </c:pt>
                <c:pt idx="37" formatCode="0">
                  <c:v>234</c:v>
                </c:pt>
                <c:pt idx="38" formatCode="0">
                  <c:v>235</c:v>
                </c:pt>
                <c:pt idx="39" formatCode="0">
                  <c:v>236</c:v>
                </c:pt>
                <c:pt idx="40" formatCode="0">
                  <c:v>241</c:v>
                </c:pt>
                <c:pt idx="41" formatCode="0">
                  <c:v>249</c:v>
                </c:pt>
                <c:pt idx="42" formatCode="0">
                  <c:v>250</c:v>
                </c:pt>
                <c:pt idx="43" formatCode="0">
                  <c:v>251</c:v>
                </c:pt>
                <c:pt idx="44" formatCode="0">
                  <c:v>262</c:v>
                </c:pt>
              </c:numCache>
            </c:numRef>
          </c:xVal>
          <c:yVal>
            <c:numRef>
              <c:f>'Chydorus sph.'!$E$4:$E$48</c:f>
              <c:numCache>
                <c:formatCode>General</c:formatCode>
                <c:ptCount val="45"/>
                <c:pt idx="2" formatCode="0.00">
                  <c:v>9.4920000000000009</c:v>
                </c:pt>
                <c:pt idx="3" formatCode="0.00">
                  <c:v>27.236000000000001</c:v>
                </c:pt>
                <c:pt idx="4" formatCode="0.00">
                  <c:v>7.6639999999999997</c:v>
                </c:pt>
                <c:pt idx="5" formatCode="0.00">
                  <c:v>6.0359999999999996</c:v>
                </c:pt>
                <c:pt idx="9" formatCode="0.00">
                  <c:v>9.5540000000000003</c:v>
                </c:pt>
                <c:pt idx="16" formatCode="0.00">
                  <c:v>14.821999999999999</c:v>
                </c:pt>
                <c:pt idx="21" formatCode="0.00">
                  <c:v>15.207999999999998</c:v>
                </c:pt>
                <c:pt idx="24" formatCode="0.00">
                  <c:v>18.821999999999999</c:v>
                </c:pt>
                <c:pt idx="27" formatCode="0.00">
                  <c:v>27.580000000000002</c:v>
                </c:pt>
                <c:pt idx="28" formatCode="0.00">
                  <c:v>19.39</c:v>
                </c:pt>
                <c:pt idx="33" formatCode="0.00">
                  <c:v>2.5159999999999996</c:v>
                </c:pt>
                <c:pt idx="38" formatCode="0.00">
                  <c:v>12.262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67-42AF-B04B-7E2A91091754}"/>
            </c:ext>
          </c:extLst>
        </c:ser>
        <c:ser>
          <c:idx val="3"/>
          <c:order val="3"/>
          <c:tx>
            <c:strRef>
              <c:f>'Chydorus sph.'!$F$3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'Chydorus sph.'!$B$4:$B$48</c:f>
              <c:numCache>
                <c:formatCode>General</c:formatCode>
                <c:ptCount val="4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156</c:v>
                </c:pt>
                <c:pt idx="7" formatCode="0">
                  <c:v>162</c:v>
                </c:pt>
                <c:pt idx="8" formatCode="0">
                  <c:v>163</c:v>
                </c:pt>
                <c:pt idx="9" formatCode="0">
                  <c:v>164</c:v>
                </c:pt>
                <c:pt idx="10" formatCode="0">
                  <c:v>165</c:v>
                </c:pt>
                <c:pt idx="11" formatCode="0">
                  <c:v>166</c:v>
                </c:pt>
                <c:pt idx="12" formatCode="0">
                  <c:v>170</c:v>
                </c:pt>
                <c:pt idx="13" formatCode="0">
                  <c:v>171</c:v>
                </c:pt>
                <c:pt idx="14" formatCode="0">
                  <c:v>172</c:v>
                </c:pt>
                <c:pt idx="15" formatCode="0">
                  <c:v>173</c:v>
                </c:pt>
                <c:pt idx="16" formatCode="0">
                  <c:v>178</c:v>
                </c:pt>
                <c:pt idx="17" formatCode="0">
                  <c:v>179</c:v>
                </c:pt>
                <c:pt idx="18" formatCode="0">
                  <c:v>180</c:v>
                </c:pt>
                <c:pt idx="19" formatCode="0">
                  <c:v>181</c:v>
                </c:pt>
                <c:pt idx="20" formatCode="0">
                  <c:v>185</c:v>
                </c:pt>
                <c:pt idx="21" formatCode="0">
                  <c:v>186</c:v>
                </c:pt>
                <c:pt idx="22" formatCode="0">
                  <c:v>187</c:v>
                </c:pt>
                <c:pt idx="23" formatCode="0">
                  <c:v>192</c:v>
                </c:pt>
                <c:pt idx="24" formatCode="0">
                  <c:v>193</c:v>
                </c:pt>
                <c:pt idx="25" formatCode="0">
                  <c:v>194</c:v>
                </c:pt>
                <c:pt idx="26" formatCode="0">
                  <c:v>195</c:v>
                </c:pt>
                <c:pt idx="27" formatCode="0">
                  <c:v>200</c:v>
                </c:pt>
                <c:pt idx="28" formatCode="0">
                  <c:v>207</c:v>
                </c:pt>
                <c:pt idx="29" formatCode="0">
                  <c:v>208</c:v>
                </c:pt>
                <c:pt idx="30" formatCode="0">
                  <c:v>210</c:v>
                </c:pt>
                <c:pt idx="31" formatCode="0">
                  <c:v>214</c:v>
                </c:pt>
                <c:pt idx="32" formatCode="0">
                  <c:v>220</c:v>
                </c:pt>
                <c:pt idx="33" formatCode="0">
                  <c:v>221</c:v>
                </c:pt>
                <c:pt idx="34" formatCode="0">
                  <c:v>222</c:v>
                </c:pt>
                <c:pt idx="35" formatCode="0">
                  <c:v>224</c:v>
                </c:pt>
                <c:pt idx="36" formatCode="0">
                  <c:v>228</c:v>
                </c:pt>
                <c:pt idx="37" formatCode="0">
                  <c:v>234</c:v>
                </c:pt>
                <c:pt idx="38" formatCode="0">
                  <c:v>235</c:v>
                </c:pt>
                <c:pt idx="39" formatCode="0">
                  <c:v>236</c:v>
                </c:pt>
                <c:pt idx="40" formatCode="0">
                  <c:v>241</c:v>
                </c:pt>
                <c:pt idx="41" formatCode="0">
                  <c:v>249</c:v>
                </c:pt>
                <c:pt idx="42" formatCode="0">
                  <c:v>250</c:v>
                </c:pt>
                <c:pt idx="43" formatCode="0">
                  <c:v>251</c:v>
                </c:pt>
                <c:pt idx="44" formatCode="0">
                  <c:v>262</c:v>
                </c:pt>
              </c:numCache>
            </c:numRef>
          </c:xVal>
          <c:yVal>
            <c:numRef>
              <c:f>'Chydorus sph.'!$F$4:$F$48</c:f>
              <c:numCache>
                <c:formatCode>General</c:formatCode>
                <c:ptCount val="45"/>
                <c:pt idx="5" formatCode="0.00">
                  <c:v>1.72</c:v>
                </c:pt>
                <c:pt idx="8" formatCode="0.00">
                  <c:v>2.8433333333333333</c:v>
                </c:pt>
                <c:pt idx="10" formatCode="0.00">
                  <c:v>1.8183333333333334</c:v>
                </c:pt>
                <c:pt idx="13" formatCode="0.00">
                  <c:v>1.4283333333333335</c:v>
                </c:pt>
                <c:pt idx="15" formatCode="0.00">
                  <c:v>0.96333333333333326</c:v>
                </c:pt>
                <c:pt idx="17" formatCode="0.00">
                  <c:v>1.3766666666666667</c:v>
                </c:pt>
                <c:pt idx="21" formatCode="0.00">
                  <c:v>2.3199999999999998</c:v>
                </c:pt>
                <c:pt idx="24" formatCode="0.00">
                  <c:v>1.0450000000000002</c:v>
                </c:pt>
                <c:pt idx="27" formatCode="0.00">
                  <c:v>4.0583333333333336</c:v>
                </c:pt>
                <c:pt idx="28" formatCode="0.00">
                  <c:v>3.8250000000000006</c:v>
                </c:pt>
                <c:pt idx="31" formatCode="0.00">
                  <c:v>0.93666666666666665</c:v>
                </c:pt>
                <c:pt idx="33" formatCode="0.00">
                  <c:v>2.4950000000000001</c:v>
                </c:pt>
                <c:pt idx="36" formatCode="0.00">
                  <c:v>1.8316666666666663</c:v>
                </c:pt>
                <c:pt idx="38" formatCode="0.00">
                  <c:v>1.4633333333333332</c:v>
                </c:pt>
                <c:pt idx="40" formatCode="0.00">
                  <c:v>4.1183333333333332</c:v>
                </c:pt>
                <c:pt idx="41" formatCode="0.00">
                  <c:v>9.2933333333333348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67-42AF-B04B-7E2A9109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0"/>
              <a:t>Cyclopoids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Cyclopoids!$C$3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Cyclopoids!$B$5:$B$56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Cyclopoids!$C$5:$C$56</c:f>
              <c:numCache>
                <c:formatCode>0.00</c:formatCode>
                <c:ptCount val="52"/>
                <c:pt idx="0">
                  <c:v>36.606666666666669</c:v>
                </c:pt>
                <c:pt idx="1">
                  <c:v>53.308333333333337</c:v>
                </c:pt>
                <c:pt idx="5">
                  <c:v>53.490000000000009</c:v>
                </c:pt>
                <c:pt idx="7">
                  <c:v>94.821666666666673</c:v>
                </c:pt>
                <c:pt idx="9">
                  <c:v>65.695000000000007</c:v>
                </c:pt>
                <c:pt idx="15">
                  <c:v>32.121666666666663</c:v>
                </c:pt>
                <c:pt idx="22">
                  <c:v>20.36</c:v>
                </c:pt>
                <c:pt idx="30">
                  <c:v>17.455000000000002</c:v>
                </c:pt>
                <c:pt idx="35">
                  <c:v>11.858333333333334</c:v>
                </c:pt>
                <c:pt idx="41">
                  <c:v>4.5366666666666662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38-4430-85BD-3023614338A3}"/>
            </c:ext>
          </c:extLst>
        </c:ser>
        <c:ser>
          <c:idx val="1"/>
          <c:order val="1"/>
          <c:tx>
            <c:strRef>
              <c:f>Cyclopoids!$D$3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Cyclopoids!$B$5:$B$56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Cyclopoids!$D$5:$D$56</c:f>
              <c:numCache>
                <c:formatCode>General</c:formatCode>
                <c:ptCount val="52"/>
                <c:pt idx="16" formatCode="0.00">
                  <c:v>18.046666666666667</c:v>
                </c:pt>
                <c:pt idx="20" formatCode="0.00">
                  <c:v>10.106666666666667</c:v>
                </c:pt>
                <c:pt idx="24" formatCode="0.00">
                  <c:v>12.558333333333334</c:v>
                </c:pt>
                <c:pt idx="27" formatCode="0.00">
                  <c:v>12.558333333333334</c:v>
                </c:pt>
                <c:pt idx="33" formatCode="0.00">
                  <c:v>9.7858353781084677</c:v>
                </c:pt>
                <c:pt idx="38" formatCode="0.00">
                  <c:v>8.1397277539697317</c:v>
                </c:pt>
                <c:pt idx="44" formatCode="0.00">
                  <c:v>27.47</c:v>
                </c:pt>
                <c:pt idx="50" formatCode="0.00">
                  <c:v>23.251666666666669</c:v>
                </c:pt>
                <c:pt idx="51" formatCode="0.00">
                  <c:v>61.608333333333334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38-4430-85BD-3023614338A3}"/>
            </c:ext>
          </c:extLst>
        </c:ser>
        <c:ser>
          <c:idx val="2"/>
          <c:order val="2"/>
          <c:tx>
            <c:strRef>
              <c:f>Cyclopoids!$E$3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Cyclopoids!$B$5:$B$56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Cyclopoids!$E$5:$E$56</c:f>
              <c:numCache>
                <c:formatCode>General</c:formatCode>
                <c:ptCount val="52"/>
                <c:pt idx="2" formatCode="0.00">
                  <c:v>20.95</c:v>
                </c:pt>
                <c:pt idx="5" formatCode="0.00">
                  <c:v>29.152000000000005</c:v>
                </c:pt>
                <c:pt idx="6" formatCode="0.00">
                  <c:v>7.1419999999999986</c:v>
                </c:pt>
                <c:pt idx="7" formatCode="0.00">
                  <c:v>10.423999999999999</c:v>
                </c:pt>
                <c:pt idx="11" formatCode="0.00">
                  <c:v>16.271999999999998</c:v>
                </c:pt>
                <c:pt idx="19" formatCode="0.00">
                  <c:v>32.983999999999995</c:v>
                </c:pt>
                <c:pt idx="25" formatCode="0.00">
                  <c:v>77.298000000000002</c:v>
                </c:pt>
                <c:pt idx="28" formatCode="0.00">
                  <c:v>23.47</c:v>
                </c:pt>
                <c:pt idx="32" formatCode="0.00">
                  <c:v>64.918000000000006</c:v>
                </c:pt>
                <c:pt idx="33" formatCode="0.00">
                  <c:v>32.902000000000001</c:v>
                </c:pt>
                <c:pt idx="39" formatCode="0.00">
                  <c:v>21.887999999999998</c:v>
                </c:pt>
                <c:pt idx="45" formatCode="0.00">
                  <c:v>17.344000000000001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38-4430-85BD-3023614338A3}"/>
            </c:ext>
          </c:extLst>
        </c:ser>
        <c:ser>
          <c:idx val="3"/>
          <c:order val="3"/>
          <c:tx>
            <c:strRef>
              <c:f>Cyclopoids!$F$3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Cyclopoids!$B$5:$B$56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Cyclopoids!$F$5:$F$56</c:f>
              <c:numCache>
                <c:formatCode>General</c:formatCode>
                <c:ptCount val="52"/>
                <c:pt idx="7" formatCode="0.00">
                  <c:v>6.6366666666666667</c:v>
                </c:pt>
                <c:pt idx="10" formatCode="0.00">
                  <c:v>6.5766666666666662</c:v>
                </c:pt>
                <c:pt idx="12" formatCode="0.00">
                  <c:v>6.4083333333333332</c:v>
                </c:pt>
                <c:pt idx="16" formatCode="0.00">
                  <c:v>8.1133333333333333</c:v>
                </c:pt>
                <c:pt idx="18" formatCode="0.00">
                  <c:v>7.5483333333333329</c:v>
                </c:pt>
                <c:pt idx="20" formatCode="0.00">
                  <c:v>7.0583333333333336</c:v>
                </c:pt>
                <c:pt idx="25" formatCode="0.00">
                  <c:v>11.641666666666666</c:v>
                </c:pt>
                <c:pt idx="28" formatCode="0.00">
                  <c:v>20.555</c:v>
                </c:pt>
                <c:pt idx="32" formatCode="0.00">
                  <c:v>36.414999999999999</c:v>
                </c:pt>
                <c:pt idx="33" formatCode="0.00">
                  <c:v>63.784999999999989</c:v>
                </c:pt>
                <c:pt idx="37" formatCode="0.00">
                  <c:v>44.033333333333331</c:v>
                </c:pt>
                <c:pt idx="39" formatCode="0.00">
                  <c:v>44.031666666666666</c:v>
                </c:pt>
                <c:pt idx="43" formatCode="0.00">
                  <c:v>27.774999999999999</c:v>
                </c:pt>
                <c:pt idx="45" formatCode="0.00">
                  <c:v>21.790000000000003</c:v>
                </c:pt>
                <c:pt idx="47" formatCode="0.00">
                  <c:v>37.436666666666667</c:v>
                </c:pt>
                <c:pt idx="48" formatCode="0.00">
                  <c:v>16.708333333333332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38-4430-85BD-302361433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Hexartha</a:t>
            </a:r>
            <a:r>
              <a:rPr lang="en-US" i="1" baseline="0"/>
              <a:t> spp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'Hexartha spp'!$C$3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'Hexartha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'Hexartha spp'!$C$5:$C$56</c:f>
              <c:numCache>
                <c:formatCode>0.00</c:formatCode>
                <c:ptCount val="52"/>
                <c:pt idx="0">
                  <c:v>0</c:v>
                </c:pt>
                <c:pt idx="1">
                  <c:v>0</c:v>
                </c:pt>
                <c:pt idx="5">
                  <c:v>0.09</c:v>
                </c:pt>
                <c:pt idx="7">
                  <c:v>0</c:v>
                </c:pt>
                <c:pt idx="9">
                  <c:v>0</c:v>
                </c:pt>
                <c:pt idx="15">
                  <c:v>0</c:v>
                </c:pt>
                <c:pt idx="22">
                  <c:v>0</c:v>
                </c:pt>
                <c:pt idx="30">
                  <c:v>0.21</c:v>
                </c:pt>
                <c:pt idx="35">
                  <c:v>8.92</c:v>
                </c:pt>
                <c:pt idx="41">
                  <c:v>47.581666666666671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7-416E-94F5-D5626B8A07AE}"/>
            </c:ext>
          </c:extLst>
        </c:ser>
        <c:ser>
          <c:idx val="1"/>
          <c:order val="1"/>
          <c:tx>
            <c:strRef>
              <c:f>'Hexartha spp'!$D$3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'Hexartha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'Hexartha spp'!$D$5:$D$56</c:f>
              <c:numCache>
                <c:formatCode>General</c:formatCode>
                <c:ptCount val="52"/>
                <c:pt idx="16" formatCode="0.00">
                  <c:v>0</c:v>
                </c:pt>
                <c:pt idx="20" formatCode="0.00">
                  <c:v>0.13</c:v>
                </c:pt>
                <c:pt idx="24" formatCode="0.00">
                  <c:v>0.05</c:v>
                </c:pt>
                <c:pt idx="33" formatCode="0.00">
                  <c:v>6.7978489026212452E-2</c:v>
                </c:pt>
                <c:pt idx="38" formatCode="0.00">
                  <c:v>5.5211559060463204E-2</c:v>
                </c:pt>
                <c:pt idx="44" formatCode="0.00">
                  <c:v>1.4400000000000002</c:v>
                </c:pt>
                <c:pt idx="50" formatCode="0.00">
                  <c:v>8.5000000000000006E-2</c:v>
                </c:pt>
                <c:pt idx="51" formatCode="0.00">
                  <c:v>0.22666666666666668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B7-416E-94F5-D5626B8A07AE}"/>
            </c:ext>
          </c:extLst>
        </c:ser>
        <c:ser>
          <c:idx val="2"/>
          <c:order val="2"/>
          <c:tx>
            <c:strRef>
              <c:f>'Hexartha spp'!$E$3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'Hexartha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'Hexartha spp'!$E$5:$E$56</c:f>
              <c:numCache>
                <c:formatCode>General</c:formatCode>
                <c:ptCount val="52"/>
                <c:pt idx="2" formatCode="0.00">
                  <c:v>0.03</c:v>
                </c:pt>
                <c:pt idx="5" formatCode="0.00">
                  <c:v>0</c:v>
                </c:pt>
                <c:pt idx="6" formatCode="0.00">
                  <c:v>0.03</c:v>
                </c:pt>
                <c:pt idx="7" formatCode="0.00">
                  <c:v>0</c:v>
                </c:pt>
                <c:pt idx="11" formatCode="0.00">
                  <c:v>0</c:v>
                </c:pt>
                <c:pt idx="19" formatCode="0.00">
                  <c:v>0.06</c:v>
                </c:pt>
                <c:pt idx="25" formatCode="0.00">
                  <c:v>0</c:v>
                </c:pt>
                <c:pt idx="28" formatCode="0.00">
                  <c:v>0.11</c:v>
                </c:pt>
                <c:pt idx="32" formatCode="0.00">
                  <c:v>0.06</c:v>
                </c:pt>
                <c:pt idx="33" formatCode="0.00">
                  <c:v>0.56000000000000005</c:v>
                </c:pt>
                <c:pt idx="39" formatCode="0.00">
                  <c:v>1.27</c:v>
                </c:pt>
                <c:pt idx="45" formatCode="0.00">
                  <c:v>3.85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B7-416E-94F5-D5626B8A07AE}"/>
            </c:ext>
          </c:extLst>
        </c:ser>
        <c:ser>
          <c:idx val="3"/>
          <c:order val="3"/>
          <c:tx>
            <c:strRef>
              <c:f>'Hexartha spp'!$F$3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'Hexartha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'Hexartha spp'!$F$5:$F$56</c:f>
              <c:numCache>
                <c:formatCode>General</c:formatCode>
                <c:ptCount val="52"/>
                <c:pt idx="7" formatCode="0.00">
                  <c:v>0.26166666666666666</c:v>
                </c:pt>
                <c:pt idx="10" formatCode="0.00">
                  <c:v>0</c:v>
                </c:pt>
                <c:pt idx="12" formatCode="0.00">
                  <c:v>0</c:v>
                </c:pt>
                <c:pt idx="16" formatCode="0.00">
                  <c:v>0.05</c:v>
                </c:pt>
                <c:pt idx="18" formatCode="0.00">
                  <c:v>0.3</c:v>
                </c:pt>
                <c:pt idx="25" formatCode="0.00">
                  <c:v>20.346666666666668</c:v>
                </c:pt>
                <c:pt idx="28" formatCode="0.00">
                  <c:v>11.016666666666667</c:v>
                </c:pt>
                <c:pt idx="32" formatCode="0.00">
                  <c:v>8.9066666666666663</c:v>
                </c:pt>
                <c:pt idx="33" formatCode="0.00">
                  <c:v>30.89</c:v>
                </c:pt>
                <c:pt idx="37" formatCode="0.00">
                  <c:v>16.818333333333335</c:v>
                </c:pt>
                <c:pt idx="39" formatCode="0.00">
                  <c:v>11.575000000000001</c:v>
                </c:pt>
                <c:pt idx="43" formatCode="0.00">
                  <c:v>8.0583333333333318</c:v>
                </c:pt>
                <c:pt idx="45" formatCode="0.00">
                  <c:v>6.5633333333333335</c:v>
                </c:pt>
                <c:pt idx="47" formatCode="0.00">
                  <c:v>2.5033333333333334</c:v>
                </c:pt>
                <c:pt idx="48" formatCode="0.00">
                  <c:v>21.721666666666668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B7-416E-94F5-D5626B8A0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7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Keratella quadrata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Keratella!$C$3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Keratella!$B$5:$B$56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Keratella!$C$5:$C$56</c:f>
              <c:numCache>
                <c:formatCode>0.00</c:formatCode>
                <c:ptCount val="52"/>
                <c:pt idx="0">
                  <c:v>607.35</c:v>
                </c:pt>
                <c:pt idx="1">
                  <c:v>534.79166666666663</c:v>
                </c:pt>
                <c:pt idx="5">
                  <c:v>408.072</c:v>
                </c:pt>
                <c:pt idx="7">
                  <c:v>326.32</c:v>
                </c:pt>
                <c:pt idx="9">
                  <c:v>205.77500000000001</c:v>
                </c:pt>
                <c:pt idx="15">
                  <c:v>511.4083333333333</c:v>
                </c:pt>
                <c:pt idx="22">
                  <c:v>478.38500000000005</c:v>
                </c:pt>
                <c:pt idx="30">
                  <c:v>192.68833333333336</c:v>
                </c:pt>
                <c:pt idx="35">
                  <c:v>126.07000000000001</c:v>
                </c:pt>
                <c:pt idx="41">
                  <c:v>223.83333333333334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5-4355-AC5E-E77DD1BD6C8D}"/>
            </c:ext>
          </c:extLst>
        </c:ser>
        <c:ser>
          <c:idx val="1"/>
          <c:order val="1"/>
          <c:tx>
            <c:strRef>
              <c:f>Keratella!$D$3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Keratella!$B$5:$B$56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Keratella!$D$5:$D$56</c:f>
              <c:numCache>
                <c:formatCode>General</c:formatCode>
                <c:ptCount val="52"/>
                <c:pt idx="16" formatCode="0.00">
                  <c:v>673.92333333333329</c:v>
                </c:pt>
                <c:pt idx="20" formatCode="0.00">
                  <c:v>993.41666666666663</c:v>
                </c:pt>
                <c:pt idx="24" formatCode="0.00">
                  <c:v>59.705000000000005</c:v>
                </c:pt>
                <c:pt idx="27" formatCode="0.00">
                  <c:v>59.705000000000005</c:v>
                </c:pt>
                <c:pt idx="38" formatCode="0.00">
                  <c:v>45.276566895364518</c:v>
                </c:pt>
                <c:pt idx="44" formatCode="0.00">
                  <c:v>13.528333333333334</c:v>
                </c:pt>
                <c:pt idx="50" formatCode="0.00">
                  <c:v>0.5099999999999999</c:v>
                </c:pt>
                <c:pt idx="51" formatCode="0.00">
                  <c:v>9.9650000000000016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25-4355-AC5E-E77DD1BD6C8D}"/>
            </c:ext>
          </c:extLst>
        </c:ser>
        <c:ser>
          <c:idx val="2"/>
          <c:order val="2"/>
          <c:tx>
            <c:strRef>
              <c:f>Keratella!$E$3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Keratella!$B$5:$B$56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Keratella!$E$5:$E$56</c:f>
              <c:numCache>
                <c:formatCode>General</c:formatCode>
                <c:ptCount val="52"/>
                <c:pt idx="2" formatCode="0.00">
                  <c:v>1100.848</c:v>
                </c:pt>
                <c:pt idx="5" formatCode="0.00">
                  <c:v>687.33799999999997</c:v>
                </c:pt>
                <c:pt idx="6" formatCode="0.00">
                  <c:v>1901.8340000000001</c:v>
                </c:pt>
                <c:pt idx="7" formatCode="0.00">
                  <c:v>1206.626</c:v>
                </c:pt>
                <c:pt idx="11" formatCode="0.00">
                  <c:v>866.28399999999999</c:v>
                </c:pt>
                <c:pt idx="19" formatCode="0.00">
                  <c:v>343.78399999999999</c:v>
                </c:pt>
                <c:pt idx="25" formatCode="0.00">
                  <c:v>236.09399999999997</c:v>
                </c:pt>
                <c:pt idx="28" formatCode="0.00">
                  <c:v>360.68400000000003</c:v>
                </c:pt>
                <c:pt idx="32" formatCode="0.00">
                  <c:v>212.56400000000002</c:v>
                </c:pt>
                <c:pt idx="33" formatCode="0.00">
                  <c:v>246.78200000000001</c:v>
                </c:pt>
                <c:pt idx="39" formatCode="0.00">
                  <c:v>361.03399999999999</c:v>
                </c:pt>
                <c:pt idx="45" formatCode="0.00">
                  <c:v>544.1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25-4355-AC5E-E77DD1BD6C8D}"/>
            </c:ext>
          </c:extLst>
        </c:ser>
        <c:ser>
          <c:idx val="3"/>
          <c:order val="3"/>
          <c:tx>
            <c:strRef>
              <c:f>Keratella!$F$3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Keratella!$B$5:$B$56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Keratella!$F$5:$F$56</c:f>
              <c:numCache>
                <c:formatCode>General</c:formatCode>
                <c:ptCount val="52"/>
                <c:pt idx="7" formatCode="0.00">
                  <c:v>453.64999999999992</c:v>
                </c:pt>
                <c:pt idx="10" formatCode="0.00">
                  <c:v>556.62833333333333</c:v>
                </c:pt>
                <c:pt idx="12" formatCode="0.00">
                  <c:v>479.97</c:v>
                </c:pt>
                <c:pt idx="16" formatCode="0.00">
                  <c:v>274.83</c:v>
                </c:pt>
                <c:pt idx="18" formatCode="0.00">
                  <c:v>298.435</c:v>
                </c:pt>
                <c:pt idx="20" formatCode="0.00">
                  <c:v>209.41499999999996</c:v>
                </c:pt>
                <c:pt idx="25" formatCode="0.00">
                  <c:v>99.654999999999987</c:v>
                </c:pt>
                <c:pt idx="28" formatCode="0.00">
                  <c:v>93.241666666666674</c:v>
                </c:pt>
                <c:pt idx="32" formatCode="0.00">
                  <c:v>73.610000000000014</c:v>
                </c:pt>
                <c:pt idx="33" formatCode="0.00">
                  <c:v>97.86</c:v>
                </c:pt>
                <c:pt idx="37" formatCode="0.00">
                  <c:v>73.051666666666662</c:v>
                </c:pt>
                <c:pt idx="39" formatCode="0.00">
                  <c:v>134.60333333333332</c:v>
                </c:pt>
                <c:pt idx="43" formatCode="0.00">
                  <c:v>175.93666666666664</c:v>
                </c:pt>
                <c:pt idx="45" formatCode="0.00">
                  <c:v>181.48</c:v>
                </c:pt>
                <c:pt idx="47" formatCode="0.00">
                  <c:v>75.653333333333336</c:v>
                </c:pt>
                <c:pt idx="48" formatCode="0.00">
                  <c:v>97.283333333333346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25-4355-AC5E-E77DD1BD6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0"/>
              <a:t>Nauplii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Nauplii!$C$3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Nauplii!$B$5:$B$56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Nauplii!$C$5:$C$56</c:f>
              <c:numCache>
                <c:formatCode>0.00</c:formatCode>
                <c:ptCount val="52"/>
                <c:pt idx="0">
                  <c:v>75.464999999999989</c:v>
                </c:pt>
                <c:pt idx="1">
                  <c:v>126.94666666666667</c:v>
                </c:pt>
                <c:pt idx="5">
                  <c:v>218.61599999999999</c:v>
                </c:pt>
                <c:pt idx="7">
                  <c:v>351.04</c:v>
                </c:pt>
                <c:pt idx="9">
                  <c:v>321.86499999999995</c:v>
                </c:pt>
                <c:pt idx="15">
                  <c:v>300.14500000000004</c:v>
                </c:pt>
                <c:pt idx="22">
                  <c:v>223.285</c:v>
                </c:pt>
                <c:pt idx="30">
                  <c:v>265.25166666666667</c:v>
                </c:pt>
                <c:pt idx="35">
                  <c:v>120.23833333333334</c:v>
                </c:pt>
                <c:pt idx="41">
                  <c:v>87.21833333333332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F-4902-B7D8-7E422283D10E}"/>
            </c:ext>
          </c:extLst>
        </c:ser>
        <c:ser>
          <c:idx val="1"/>
          <c:order val="1"/>
          <c:tx>
            <c:strRef>
              <c:f>Nauplii!$D$3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Nauplii!$B$5:$B$56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Nauplii!$D$5:$D$56</c:f>
              <c:numCache>
                <c:formatCode>General</c:formatCode>
                <c:ptCount val="52"/>
                <c:pt idx="16" formatCode="0.00">
                  <c:v>56.871666666666663</c:v>
                </c:pt>
                <c:pt idx="20" formatCode="0.00">
                  <c:v>50.851666666666659</c:v>
                </c:pt>
                <c:pt idx="24" formatCode="0.00">
                  <c:v>52.528333333333336</c:v>
                </c:pt>
                <c:pt idx="27" formatCode="0.00">
                  <c:v>52.528333333333336</c:v>
                </c:pt>
                <c:pt idx="33" formatCode="0.00">
                  <c:v>46.939410901419166</c:v>
                </c:pt>
                <c:pt idx="38" formatCode="0.00">
                  <c:v>36.817941111337163</c:v>
                </c:pt>
                <c:pt idx="44" formatCode="0.00">
                  <c:v>58.386666666666663</c:v>
                </c:pt>
                <c:pt idx="50" formatCode="0.00">
                  <c:v>19.593333333333334</c:v>
                </c:pt>
                <c:pt idx="51" formatCode="0.00">
                  <c:v>33.098333333333336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F-4902-B7D8-7E422283D10E}"/>
            </c:ext>
          </c:extLst>
        </c:ser>
        <c:ser>
          <c:idx val="2"/>
          <c:order val="2"/>
          <c:tx>
            <c:strRef>
              <c:f>Nauplii!$E$3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Nauplii!$B$5:$B$56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Nauplii!$E$5:$E$56</c:f>
              <c:numCache>
                <c:formatCode>General</c:formatCode>
                <c:ptCount val="52"/>
                <c:pt idx="2" formatCode="0.00">
                  <c:v>351.904</c:v>
                </c:pt>
                <c:pt idx="5" formatCode="0.00">
                  <c:v>329.46799999999996</c:v>
                </c:pt>
                <c:pt idx="6" formatCode="0.00">
                  <c:v>608.928</c:v>
                </c:pt>
                <c:pt idx="7" formatCode="0.00">
                  <c:v>311.274</c:v>
                </c:pt>
                <c:pt idx="11" formatCode="0.00">
                  <c:v>245.66199999999998</c:v>
                </c:pt>
                <c:pt idx="19" formatCode="0.00">
                  <c:v>243.76</c:v>
                </c:pt>
                <c:pt idx="25" formatCode="0.00">
                  <c:v>244.70600000000005</c:v>
                </c:pt>
                <c:pt idx="28" formatCode="0.00">
                  <c:v>143.21600000000001</c:v>
                </c:pt>
                <c:pt idx="32" formatCode="0.00">
                  <c:v>294.38200000000001</c:v>
                </c:pt>
                <c:pt idx="33" formatCode="0.00">
                  <c:v>319.92400000000004</c:v>
                </c:pt>
                <c:pt idx="39" formatCode="0.00">
                  <c:v>167.422</c:v>
                </c:pt>
                <c:pt idx="45" formatCode="0.00">
                  <c:v>215.52999999999997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F-4902-B7D8-7E422283D10E}"/>
            </c:ext>
          </c:extLst>
        </c:ser>
        <c:ser>
          <c:idx val="3"/>
          <c:order val="3"/>
          <c:tx>
            <c:strRef>
              <c:f>Nauplii!$F$3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Nauplii!$B$5:$B$56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Nauplii!$F$5:$F$56</c:f>
              <c:numCache>
                <c:formatCode>General</c:formatCode>
                <c:ptCount val="52"/>
                <c:pt idx="7" formatCode="0.00">
                  <c:v>36.718333333333341</c:v>
                </c:pt>
                <c:pt idx="10" formatCode="0.00">
                  <c:v>121.60333333333331</c:v>
                </c:pt>
                <c:pt idx="12" formatCode="0.00">
                  <c:v>110.42500000000001</c:v>
                </c:pt>
                <c:pt idx="16" formatCode="0.00">
                  <c:v>263.61666666666662</c:v>
                </c:pt>
                <c:pt idx="18" formatCode="0.00">
                  <c:v>298.69166666666666</c:v>
                </c:pt>
                <c:pt idx="20" formatCode="0.00">
                  <c:v>273.07333333333332</c:v>
                </c:pt>
                <c:pt idx="25" formatCode="0.00">
                  <c:v>375.5216666666667</c:v>
                </c:pt>
                <c:pt idx="28" formatCode="0.00">
                  <c:v>412.42666666666673</c:v>
                </c:pt>
                <c:pt idx="32" formatCode="0.00">
                  <c:v>377.91666666666669</c:v>
                </c:pt>
                <c:pt idx="33" formatCode="0.00">
                  <c:v>381.10833333333329</c:v>
                </c:pt>
                <c:pt idx="37" formatCode="0.00">
                  <c:v>292.7716666666667</c:v>
                </c:pt>
                <c:pt idx="39" formatCode="0.00">
                  <c:v>335.82499999999999</c:v>
                </c:pt>
                <c:pt idx="43" formatCode="0.00">
                  <c:v>363.7283333333333</c:v>
                </c:pt>
                <c:pt idx="45" formatCode="0.00">
                  <c:v>224.60999999999999</c:v>
                </c:pt>
                <c:pt idx="47" formatCode="0.00">
                  <c:v>158.95833333333334</c:v>
                </c:pt>
                <c:pt idx="48" formatCode="0.00">
                  <c:v>260.07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8F-4902-B7D8-7E422283D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7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Polyartha</a:t>
            </a:r>
            <a:r>
              <a:rPr lang="en-US" i="1" baseline="0"/>
              <a:t> spp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Polyartha!$C$3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Polyartha!$B$5:$B$56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172</c:v>
                </c:pt>
                <c:pt idx="17" formatCode="0">
                  <c:v>171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Polyartha!$C$5:$C$56</c:f>
              <c:numCache>
                <c:formatCode>0.00</c:formatCode>
                <c:ptCount val="52"/>
                <c:pt idx="0">
                  <c:v>59.864999999999988</c:v>
                </c:pt>
                <c:pt idx="1">
                  <c:v>33.720000000000006</c:v>
                </c:pt>
                <c:pt idx="5">
                  <c:v>10.596</c:v>
                </c:pt>
                <c:pt idx="7">
                  <c:v>12.368333333333332</c:v>
                </c:pt>
                <c:pt idx="9">
                  <c:v>12.79</c:v>
                </c:pt>
                <c:pt idx="15">
                  <c:v>32.383333333333333</c:v>
                </c:pt>
                <c:pt idx="22">
                  <c:v>25.803333333333338</c:v>
                </c:pt>
                <c:pt idx="30">
                  <c:v>46.101666666666667</c:v>
                </c:pt>
                <c:pt idx="35">
                  <c:v>26.936666666666667</c:v>
                </c:pt>
                <c:pt idx="41">
                  <c:v>75.283333333333331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6-4308-9AC0-CE6675A6537F}"/>
            </c:ext>
          </c:extLst>
        </c:ser>
        <c:ser>
          <c:idx val="1"/>
          <c:order val="1"/>
          <c:tx>
            <c:strRef>
              <c:f>Polyartha!$D$3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Polyartha!$B$5:$B$56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172</c:v>
                </c:pt>
                <c:pt idx="17" formatCode="0">
                  <c:v>171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Polyartha!$D$5:$D$56</c:f>
              <c:numCache>
                <c:formatCode>General</c:formatCode>
                <c:ptCount val="52"/>
                <c:pt idx="17" formatCode="0.00">
                  <c:v>79.396666666666661</c:v>
                </c:pt>
                <c:pt idx="20" formatCode="0.00">
                  <c:v>117.69666666666667</c:v>
                </c:pt>
                <c:pt idx="24" formatCode="0.00">
                  <c:v>41.221666666666671</c:v>
                </c:pt>
                <c:pt idx="27" formatCode="0.00">
                  <c:v>41.221666666666671</c:v>
                </c:pt>
                <c:pt idx="33" formatCode="0.00">
                  <c:v>55.216782593058412</c:v>
                </c:pt>
                <c:pt idx="38" formatCode="0.00">
                  <c:v>45.452628918514961</c:v>
                </c:pt>
                <c:pt idx="44" formatCode="0.00">
                  <c:v>6.2366666666666672</c:v>
                </c:pt>
                <c:pt idx="50" formatCode="0.00">
                  <c:v>0.38999999999999996</c:v>
                </c:pt>
                <c:pt idx="51" formatCode="0.00">
                  <c:v>9.1866666666666674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6-4308-9AC0-CE6675A6537F}"/>
            </c:ext>
          </c:extLst>
        </c:ser>
        <c:ser>
          <c:idx val="2"/>
          <c:order val="2"/>
          <c:tx>
            <c:strRef>
              <c:f>Polyartha!$E$3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Polyartha!$B$5:$B$56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172</c:v>
                </c:pt>
                <c:pt idx="17" formatCode="0">
                  <c:v>171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Polyartha!$E$5:$E$56</c:f>
              <c:numCache>
                <c:formatCode>General</c:formatCode>
                <c:ptCount val="52"/>
                <c:pt idx="2" formatCode="0.00">
                  <c:v>81.126000000000005</c:v>
                </c:pt>
                <c:pt idx="5" formatCode="0.00">
                  <c:v>6.4159999999999995</c:v>
                </c:pt>
                <c:pt idx="6" formatCode="0.00">
                  <c:v>49.124000000000002</c:v>
                </c:pt>
                <c:pt idx="7" formatCode="0.00">
                  <c:v>34.613999999999997</c:v>
                </c:pt>
                <c:pt idx="11" formatCode="0.00">
                  <c:v>109.70599999999999</c:v>
                </c:pt>
                <c:pt idx="19" formatCode="0.00">
                  <c:v>38.19</c:v>
                </c:pt>
                <c:pt idx="25" formatCode="0.00">
                  <c:v>44.903999999999996</c:v>
                </c:pt>
                <c:pt idx="28" formatCode="0.00">
                  <c:v>9.2519999999999989</c:v>
                </c:pt>
                <c:pt idx="32" formatCode="0.00">
                  <c:v>3.7660000000000005</c:v>
                </c:pt>
                <c:pt idx="33" formatCode="0.00">
                  <c:v>39.106000000000002</c:v>
                </c:pt>
                <c:pt idx="39" formatCode="0.00">
                  <c:v>1.6580000000000001</c:v>
                </c:pt>
                <c:pt idx="45" formatCode="0.00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6-4308-9AC0-CE6675A6537F}"/>
            </c:ext>
          </c:extLst>
        </c:ser>
        <c:ser>
          <c:idx val="3"/>
          <c:order val="3"/>
          <c:tx>
            <c:strRef>
              <c:f>Polyartha!$F$3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Polyartha!$B$5:$B$56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172</c:v>
                </c:pt>
                <c:pt idx="17" formatCode="0">
                  <c:v>171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Polyartha!$F$5:$F$56</c:f>
              <c:numCache>
                <c:formatCode>General</c:formatCode>
                <c:ptCount val="52"/>
                <c:pt idx="7" formatCode="0.00">
                  <c:v>220.1</c:v>
                </c:pt>
                <c:pt idx="10" formatCode="0.00">
                  <c:v>135.35499999999999</c:v>
                </c:pt>
                <c:pt idx="12" formatCode="0.00">
                  <c:v>51.918333333333329</c:v>
                </c:pt>
                <c:pt idx="17" formatCode="0.00">
                  <c:v>113.64833333333333</c:v>
                </c:pt>
                <c:pt idx="18" formatCode="0.00">
                  <c:v>138.65833333333333</c:v>
                </c:pt>
                <c:pt idx="20" formatCode="0.00">
                  <c:v>100.895</c:v>
                </c:pt>
                <c:pt idx="25" formatCode="0.00">
                  <c:v>102.84999999999998</c:v>
                </c:pt>
                <c:pt idx="28" formatCode="0.00">
                  <c:v>80.726666666666674</c:v>
                </c:pt>
                <c:pt idx="32" formatCode="0.00">
                  <c:v>84.088333333333324</c:v>
                </c:pt>
                <c:pt idx="33" formatCode="0.00">
                  <c:v>71.263333333333335</c:v>
                </c:pt>
                <c:pt idx="37" formatCode="0.00">
                  <c:v>26.923333333333332</c:v>
                </c:pt>
                <c:pt idx="39" formatCode="0.00">
                  <c:v>63.926666666666677</c:v>
                </c:pt>
                <c:pt idx="43" formatCode="0.00">
                  <c:v>109.71333333333335</c:v>
                </c:pt>
                <c:pt idx="45" formatCode="0.00">
                  <c:v>78.99166666666666</c:v>
                </c:pt>
                <c:pt idx="47" formatCode="0.00">
                  <c:v>19.401666666666667</c:v>
                </c:pt>
                <c:pt idx="48" formatCode="0.00">
                  <c:v>72.018333333333331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6-4308-9AC0-CE6675A65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7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Simocephalus</a:t>
            </a:r>
            <a:r>
              <a:rPr lang="en-US" i="1" baseline="0"/>
              <a:t> spp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'Simocephalus spp'!$C$3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'Simocephalus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'Simocephalus spp'!$C$5:$C$56</c:f>
              <c:numCache>
                <c:formatCode>0.00</c:formatCode>
                <c:ptCount val="52"/>
                <c:pt idx="0">
                  <c:v>0.64333333333333342</c:v>
                </c:pt>
                <c:pt idx="1">
                  <c:v>2.6966666666666668</c:v>
                </c:pt>
                <c:pt idx="5">
                  <c:v>0.76400000000000001</c:v>
                </c:pt>
                <c:pt idx="7">
                  <c:v>16.984999999999999</c:v>
                </c:pt>
                <c:pt idx="9">
                  <c:v>4.9116666666666662</c:v>
                </c:pt>
                <c:pt idx="15">
                  <c:v>0.40833333333333338</c:v>
                </c:pt>
                <c:pt idx="22">
                  <c:v>0.79</c:v>
                </c:pt>
                <c:pt idx="30">
                  <c:v>0.3066666666666667</c:v>
                </c:pt>
                <c:pt idx="35">
                  <c:v>0.11166666666666665</c:v>
                </c:pt>
                <c:pt idx="41">
                  <c:v>0.60166666666666668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F-4EB1-9C9B-15D1F7064622}"/>
            </c:ext>
          </c:extLst>
        </c:ser>
        <c:ser>
          <c:idx val="1"/>
          <c:order val="1"/>
          <c:tx>
            <c:strRef>
              <c:f>'Simocephalus spp'!$D$3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'Simocephalus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'Simocephalus spp'!$D$5:$D$56</c:f>
              <c:numCache>
                <c:formatCode>General</c:formatCode>
                <c:ptCount val="52"/>
                <c:pt idx="16" formatCode="0.00">
                  <c:v>0.08</c:v>
                </c:pt>
                <c:pt idx="20" formatCode="0.00">
                  <c:v>0.32</c:v>
                </c:pt>
                <c:pt idx="24" formatCode="0.00">
                  <c:v>0.16</c:v>
                </c:pt>
                <c:pt idx="27" formatCode="0.00">
                  <c:v>0.16</c:v>
                </c:pt>
                <c:pt idx="33" formatCode="0.00">
                  <c:v>0.18119288512538811</c:v>
                </c:pt>
                <c:pt idx="38" formatCode="0.00">
                  <c:v>0.14201252281006493</c:v>
                </c:pt>
                <c:pt idx="44" formatCode="0.00">
                  <c:v>1.9233333333333331</c:v>
                </c:pt>
                <c:pt idx="50" formatCode="0.00">
                  <c:v>1.68</c:v>
                </c:pt>
                <c:pt idx="51" formatCode="0.00">
                  <c:v>7.2516666666666678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F-4EB1-9C9B-15D1F7064622}"/>
            </c:ext>
          </c:extLst>
        </c:ser>
        <c:ser>
          <c:idx val="2"/>
          <c:order val="2"/>
          <c:tx>
            <c:strRef>
              <c:f>'Simocephalus spp'!$E$3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'Simocephalus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'Simocephalus spp'!$E$5:$E$56</c:f>
              <c:numCache>
                <c:formatCode>General</c:formatCode>
                <c:ptCount val="52"/>
                <c:pt idx="2" formatCode="0.00">
                  <c:v>6.0259999999999998</c:v>
                </c:pt>
                <c:pt idx="5" formatCode="0.00">
                  <c:v>7.3159999999999998</c:v>
                </c:pt>
                <c:pt idx="6" formatCode="0.00">
                  <c:v>1.2819999999999998</c:v>
                </c:pt>
                <c:pt idx="7" formatCode="0.00">
                  <c:v>0.85199999999999998</c:v>
                </c:pt>
                <c:pt idx="11" formatCode="0.00">
                  <c:v>3.2620000000000005</c:v>
                </c:pt>
                <c:pt idx="19" formatCode="0.00">
                  <c:v>5.7240000000000002</c:v>
                </c:pt>
                <c:pt idx="25" formatCode="0.00">
                  <c:v>14.102</c:v>
                </c:pt>
                <c:pt idx="28" formatCode="0.00">
                  <c:v>5.806</c:v>
                </c:pt>
                <c:pt idx="32" formatCode="0.00">
                  <c:v>7.7439999999999998</c:v>
                </c:pt>
                <c:pt idx="33" formatCode="0.00">
                  <c:v>2.532</c:v>
                </c:pt>
                <c:pt idx="39" formatCode="0.00">
                  <c:v>0.8640000000000001</c:v>
                </c:pt>
                <c:pt idx="45" formatCode="0.00">
                  <c:v>0.54600000000000004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3F-4EB1-9C9B-15D1F7064622}"/>
            </c:ext>
          </c:extLst>
        </c:ser>
        <c:ser>
          <c:idx val="3"/>
          <c:order val="3"/>
          <c:tx>
            <c:strRef>
              <c:f>'Simocephalus spp'!$F$3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'Simocephalus spp'!$B$5:$B$56</c:f>
              <c:numCache>
                <c:formatCode>General</c:formatCode>
                <c:ptCount val="52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211</c:v>
                </c:pt>
                <c:pt idx="37" formatCode="0">
                  <c:v>214</c:v>
                </c:pt>
                <c:pt idx="38" formatCode="0">
                  <c:v>220</c:v>
                </c:pt>
                <c:pt idx="39" formatCode="0">
                  <c:v>221</c:v>
                </c:pt>
                <c:pt idx="40" formatCode="0">
                  <c:v>222</c:v>
                </c:pt>
                <c:pt idx="41" formatCode="0">
                  <c:v>224</c:v>
                </c:pt>
                <c:pt idx="42" formatCode="0">
                  <c:v>225</c:v>
                </c:pt>
                <c:pt idx="43" formatCode="0">
                  <c:v>228</c:v>
                </c:pt>
                <c:pt idx="44" formatCode="0">
                  <c:v>234</c:v>
                </c:pt>
                <c:pt idx="45" formatCode="0">
                  <c:v>235</c:v>
                </c:pt>
                <c:pt idx="46" formatCode="0">
                  <c:v>236</c:v>
                </c:pt>
                <c:pt idx="47" formatCode="0">
                  <c:v>241</c:v>
                </c:pt>
                <c:pt idx="48" formatCode="0">
                  <c:v>249</c:v>
                </c:pt>
                <c:pt idx="49" formatCode="0">
                  <c:v>250</c:v>
                </c:pt>
                <c:pt idx="50" formatCode="0">
                  <c:v>251</c:v>
                </c:pt>
                <c:pt idx="51" formatCode="0">
                  <c:v>262</c:v>
                </c:pt>
              </c:numCache>
            </c:numRef>
          </c:xVal>
          <c:yVal>
            <c:numRef>
              <c:f>'Simocephalus spp'!$F$5:$F$56</c:f>
              <c:numCache>
                <c:formatCode>General</c:formatCode>
                <c:ptCount val="52"/>
                <c:pt idx="7" formatCode="0.00">
                  <c:v>1.915</c:v>
                </c:pt>
                <c:pt idx="10" formatCode="0.00">
                  <c:v>0.59</c:v>
                </c:pt>
                <c:pt idx="12" formatCode="0.00">
                  <c:v>0.4316666666666667</c:v>
                </c:pt>
                <c:pt idx="16" formatCode="0.00">
                  <c:v>0.16</c:v>
                </c:pt>
                <c:pt idx="18" formatCode="0.00">
                  <c:v>9.1666666666666674E-2</c:v>
                </c:pt>
                <c:pt idx="20" formatCode="0.00">
                  <c:v>0.31</c:v>
                </c:pt>
                <c:pt idx="25" formatCode="0.00">
                  <c:v>0.55833333333333335</c:v>
                </c:pt>
                <c:pt idx="28" formatCode="0.00">
                  <c:v>0.26999999999999996</c:v>
                </c:pt>
                <c:pt idx="32" formatCode="0.00">
                  <c:v>2.0550000000000002</c:v>
                </c:pt>
                <c:pt idx="33" formatCode="0.00">
                  <c:v>3.3666666666666658</c:v>
                </c:pt>
                <c:pt idx="37" formatCode="0.00">
                  <c:v>4.2850000000000001</c:v>
                </c:pt>
                <c:pt idx="39" formatCode="0.00">
                  <c:v>1.8166666666666667</c:v>
                </c:pt>
                <c:pt idx="43" formatCode="0.00">
                  <c:v>1.6416666666666664</c:v>
                </c:pt>
                <c:pt idx="45" formatCode="0.00">
                  <c:v>0.2283333333333333</c:v>
                </c:pt>
                <c:pt idx="47" formatCode="0.00">
                  <c:v>1.6766666666666667</c:v>
                </c:pt>
                <c:pt idx="48" formatCode="0.00">
                  <c:v>0.91500000000000004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3F-4EB1-9C9B-15D1F706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Synchaeta</a:t>
            </a:r>
            <a:r>
              <a:rPr lang="en-US" i="1" baseline="0"/>
              <a:t> spp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'Synchaeta spp'!$C$3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'Synchaeta spp'!$B$5:$B$55</c:f>
              <c:numCache>
                <c:formatCode>General</c:formatCode>
                <c:ptCount val="51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214</c:v>
                </c:pt>
                <c:pt idx="37" formatCode="0">
                  <c:v>220</c:v>
                </c:pt>
                <c:pt idx="38" formatCode="0">
                  <c:v>221</c:v>
                </c:pt>
                <c:pt idx="39" formatCode="0">
                  <c:v>222</c:v>
                </c:pt>
                <c:pt idx="40" formatCode="0">
                  <c:v>224</c:v>
                </c:pt>
                <c:pt idx="41" formatCode="0">
                  <c:v>225</c:v>
                </c:pt>
                <c:pt idx="42" formatCode="0">
                  <c:v>228</c:v>
                </c:pt>
                <c:pt idx="43" formatCode="0">
                  <c:v>234</c:v>
                </c:pt>
                <c:pt idx="44" formatCode="0">
                  <c:v>235</c:v>
                </c:pt>
                <c:pt idx="45" formatCode="0">
                  <c:v>236</c:v>
                </c:pt>
                <c:pt idx="46" formatCode="0">
                  <c:v>241</c:v>
                </c:pt>
                <c:pt idx="47" formatCode="0">
                  <c:v>249</c:v>
                </c:pt>
                <c:pt idx="48" formatCode="0">
                  <c:v>250</c:v>
                </c:pt>
                <c:pt idx="49" formatCode="0">
                  <c:v>251</c:v>
                </c:pt>
                <c:pt idx="50" formatCode="0">
                  <c:v>262</c:v>
                </c:pt>
              </c:numCache>
            </c:numRef>
          </c:xVal>
          <c:yVal>
            <c:numRef>
              <c:f>'Synchaeta spp'!$C$5:$C$55</c:f>
              <c:numCache>
                <c:formatCode>0.00</c:formatCode>
                <c:ptCount val="51"/>
                <c:pt idx="0">
                  <c:v>11.083333333333334</c:v>
                </c:pt>
                <c:pt idx="1">
                  <c:v>7.6483333333333325</c:v>
                </c:pt>
                <c:pt idx="5">
                  <c:v>2.5119999999999996</c:v>
                </c:pt>
                <c:pt idx="7">
                  <c:v>10.761666666666668</c:v>
                </c:pt>
                <c:pt idx="9">
                  <c:v>2.6350000000000002</c:v>
                </c:pt>
                <c:pt idx="15">
                  <c:v>3.6283333333333334</c:v>
                </c:pt>
                <c:pt idx="22">
                  <c:v>0.30833333333333335</c:v>
                </c:pt>
                <c:pt idx="30">
                  <c:v>1.6283333333333336</c:v>
                </c:pt>
                <c:pt idx="35">
                  <c:v>11.531666666666666</c:v>
                </c:pt>
                <c:pt idx="40">
                  <c:v>61.01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7-47B9-B1BF-1596F3922C26}"/>
            </c:ext>
          </c:extLst>
        </c:ser>
        <c:ser>
          <c:idx val="1"/>
          <c:order val="1"/>
          <c:tx>
            <c:strRef>
              <c:f>'Synchaeta spp'!$D$3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'Synchaeta spp'!$B$5:$B$55</c:f>
              <c:numCache>
                <c:formatCode>General</c:formatCode>
                <c:ptCount val="51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214</c:v>
                </c:pt>
                <c:pt idx="37" formatCode="0">
                  <c:v>220</c:v>
                </c:pt>
                <c:pt idx="38" formatCode="0">
                  <c:v>221</c:v>
                </c:pt>
                <c:pt idx="39" formatCode="0">
                  <c:v>222</c:v>
                </c:pt>
                <c:pt idx="40" formatCode="0">
                  <c:v>224</c:v>
                </c:pt>
                <c:pt idx="41" formatCode="0">
                  <c:v>225</c:v>
                </c:pt>
                <c:pt idx="42" formatCode="0">
                  <c:v>228</c:v>
                </c:pt>
                <c:pt idx="43" formatCode="0">
                  <c:v>234</c:v>
                </c:pt>
                <c:pt idx="44" formatCode="0">
                  <c:v>235</c:v>
                </c:pt>
                <c:pt idx="45" formatCode="0">
                  <c:v>236</c:v>
                </c:pt>
                <c:pt idx="46" formatCode="0">
                  <c:v>241</c:v>
                </c:pt>
                <c:pt idx="47" formatCode="0">
                  <c:v>249</c:v>
                </c:pt>
                <c:pt idx="48" formatCode="0">
                  <c:v>250</c:v>
                </c:pt>
                <c:pt idx="49" formatCode="0">
                  <c:v>251</c:v>
                </c:pt>
                <c:pt idx="50" formatCode="0">
                  <c:v>262</c:v>
                </c:pt>
              </c:numCache>
            </c:numRef>
          </c:xVal>
          <c:yVal>
            <c:numRef>
              <c:f>'Synchaeta spp'!$D$5:$D$55</c:f>
              <c:numCache>
                <c:formatCode>General</c:formatCode>
                <c:ptCount val="51"/>
                <c:pt idx="16" formatCode="0.00">
                  <c:v>0.48166666666666669</c:v>
                </c:pt>
                <c:pt idx="20" formatCode="0.00">
                  <c:v>58.958333333333336</c:v>
                </c:pt>
                <c:pt idx="24" formatCode="0.00">
                  <c:v>5.16</c:v>
                </c:pt>
                <c:pt idx="27" formatCode="0.00">
                  <c:v>5.16</c:v>
                </c:pt>
                <c:pt idx="33" formatCode="0.00">
                  <c:v>4.7281573499164349</c:v>
                </c:pt>
                <c:pt idx="37" formatCode="0.00">
                  <c:v>3.6707802475739801</c:v>
                </c:pt>
                <c:pt idx="43" formatCode="0.00">
                  <c:v>3.3433333333333337</c:v>
                </c:pt>
                <c:pt idx="49" formatCode="0.00">
                  <c:v>1.3983333333333334</c:v>
                </c:pt>
                <c:pt idx="50" formatCode="0.00">
                  <c:v>4.8683333333333296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47-47B9-B1BF-1596F3922C26}"/>
            </c:ext>
          </c:extLst>
        </c:ser>
        <c:ser>
          <c:idx val="2"/>
          <c:order val="2"/>
          <c:tx>
            <c:strRef>
              <c:f>'Synchaeta spp'!$E$3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'Synchaeta spp'!$B$5:$B$55</c:f>
              <c:numCache>
                <c:formatCode>General</c:formatCode>
                <c:ptCount val="51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214</c:v>
                </c:pt>
                <c:pt idx="37" formatCode="0">
                  <c:v>220</c:v>
                </c:pt>
                <c:pt idx="38" formatCode="0">
                  <c:v>221</c:v>
                </c:pt>
                <c:pt idx="39" formatCode="0">
                  <c:v>222</c:v>
                </c:pt>
                <c:pt idx="40" formatCode="0">
                  <c:v>224</c:v>
                </c:pt>
                <c:pt idx="41" formatCode="0">
                  <c:v>225</c:v>
                </c:pt>
                <c:pt idx="42" formatCode="0">
                  <c:v>228</c:v>
                </c:pt>
                <c:pt idx="43" formatCode="0">
                  <c:v>234</c:v>
                </c:pt>
                <c:pt idx="44" formatCode="0">
                  <c:v>235</c:v>
                </c:pt>
                <c:pt idx="45" formatCode="0">
                  <c:v>236</c:v>
                </c:pt>
                <c:pt idx="46" formatCode="0">
                  <c:v>241</c:v>
                </c:pt>
                <c:pt idx="47" formatCode="0">
                  <c:v>249</c:v>
                </c:pt>
                <c:pt idx="48" formatCode="0">
                  <c:v>250</c:v>
                </c:pt>
                <c:pt idx="49" formatCode="0">
                  <c:v>251</c:v>
                </c:pt>
                <c:pt idx="50" formatCode="0">
                  <c:v>262</c:v>
                </c:pt>
              </c:numCache>
            </c:numRef>
          </c:xVal>
          <c:yVal>
            <c:numRef>
              <c:f>'Synchaeta spp'!$E$5:$E$55</c:f>
              <c:numCache>
                <c:formatCode>General</c:formatCode>
                <c:ptCount val="51"/>
                <c:pt idx="2" formatCode="0.00">
                  <c:v>5.4000000000000006E-2</c:v>
                </c:pt>
                <c:pt idx="5" formatCode="0.00">
                  <c:v>0.374</c:v>
                </c:pt>
                <c:pt idx="6" formatCode="0.00">
                  <c:v>0.10800000000000001</c:v>
                </c:pt>
                <c:pt idx="7" formatCode="0.00">
                  <c:v>0</c:v>
                </c:pt>
                <c:pt idx="11" formatCode="0.00">
                  <c:v>0.45400000000000001</c:v>
                </c:pt>
                <c:pt idx="19" formatCode="0.00">
                  <c:v>1.304</c:v>
                </c:pt>
                <c:pt idx="25" formatCode="0.00">
                  <c:v>0.54200000000000004</c:v>
                </c:pt>
                <c:pt idx="28" formatCode="0.00">
                  <c:v>0</c:v>
                </c:pt>
                <c:pt idx="32" formatCode="0.00">
                  <c:v>0</c:v>
                </c:pt>
                <c:pt idx="33" formatCode="0.00">
                  <c:v>0.06</c:v>
                </c:pt>
                <c:pt idx="38" formatCode="0.00">
                  <c:v>0</c:v>
                </c:pt>
                <c:pt idx="44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47-47B9-B1BF-1596F3922C26}"/>
            </c:ext>
          </c:extLst>
        </c:ser>
        <c:ser>
          <c:idx val="3"/>
          <c:order val="3"/>
          <c:tx>
            <c:strRef>
              <c:f>'Synchaeta spp'!$F$3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'Synchaeta spp'!$B$5:$B$55</c:f>
              <c:numCache>
                <c:formatCode>General</c:formatCode>
                <c:ptCount val="51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143</c:v>
                </c:pt>
                <c:pt idx="4">
                  <c:v>145</c:v>
                </c:pt>
                <c:pt idx="5">
                  <c:v>148</c:v>
                </c:pt>
                <c:pt idx="6">
                  <c:v>152</c:v>
                </c:pt>
                <c:pt idx="7" formatCode="0">
                  <c:v>155</c:v>
                </c:pt>
                <c:pt idx="8" formatCode="0">
                  <c:v>156</c:v>
                </c:pt>
                <c:pt idx="9" formatCode="0">
                  <c:v>162</c:v>
                </c:pt>
                <c:pt idx="10" formatCode="0">
                  <c:v>163</c:v>
                </c:pt>
                <c:pt idx="11" formatCode="0">
                  <c:v>164</c:v>
                </c:pt>
                <c:pt idx="12" formatCode="0">
                  <c:v>165</c:v>
                </c:pt>
                <c:pt idx="13" formatCode="0">
                  <c:v>166</c:v>
                </c:pt>
                <c:pt idx="14" formatCode="0">
                  <c:v>169</c:v>
                </c:pt>
                <c:pt idx="15" formatCode="0">
                  <c:v>170</c:v>
                </c:pt>
                <c:pt idx="16" formatCode="0">
                  <c:v>171</c:v>
                </c:pt>
                <c:pt idx="17" formatCode="0">
                  <c:v>172</c:v>
                </c:pt>
                <c:pt idx="18" formatCode="0">
                  <c:v>173</c:v>
                </c:pt>
                <c:pt idx="19" formatCode="0">
                  <c:v>178</c:v>
                </c:pt>
                <c:pt idx="20" formatCode="0">
                  <c:v>179</c:v>
                </c:pt>
                <c:pt idx="21" formatCode="0">
                  <c:v>180</c:v>
                </c:pt>
                <c:pt idx="22" formatCode="0">
                  <c:v>181</c:v>
                </c:pt>
                <c:pt idx="23" formatCode="0">
                  <c:v>183</c:v>
                </c:pt>
                <c:pt idx="24" formatCode="0">
                  <c:v>185</c:v>
                </c:pt>
                <c:pt idx="25" formatCode="0">
                  <c:v>186</c:v>
                </c:pt>
                <c:pt idx="26" formatCode="0">
                  <c:v>187</c:v>
                </c:pt>
                <c:pt idx="27" formatCode="0">
                  <c:v>192</c:v>
                </c:pt>
                <c:pt idx="28" formatCode="0">
                  <c:v>193</c:v>
                </c:pt>
                <c:pt idx="29" formatCode="0">
                  <c:v>194</c:v>
                </c:pt>
                <c:pt idx="30" formatCode="0">
                  <c:v>195</c:v>
                </c:pt>
                <c:pt idx="31" formatCode="0">
                  <c:v>197</c:v>
                </c:pt>
                <c:pt idx="32" formatCode="0">
                  <c:v>200</c:v>
                </c:pt>
                <c:pt idx="33" formatCode="0">
                  <c:v>207</c:v>
                </c:pt>
                <c:pt idx="34" formatCode="0">
                  <c:v>208</c:v>
                </c:pt>
                <c:pt idx="35" formatCode="0">
                  <c:v>210</c:v>
                </c:pt>
                <c:pt idx="36" formatCode="0">
                  <c:v>214</c:v>
                </c:pt>
                <c:pt idx="37" formatCode="0">
                  <c:v>220</c:v>
                </c:pt>
                <c:pt idx="38" formatCode="0">
                  <c:v>221</c:v>
                </c:pt>
                <c:pt idx="39" formatCode="0">
                  <c:v>222</c:v>
                </c:pt>
                <c:pt idx="40" formatCode="0">
                  <c:v>224</c:v>
                </c:pt>
                <c:pt idx="41" formatCode="0">
                  <c:v>225</c:v>
                </c:pt>
                <c:pt idx="42" formatCode="0">
                  <c:v>228</c:v>
                </c:pt>
                <c:pt idx="43" formatCode="0">
                  <c:v>234</c:v>
                </c:pt>
                <c:pt idx="44" formatCode="0">
                  <c:v>235</c:v>
                </c:pt>
                <c:pt idx="45" formatCode="0">
                  <c:v>236</c:v>
                </c:pt>
                <c:pt idx="46" formatCode="0">
                  <c:v>241</c:v>
                </c:pt>
                <c:pt idx="47" formatCode="0">
                  <c:v>249</c:v>
                </c:pt>
                <c:pt idx="48" formatCode="0">
                  <c:v>250</c:v>
                </c:pt>
                <c:pt idx="49" formatCode="0">
                  <c:v>251</c:v>
                </c:pt>
                <c:pt idx="50" formatCode="0">
                  <c:v>262</c:v>
                </c:pt>
              </c:numCache>
            </c:numRef>
          </c:xVal>
          <c:yVal>
            <c:numRef>
              <c:f>'Synchaeta spp'!$F$5:$F$55</c:f>
              <c:numCache>
                <c:formatCode>General</c:formatCode>
                <c:ptCount val="51"/>
                <c:pt idx="7" formatCode="0.00">
                  <c:v>3.2583333333333329</c:v>
                </c:pt>
                <c:pt idx="10" formatCode="0.00">
                  <c:v>61.861666666666672</c:v>
                </c:pt>
                <c:pt idx="12" formatCode="0.00">
                  <c:v>21.096666666666668</c:v>
                </c:pt>
                <c:pt idx="16" formatCode="0.00">
                  <c:v>58.134999999999998</c:v>
                </c:pt>
                <c:pt idx="18" formatCode="0.00">
                  <c:v>52.041666666666664</c:v>
                </c:pt>
                <c:pt idx="20" formatCode="0.00">
                  <c:v>5.45</c:v>
                </c:pt>
                <c:pt idx="25" formatCode="0.00">
                  <c:v>18.311666666666667</c:v>
                </c:pt>
                <c:pt idx="28" formatCode="0.00">
                  <c:v>11.758333333333333</c:v>
                </c:pt>
                <c:pt idx="32" formatCode="0.00">
                  <c:v>12.61</c:v>
                </c:pt>
                <c:pt idx="33" formatCode="0.00">
                  <c:v>5.4766666666666666</c:v>
                </c:pt>
                <c:pt idx="36" formatCode="0.00">
                  <c:v>15.268333333333333</c:v>
                </c:pt>
                <c:pt idx="38" formatCode="0.00">
                  <c:v>26.403333333333336</c:v>
                </c:pt>
                <c:pt idx="42" formatCode="0.00">
                  <c:v>80.304999999999993</c:v>
                </c:pt>
                <c:pt idx="44" formatCode="0.00">
                  <c:v>46.476666666666667</c:v>
                </c:pt>
                <c:pt idx="46" formatCode="0.00">
                  <c:v>4.5866666666666669</c:v>
                </c:pt>
                <c:pt idx="47" formatCode="0.00">
                  <c:v>12.008333333333333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47-47B9-B1BF-1596F3922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7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107632</xdr:colOff>
      <xdr:row>2</xdr:row>
      <xdr:rowOff>19050</xdr:rowOff>
    </xdr:from>
    <xdr:to>
      <xdr:col>20</xdr:col>
      <xdr:colOff>412432</xdr:colOff>
      <xdr:row>24</xdr:row>
      <xdr:rowOff>43815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AF889-4A75-4371-A225-B302AB3A4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88582</xdr:colOff>
      <xdr:row>1</xdr:row>
      <xdr:rowOff>171450</xdr:rowOff>
    </xdr:from>
    <xdr:to>
      <xdr:col>21</xdr:col>
      <xdr:colOff>393382</xdr:colOff>
      <xdr:row>23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53BA7-1DA4-43B1-AF76-284B9FFF6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79057</xdr:colOff>
      <xdr:row>2</xdr:row>
      <xdr:rowOff>19050</xdr:rowOff>
    </xdr:from>
    <xdr:to>
      <xdr:col>22</xdr:col>
      <xdr:colOff>383857</xdr:colOff>
      <xdr:row>20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2D212-3500-492B-9D12-96BD2644A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269557</xdr:colOff>
      <xdr:row>1</xdr:row>
      <xdr:rowOff>100965</xdr:rowOff>
    </xdr:from>
    <xdr:to>
      <xdr:col>21</xdr:col>
      <xdr:colOff>574357</xdr:colOff>
      <xdr:row>23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17239-6472-43A6-812E-C830DD988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174307</xdr:colOff>
      <xdr:row>1</xdr:row>
      <xdr:rowOff>171450</xdr:rowOff>
    </xdr:from>
    <xdr:to>
      <xdr:col>22</xdr:col>
      <xdr:colOff>479107</xdr:colOff>
      <xdr:row>23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0360A-4302-482E-AB07-56AA9B74F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</xdr:colOff>
      <xdr:row>1</xdr:row>
      <xdr:rowOff>133350</xdr:rowOff>
    </xdr:from>
    <xdr:to>
      <xdr:col>21</xdr:col>
      <xdr:colOff>336232</xdr:colOff>
      <xdr:row>23</xdr:row>
      <xdr:rowOff>139065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5C53A-D752-405C-8723-BF82AA856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36628</xdr:colOff>
      <xdr:row>1</xdr:row>
      <xdr:rowOff>143741</xdr:rowOff>
    </xdr:from>
    <xdr:to>
      <xdr:col>21</xdr:col>
      <xdr:colOff>341427</xdr:colOff>
      <xdr:row>23</xdr:row>
      <xdr:rowOff>151188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CCF41-6BFA-45F0-90B6-731CCC962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136207</xdr:colOff>
      <xdr:row>2</xdr:row>
      <xdr:rowOff>28575</xdr:rowOff>
    </xdr:from>
    <xdr:to>
      <xdr:col>22</xdr:col>
      <xdr:colOff>441007</xdr:colOff>
      <xdr:row>24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BA2D3-A312-449B-96D3-28A3531D2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602932</xdr:colOff>
      <xdr:row>1</xdr:row>
      <xdr:rowOff>114300</xdr:rowOff>
    </xdr:from>
    <xdr:to>
      <xdr:col>21</xdr:col>
      <xdr:colOff>298132</xdr:colOff>
      <xdr:row>23</xdr:row>
      <xdr:rowOff>120015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BBDF5-83A7-47CC-B018-1E42E13D5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12382</xdr:colOff>
      <xdr:row>2</xdr:row>
      <xdr:rowOff>57150</xdr:rowOff>
    </xdr:from>
    <xdr:to>
      <xdr:col>22</xdr:col>
      <xdr:colOff>317182</xdr:colOff>
      <xdr:row>24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EFB8D-5334-44E8-AE8B-91D8EA97B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AFB1-7F21-48B8-A260-72C34A8E387B}">
  <dimension ref="B2:L60"/>
  <sheetViews>
    <sheetView topLeftCell="A2" workbookViewId="0">
      <selection activeCell="O46" sqref="O46"/>
    </sheetView>
  </sheetViews>
  <sheetFormatPr defaultRowHeight="14.4" x14ac:dyDescent="0.3"/>
  <sheetData>
    <row r="2" spans="2:12" x14ac:dyDescent="0.3">
      <c r="C2" s="20" t="s">
        <v>5</v>
      </c>
      <c r="D2" s="20"/>
      <c r="E2" s="20"/>
      <c r="F2" s="20"/>
    </row>
    <row r="3" spans="2:12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J3" s="21" t="s">
        <v>9</v>
      </c>
      <c r="K3" s="21" t="s">
        <v>10</v>
      </c>
      <c r="L3" s="21" t="s">
        <v>11</v>
      </c>
    </row>
    <row r="4" spans="2:12" ht="15.6" x14ac:dyDescent="0.3">
      <c r="B4" s="19">
        <v>127</v>
      </c>
      <c r="C4" s="19"/>
      <c r="D4" s="19"/>
      <c r="E4" s="19"/>
      <c r="F4" s="19"/>
      <c r="J4" s="22">
        <v>0.03</v>
      </c>
      <c r="K4" s="22"/>
      <c r="L4" s="22"/>
    </row>
    <row r="5" spans="2:12" x14ac:dyDescent="0.3">
      <c r="B5" s="2">
        <v>133</v>
      </c>
      <c r="C5" s="13">
        <v>0</v>
      </c>
      <c r="D5" s="14"/>
      <c r="E5" s="14"/>
      <c r="F5" s="14"/>
      <c r="J5" s="23"/>
      <c r="K5" s="23"/>
      <c r="L5" s="23"/>
    </row>
    <row r="6" spans="2:12" x14ac:dyDescent="0.3">
      <c r="B6" s="2">
        <v>141</v>
      </c>
      <c r="C6" s="13">
        <v>0.22666666666666668</v>
      </c>
      <c r="D6" s="14"/>
      <c r="E6" s="14"/>
      <c r="F6" s="14"/>
      <c r="J6" s="23"/>
      <c r="K6" s="23"/>
      <c r="L6" s="23"/>
    </row>
    <row r="7" spans="2:12" x14ac:dyDescent="0.3">
      <c r="B7" s="2">
        <v>142</v>
      </c>
      <c r="C7" s="13"/>
      <c r="D7" s="14"/>
      <c r="E7" s="4">
        <v>6.4739999999999993</v>
      </c>
      <c r="F7" s="14"/>
      <c r="J7" s="23"/>
      <c r="K7" s="23"/>
      <c r="L7" s="23"/>
    </row>
    <row r="8" spans="2:12" x14ac:dyDescent="0.3">
      <c r="B8" s="2">
        <v>143</v>
      </c>
      <c r="C8" s="13"/>
      <c r="D8" s="14"/>
      <c r="E8" s="4"/>
      <c r="F8" s="14"/>
      <c r="J8" s="23">
        <v>0.56000000000000005</v>
      </c>
      <c r="K8" s="23"/>
      <c r="L8" s="23"/>
    </row>
    <row r="9" spans="2:12" x14ac:dyDescent="0.3">
      <c r="B9" s="2">
        <v>145</v>
      </c>
      <c r="C9" s="13"/>
      <c r="D9" s="14"/>
      <c r="E9" s="4"/>
      <c r="F9" s="14"/>
      <c r="J9" s="23">
        <v>0.28999999999999998</v>
      </c>
      <c r="K9" s="23"/>
      <c r="L9" s="23"/>
    </row>
    <row r="10" spans="2:12" x14ac:dyDescent="0.3">
      <c r="B10" s="2">
        <v>148</v>
      </c>
      <c r="C10" s="13">
        <v>0.186</v>
      </c>
      <c r="D10" s="14"/>
      <c r="E10" s="5">
        <v>1.1900000000000002</v>
      </c>
      <c r="F10" s="14"/>
      <c r="J10" s="23">
        <v>0.13</v>
      </c>
      <c r="K10" s="23"/>
      <c r="L10" s="23"/>
    </row>
    <row r="11" spans="2:12" x14ac:dyDescent="0.3">
      <c r="B11" s="2">
        <v>152</v>
      </c>
      <c r="C11" s="13"/>
      <c r="D11" s="14"/>
      <c r="E11" s="4">
        <v>15.984</v>
      </c>
      <c r="F11" s="14"/>
      <c r="J11" s="23">
        <v>0.53</v>
      </c>
      <c r="K11" s="23"/>
      <c r="L11" s="23"/>
    </row>
    <row r="12" spans="2:12" x14ac:dyDescent="0.3">
      <c r="B12" s="6">
        <v>155</v>
      </c>
      <c r="C12" s="13">
        <v>4.6850000000000005</v>
      </c>
      <c r="D12" s="15"/>
      <c r="E12" s="4">
        <v>0.71399999999999997</v>
      </c>
      <c r="F12" s="4">
        <v>1.0433333333333332</v>
      </c>
      <c r="J12" s="23">
        <v>0.27</v>
      </c>
      <c r="K12" s="23"/>
      <c r="L12" s="23"/>
    </row>
    <row r="13" spans="2:12" x14ac:dyDescent="0.3">
      <c r="B13" s="6">
        <v>156</v>
      </c>
      <c r="C13" s="13"/>
      <c r="D13" s="15"/>
      <c r="E13" s="4"/>
      <c r="F13" s="4"/>
      <c r="J13" s="23"/>
      <c r="K13" s="23">
        <v>2.0699999999999998</v>
      </c>
      <c r="L13" s="23"/>
    </row>
    <row r="14" spans="2:12" x14ac:dyDescent="0.3">
      <c r="B14" s="6">
        <v>162</v>
      </c>
      <c r="C14" s="13">
        <v>8.9083333333333332</v>
      </c>
      <c r="D14" s="15"/>
      <c r="E14" s="15"/>
      <c r="F14" s="4"/>
      <c r="J14" s="23">
        <v>0.28999999999999998</v>
      </c>
      <c r="K14" s="23">
        <v>0.82</v>
      </c>
      <c r="L14" s="23"/>
    </row>
    <row r="15" spans="2:12" x14ac:dyDescent="0.3">
      <c r="B15" s="6">
        <v>163</v>
      </c>
      <c r="C15" s="15"/>
      <c r="D15" s="15"/>
      <c r="E15" s="15"/>
      <c r="F15" s="4">
        <v>0.47500000000000003</v>
      </c>
      <c r="J15" s="23"/>
      <c r="K15" s="23"/>
      <c r="L15" s="23"/>
    </row>
    <row r="16" spans="2:12" x14ac:dyDescent="0.3">
      <c r="B16" s="6">
        <v>164</v>
      </c>
      <c r="C16" s="15"/>
      <c r="D16" s="15"/>
      <c r="E16" s="5">
        <v>2.3620000000000005</v>
      </c>
      <c r="F16" s="4"/>
      <c r="J16" s="23"/>
      <c r="K16" s="23"/>
      <c r="L16" s="23"/>
    </row>
    <row r="17" spans="2:12" x14ac:dyDescent="0.3">
      <c r="B17" s="6">
        <v>165</v>
      </c>
      <c r="C17" s="15"/>
      <c r="D17" s="15"/>
      <c r="E17" s="15"/>
      <c r="F17" s="4">
        <v>0.43333333333333335</v>
      </c>
      <c r="J17" s="23"/>
      <c r="K17" s="23"/>
      <c r="L17" s="23"/>
    </row>
    <row r="18" spans="2:12" x14ac:dyDescent="0.3">
      <c r="B18" s="6">
        <v>166</v>
      </c>
      <c r="C18" s="15"/>
      <c r="D18" s="15"/>
      <c r="E18" s="15"/>
      <c r="F18" s="4"/>
      <c r="J18" s="23"/>
      <c r="K18" s="23">
        <v>1.99</v>
      </c>
      <c r="L18" s="23"/>
    </row>
    <row r="19" spans="2:12" x14ac:dyDescent="0.3">
      <c r="B19" s="6">
        <v>169</v>
      </c>
      <c r="C19" s="15"/>
      <c r="D19" s="15"/>
      <c r="E19" s="15"/>
      <c r="F19" s="4"/>
      <c r="J19" s="23">
        <v>1.79</v>
      </c>
      <c r="K19" s="23"/>
      <c r="L19" s="23"/>
    </row>
    <row r="20" spans="2:12" x14ac:dyDescent="0.3">
      <c r="B20" s="6">
        <v>170</v>
      </c>
      <c r="C20" s="13">
        <v>1.8216666666666665</v>
      </c>
      <c r="D20" s="15"/>
      <c r="E20" s="15"/>
      <c r="F20" s="4"/>
      <c r="J20" s="23"/>
      <c r="K20" s="23"/>
      <c r="L20" s="23"/>
    </row>
    <row r="21" spans="2:12" x14ac:dyDescent="0.3">
      <c r="B21" s="6">
        <v>171</v>
      </c>
      <c r="C21" s="15"/>
      <c r="D21" s="8">
        <v>15.99</v>
      </c>
      <c r="E21" s="15"/>
      <c r="F21" s="4">
        <v>1.2933333333333334</v>
      </c>
      <c r="J21" s="23"/>
      <c r="K21" s="23"/>
      <c r="L21" s="23"/>
    </row>
    <row r="22" spans="2:12" x14ac:dyDescent="0.3">
      <c r="B22" s="6">
        <v>172</v>
      </c>
      <c r="C22" s="15"/>
      <c r="D22" s="8"/>
      <c r="E22" s="15"/>
      <c r="F22" s="4"/>
      <c r="J22" s="23"/>
      <c r="K22" s="23">
        <v>1.81</v>
      </c>
      <c r="L22" s="23"/>
    </row>
    <row r="23" spans="2:12" x14ac:dyDescent="0.3">
      <c r="B23" s="6">
        <v>173</v>
      </c>
      <c r="C23" s="15"/>
      <c r="D23" s="15"/>
      <c r="E23" s="15"/>
      <c r="F23" s="4">
        <v>0.59833333333333338</v>
      </c>
      <c r="J23" s="23"/>
      <c r="K23" s="23"/>
      <c r="L23" s="23"/>
    </row>
    <row r="24" spans="2:12" x14ac:dyDescent="0.3">
      <c r="B24" s="6">
        <v>178</v>
      </c>
      <c r="C24" s="15"/>
      <c r="D24" s="15"/>
      <c r="E24" s="5">
        <v>15.937999999999999</v>
      </c>
      <c r="F24" s="4"/>
      <c r="J24" s="23"/>
      <c r="K24" s="23"/>
      <c r="L24" s="23"/>
    </row>
    <row r="25" spans="2:12" x14ac:dyDescent="0.3">
      <c r="B25" s="6">
        <v>179</v>
      </c>
      <c r="C25" s="15"/>
      <c r="D25" s="8">
        <v>6.1166666666666671</v>
      </c>
      <c r="E25" s="15"/>
      <c r="F25" s="4">
        <v>0.6183333333333334</v>
      </c>
      <c r="J25" s="23"/>
      <c r="K25" s="23"/>
      <c r="L25" s="23"/>
    </row>
    <row r="26" spans="2:12" x14ac:dyDescent="0.3">
      <c r="B26" s="6">
        <v>180</v>
      </c>
      <c r="C26" s="15"/>
      <c r="D26" s="8"/>
      <c r="E26" s="15"/>
      <c r="F26" s="4"/>
      <c r="J26" s="23"/>
      <c r="K26" s="23">
        <v>2.17</v>
      </c>
      <c r="L26" s="23"/>
    </row>
    <row r="27" spans="2:12" x14ac:dyDescent="0.3">
      <c r="B27" s="6">
        <v>181</v>
      </c>
      <c r="C27" s="13">
        <v>8.7683333333333344</v>
      </c>
      <c r="D27" s="15"/>
      <c r="E27" s="15"/>
      <c r="F27" s="4"/>
      <c r="J27" s="23"/>
      <c r="K27" s="23"/>
      <c r="L27" s="23"/>
    </row>
    <row r="28" spans="2:12" x14ac:dyDescent="0.3">
      <c r="B28" s="6">
        <v>183</v>
      </c>
      <c r="C28" s="13"/>
      <c r="D28" s="15"/>
      <c r="E28" s="15"/>
      <c r="F28" s="4"/>
      <c r="J28" s="23">
        <v>2.16</v>
      </c>
      <c r="K28" s="23"/>
      <c r="L28" s="23"/>
    </row>
    <row r="29" spans="2:12" x14ac:dyDescent="0.3">
      <c r="B29" s="6">
        <v>185</v>
      </c>
      <c r="C29" s="13"/>
      <c r="D29" s="8">
        <v>1.4783333333333335</v>
      </c>
      <c r="E29" s="15"/>
      <c r="F29" s="4"/>
      <c r="J29" s="23"/>
      <c r="K29" s="23"/>
      <c r="L29" s="23"/>
    </row>
    <row r="30" spans="2:12" x14ac:dyDescent="0.3">
      <c r="B30" s="6">
        <v>186</v>
      </c>
      <c r="C30" s="15"/>
      <c r="D30" s="15"/>
      <c r="E30" s="5">
        <v>5.0179999999999998</v>
      </c>
      <c r="F30" s="4">
        <v>0.31666666666666665</v>
      </c>
      <c r="J30" s="23"/>
      <c r="K30" s="23"/>
      <c r="L30" s="23"/>
    </row>
    <row r="31" spans="2:12" x14ac:dyDescent="0.3">
      <c r="B31" s="6">
        <v>187</v>
      </c>
      <c r="C31" s="15"/>
      <c r="D31" s="15"/>
      <c r="E31" s="5"/>
      <c r="F31" s="4"/>
      <c r="J31" s="23"/>
      <c r="K31" s="23">
        <v>1.19</v>
      </c>
      <c r="L31" s="23"/>
    </row>
    <row r="32" spans="2:12" x14ac:dyDescent="0.3">
      <c r="B32" s="6">
        <v>192</v>
      </c>
      <c r="C32" s="15"/>
      <c r="D32" s="8">
        <v>1.4783333333333335</v>
      </c>
      <c r="E32" s="15"/>
      <c r="F32" s="4"/>
      <c r="J32" s="23"/>
      <c r="K32" s="23"/>
      <c r="L32" s="23"/>
    </row>
    <row r="33" spans="2:12" x14ac:dyDescent="0.3">
      <c r="B33" s="6">
        <v>193</v>
      </c>
      <c r="C33" s="15"/>
      <c r="D33" s="15"/>
      <c r="E33" s="5">
        <v>12.916</v>
      </c>
      <c r="F33" s="4">
        <v>1.0966666666666667</v>
      </c>
      <c r="J33" s="23"/>
      <c r="K33" s="23"/>
      <c r="L33" s="23"/>
    </row>
    <row r="34" spans="2:12" x14ac:dyDescent="0.3">
      <c r="B34" s="6">
        <v>194</v>
      </c>
      <c r="C34" s="15"/>
      <c r="D34" s="15"/>
      <c r="E34" s="5"/>
      <c r="F34" s="4"/>
      <c r="J34" s="23"/>
      <c r="K34" s="23">
        <v>0.57999999999999996</v>
      </c>
      <c r="L34" s="23"/>
    </row>
    <row r="35" spans="2:12" x14ac:dyDescent="0.3">
      <c r="B35" s="6">
        <v>195</v>
      </c>
      <c r="C35" s="13">
        <v>11.556666666666667</v>
      </c>
      <c r="D35" s="15"/>
      <c r="E35" s="15"/>
      <c r="F35" s="4"/>
      <c r="J35" s="23"/>
      <c r="K35" s="23"/>
      <c r="L35" s="23"/>
    </row>
    <row r="36" spans="2:12" x14ac:dyDescent="0.3">
      <c r="B36" s="6">
        <v>197</v>
      </c>
      <c r="C36" s="13"/>
      <c r="D36" s="15"/>
      <c r="E36" s="15"/>
      <c r="F36" s="4"/>
      <c r="J36" s="23">
        <v>4.1100000000000003</v>
      </c>
      <c r="K36" s="23"/>
      <c r="L36" s="23"/>
    </row>
    <row r="37" spans="2:12" x14ac:dyDescent="0.3">
      <c r="B37" s="6">
        <v>200</v>
      </c>
      <c r="C37" s="15"/>
      <c r="D37" s="15"/>
      <c r="E37" s="4">
        <v>3.9199999999999995</v>
      </c>
      <c r="F37" s="4">
        <v>0.97500000000000009</v>
      </c>
      <c r="J37" s="23"/>
      <c r="K37" s="23"/>
      <c r="L37" s="23"/>
    </row>
    <row r="38" spans="2:12" x14ac:dyDescent="0.3">
      <c r="B38" s="6">
        <v>207</v>
      </c>
      <c r="C38" s="15"/>
      <c r="D38" s="8">
        <v>1.4726270723237591</v>
      </c>
      <c r="E38" s="5">
        <v>6.8759999999999994</v>
      </c>
      <c r="F38" s="4">
        <v>1.8233333333333335</v>
      </c>
      <c r="J38" s="23"/>
      <c r="K38" s="23"/>
      <c r="L38" s="23"/>
    </row>
    <row r="39" spans="2:12" x14ac:dyDescent="0.3">
      <c r="B39" s="6">
        <v>208</v>
      </c>
      <c r="C39" s="15"/>
      <c r="D39" s="8"/>
      <c r="E39" s="5"/>
      <c r="F39" s="4"/>
      <c r="J39" s="23"/>
      <c r="K39" s="23">
        <v>1.38</v>
      </c>
      <c r="L39" s="23"/>
    </row>
    <row r="40" spans="2:12" x14ac:dyDescent="0.3">
      <c r="B40" s="6">
        <v>210</v>
      </c>
      <c r="C40" s="13">
        <v>4.2299999999999995</v>
      </c>
      <c r="D40" s="15"/>
      <c r="E40" s="15"/>
      <c r="F40" s="4"/>
      <c r="J40" s="23"/>
      <c r="K40" s="23"/>
      <c r="L40" s="23"/>
    </row>
    <row r="41" spans="2:12" x14ac:dyDescent="0.3">
      <c r="B41" s="6">
        <v>211</v>
      </c>
      <c r="C41" s="13"/>
      <c r="D41" s="15"/>
      <c r="E41" s="15"/>
      <c r="F41" s="4"/>
      <c r="J41" s="23">
        <v>6.76</v>
      </c>
      <c r="K41" s="23"/>
      <c r="L41" s="23"/>
    </row>
    <row r="42" spans="2:12" x14ac:dyDescent="0.3">
      <c r="B42" s="6">
        <v>214</v>
      </c>
      <c r="C42" s="15"/>
      <c r="D42" s="15"/>
      <c r="E42" s="15"/>
      <c r="F42" s="4">
        <v>2.3000000000000003</v>
      </c>
      <c r="J42" s="23"/>
      <c r="K42" s="23"/>
      <c r="L42" s="23"/>
    </row>
    <row r="43" spans="2:12" x14ac:dyDescent="0.3">
      <c r="B43" s="6">
        <v>220</v>
      </c>
      <c r="C43" s="15"/>
      <c r="D43" s="9">
        <v>1.1061175599077915</v>
      </c>
      <c r="E43" s="15"/>
      <c r="F43" s="4"/>
      <c r="J43" s="23"/>
      <c r="K43" s="23"/>
      <c r="L43" s="23"/>
    </row>
    <row r="44" spans="2:12" x14ac:dyDescent="0.3">
      <c r="B44" s="6">
        <v>221</v>
      </c>
      <c r="C44" s="15"/>
      <c r="D44" s="15"/>
      <c r="E44" s="5">
        <v>5.0419999999999998</v>
      </c>
      <c r="F44" s="4">
        <v>1.6849999999999998</v>
      </c>
      <c r="J44" s="23"/>
      <c r="K44" s="23"/>
      <c r="L44" s="23"/>
    </row>
    <row r="45" spans="2:12" x14ac:dyDescent="0.3">
      <c r="B45" s="6">
        <v>222</v>
      </c>
      <c r="C45" s="15"/>
      <c r="D45" s="15"/>
      <c r="E45" s="5"/>
      <c r="F45" s="4"/>
      <c r="J45" s="23"/>
      <c r="K45" s="23">
        <v>2.1800000000000002</v>
      </c>
      <c r="L45" s="23"/>
    </row>
    <row r="46" spans="2:12" x14ac:dyDescent="0.3">
      <c r="B46" s="6">
        <v>224</v>
      </c>
      <c r="C46" s="16">
        <v>10.265000000000001</v>
      </c>
      <c r="D46" s="15"/>
      <c r="E46" s="15"/>
      <c r="F46" s="4"/>
      <c r="J46" s="23"/>
      <c r="K46" s="23"/>
      <c r="L46" s="23"/>
    </row>
    <row r="47" spans="2:12" x14ac:dyDescent="0.3">
      <c r="B47" s="6">
        <v>225</v>
      </c>
      <c r="C47" s="16"/>
      <c r="D47" s="15"/>
      <c r="E47" s="15"/>
      <c r="F47" s="4"/>
      <c r="J47" s="23">
        <v>7.25</v>
      </c>
      <c r="K47" s="23"/>
      <c r="L47" s="23"/>
    </row>
    <row r="48" spans="2:12" x14ac:dyDescent="0.3">
      <c r="B48" s="6">
        <v>228</v>
      </c>
      <c r="C48" s="15"/>
      <c r="D48" s="15"/>
      <c r="E48" s="15"/>
      <c r="F48" s="4">
        <v>3.0066666666666664</v>
      </c>
      <c r="J48" s="23"/>
      <c r="K48" s="23"/>
      <c r="L48" s="23"/>
    </row>
    <row r="49" spans="2:12" x14ac:dyDescent="0.3">
      <c r="B49" s="6">
        <v>234</v>
      </c>
      <c r="C49" s="15"/>
      <c r="D49" s="9">
        <v>1.25833333333333</v>
      </c>
      <c r="E49" s="15"/>
      <c r="F49" s="4"/>
      <c r="J49" s="23"/>
      <c r="K49" s="23"/>
      <c r="L49" s="23"/>
    </row>
    <row r="50" spans="2:12" x14ac:dyDescent="0.3">
      <c r="B50" s="6">
        <v>235</v>
      </c>
      <c r="C50" s="15"/>
      <c r="D50" s="15"/>
      <c r="E50" s="16">
        <v>7.2119999999999989</v>
      </c>
      <c r="F50" s="4">
        <v>4.8966666666666674</v>
      </c>
      <c r="J50" s="23"/>
      <c r="K50" s="23"/>
      <c r="L50" s="23"/>
    </row>
    <row r="51" spans="2:12" x14ac:dyDescent="0.3">
      <c r="B51" s="6">
        <v>236</v>
      </c>
      <c r="C51" s="15"/>
      <c r="D51" s="15"/>
      <c r="E51" s="16"/>
      <c r="F51" s="4"/>
      <c r="J51" s="23"/>
      <c r="K51" s="23">
        <v>11.43</v>
      </c>
      <c r="L51" s="23"/>
    </row>
    <row r="52" spans="2:12" x14ac:dyDescent="0.3">
      <c r="B52" s="6">
        <v>241</v>
      </c>
      <c r="C52" s="15"/>
      <c r="D52" s="15"/>
      <c r="E52" s="15"/>
      <c r="F52" s="4">
        <v>4.546666666666666</v>
      </c>
      <c r="J52" s="23"/>
      <c r="K52" s="23"/>
      <c r="L52" s="23"/>
    </row>
    <row r="53" spans="2:12" x14ac:dyDescent="0.3">
      <c r="B53" s="11">
        <v>249</v>
      </c>
      <c r="C53" s="15"/>
      <c r="D53" s="15"/>
      <c r="E53" s="15"/>
      <c r="F53" s="16">
        <v>5.9849999999999994</v>
      </c>
      <c r="J53" s="23"/>
      <c r="K53" s="23"/>
      <c r="L53" s="23"/>
    </row>
    <row r="54" spans="2:12" x14ac:dyDescent="0.3">
      <c r="B54" s="11">
        <v>250</v>
      </c>
      <c r="C54" s="15"/>
      <c r="D54" s="15"/>
      <c r="E54" s="15"/>
      <c r="F54" s="16"/>
      <c r="J54" s="23"/>
      <c r="K54" s="23">
        <v>17.73</v>
      </c>
      <c r="L54" s="23"/>
    </row>
    <row r="55" spans="2:12" x14ac:dyDescent="0.3">
      <c r="B55" s="12">
        <v>251</v>
      </c>
      <c r="C55" s="15"/>
      <c r="D55" s="9">
        <v>0.36833333333333335</v>
      </c>
      <c r="E55" s="15"/>
      <c r="F55" s="15"/>
      <c r="J55" s="23"/>
      <c r="K55" s="23"/>
      <c r="L55" s="23"/>
    </row>
    <row r="56" spans="2:12" x14ac:dyDescent="0.3">
      <c r="B56" s="12">
        <v>262</v>
      </c>
      <c r="C56" s="15"/>
      <c r="D56" s="16">
        <v>1.8266666666666669</v>
      </c>
      <c r="E56" s="15"/>
      <c r="F56" s="15"/>
      <c r="J56" s="23"/>
      <c r="K56" s="23"/>
      <c r="L56" s="23"/>
    </row>
    <row r="57" spans="2:12" x14ac:dyDescent="0.3">
      <c r="J57" s="23"/>
      <c r="K57" s="23"/>
      <c r="L57" s="23"/>
    </row>
    <row r="58" spans="2:12" x14ac:dyDescent="0.3">
      <c r="B58" t="s">
        <v>6</v>
      </c>
      <c r="C58" s="18">
        <f>AVERAGE(C5:C56)</f>
        <v>5.0647666666666664</v>
      </c>
      <c r="D58" s="18">
        <f t="shared" ref="D58:F58" si="0">AVERAGE(D5:D56)</f>
        <v>3.4550456998775791</v>
      </c>
      <c r="E58" s="18">
        <f t="shared" si="0"/>
        <v>6.9705000000000013</v>
      </c>
      <c r="F58" s="18">
        <f t="shared" si="0"/>
        <v>1.9433333333333334</v>
      </c>
      <c r="J58" s="23">
        <f t="shared" ref="J58:K58" si="1">AVERAGE(J5:J56)</f>
        <v>2.1945454545454548</v>
      </c>
      <c r="K58" s="23">
        <f t="shared" si="1"/>
        <v>3.9409090909090905</v>
      </c>
      <c r="L58" s="23"/>
    </row>
    <row r="59" spans="2:12" x14ac:dyDescent="0.3">
      <c r="B59" t="s">
        <v>7</v>
      </c>
      <c r="C59" s="18">
        <f>MIN(C5:C56)</f>
        <v>0</v>
      </c>
      <c r="D59" s="18">
        <f t="shared" ref="D59:F59" si="2">MIN(D5:D56)</f>
        <v>0.36833333333333335</v>
      </c>
      <c r="E59" s="18">
        <f t="shared" si="2"/>
        <v>0.71399999999999997</v>
      </c>
      <c r="F59" s="18">
        <f t="shared" si="2"/>
        <v>0.31666666666666665</v>
      </c>
      <c r="J59" s="23">
        <f t="shared" ref="J59:K59" si="3">MIN(J5:J56)</f>
        <v>0.13</v>
      </c>
      <c r="K59" s="23">
        <f t="shared" si="3"/>
        <v>0.57999999999999996</v>
      </c>
      <c r="L59" s="23"/>
    </row>
    <row r="60" spans="2:12" x14ac:dyDescent="0.3">
      <c r="B60" t="s">
        <v>8</v>
      </c>
      <c r="C60" s="18">
        <f>MAX(C5:C56)</f>
        <v>11.556666666666667</v>
      </c>
      <c r="D60" s="18">
        <f t="shared" ref="D60:F60" si="4">MAX(D5:D56)</f>
        <v>15.99</v>
      </c>
      <c r="E60" s="18">
        <f t="shared" si="4"/>
        <v>15.984</v>
      </c>
      <c r="F60" s="18">
        <f t="shared" si="4"/>
        <v>5.9849999999999994</v>
      </c>
      <c r="J60" s="23">
        <f t="shared" ref="J60:K60" si="5">MAX(J5:J56)</f>
        <v>7.25</v>
      </c>
      <c r="K60" s="23">
        <f t="shared" si="5"/>
        <v>17.73</v>
      </c>
      <c r="L60" s="23"/>
    </row>
  </sheetData>
  <mergeCells count="1">
    <mergeCell ref="C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E612-67B0-4BA5-9D58-94FB4F81FB19}">
  <dimension ref="B2:K60"/>
  <sheetViews>
    <sheetView topLeftCell="A31" workbookViewId="0">
      <selection activeCell="N47" sqref="N47"/>
    </sheetView>
  </sheetViews>
  <sheetFormatPr defaultRowHeight="14.4" x14ac:dyDescent="0.3"/>
  <sheetData>
    <row r="2" spans="2:11" x14ac:dyDescent="0.3">
      <c r="C2" s="20" t="s">
        <v>5</v>
      </c>
      <c r="D2" s="20"/>
      <c r="E2" s="20"/>
      <c r="F2" s="20"/>
    </row>
    <row r="3" spans="2:11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21" t="s">
        <v>9</v>
      </c>
      <c r="J3" s="21" t="s">
        <v>10</v>
      </c>
      <c r="K3" s="21" t="s">
        <v>11</v>
      </c>
    </row>
    <row r="4" spans="2:11" ht="15.6" x14ac:dyDescent="0.3">
      <c r="B4" s="19">
        <v>127</v>
      </c>
      <c r="C4" s="19"/>
      <c r="D4" s="19"/>
      <c r="E4" s="19"/>
      <c r="F4" s="19"/>
      <c r="I4" s="21">
        <v>0.03</v>
      </c>
      <c r="J4" s="21"/>
      <c r="K4" s="21"/>
    </row>
    <row r="5" spans="2:11" x14ac:dyDescent="0.3">
      <c r="B5" s="2">
        <v>133</v>
      </c>
      <c r="C5" s="13"/>
      <c r="D5" s="14"/>
      <c r="E5" s="14"/>
      <c r="F5" s="14"/>
    </row>
    <row r="6" spans="2:11" x14ac:dyDescent="0.3">
      <c r="B6" s="2">
        <v>141</v>
      </c>
      <c r="C6" s="13"/>
      <c r="D6" s="14"/>
      <c r="E6" s="14"/>
      <c r="F6" s="14"/>
    </row>
    <row r="7" spans="2:11" x14ac:dyDescent="0.3">
      <c r="B7" s="2">
        <v>142</v>
      </c>
      <c r="C7" s="13"/>
      <c r="D7" s="14"/>
      <c r="E7" s="4">
        <v>2.8000000000000004E-2</v>
      </c>
      <c r="F7" s="14"/>
    </row>
    <row r="8" spans="2:11" x14ac:dyDescent="0.3">
      <c r="B8" s="2">
        <v>143</v>
      </c>
      <c r="C8" s="13"/>
      <c r="D8" s="14"/>
      <c r="E8" s="4"/>
      <c r="F8" s="14"/>
      <c r="I8">
        <v>0</v>
      </c>
    </row>
    <row r="9" spans="2:11" x14ac:dyDescent="0.3">
      <c r="B9" s="19">
        <v>145</v>
      </c>
      <c r="C9" s="13"/>
      <c r="D9" s="14"/>
      <c r="E9" s="4"/>
      <c r="F9" s="14"/>
      <c r="I9">
        <v>0.42</v>
      </c>
    </row>
    <row r="10" spans="2:11" x14ac:dyDescent="0.3">
      <c r="B10" s="2">
        <v>148</v>
      </c>
      <c r="C10" s="13"/>
      <c r="D10" s="14"/>
      <c r="E10" s="5">
        <v>3.4959999999999996</v>
      </c>
      <c r="F10" s="14"/>
      <c r="I10">
        <v>1.6</v>
      </c>
    </row>
    <row r="11" spans="2:11" x14ac:dyDescent="0.3">
      <c r="B11" s="2">
        <v>152</v>
      </c>
      <c r="C11" s="13"/>
      <c r="D11" s="14"/>
      <c r="E11" s="4">
        <v>1.8060000000000003</v>
      </c>
      <c r="F11" s="14"/>
      <c r="I11">
        <v>1.86</v>
      </c>
    </row>
    <row r="12" spans="2:11" x14ac:dyDescent="0.3">
      <c r="B12" s="6">
        <v>155</v>
      </c>
      <c r="C12" s="13"/>
      <c r="D12" s="15"/>
      <c r="E12" s="4">
        <v>6.3980000000000006</v>
      </c>
      <c r="F12" s="4">
        <v>2.0483333333333333</v>
      </c>
      <c r="I12">
        <v>1.25</v>
      </c>
    </row>
    <row r="13" spans="2:11" x14ac:dyDescent="0.3">
      <c r="B13" s="6">
        <v>156</v>
      </c>
      <c r="C13" s="13"/>
      <c r="D13" s="15"/>
      <c r="E13" s="4"/>
      <c r="F13" s="4"/>
      <c r="J13">
        <v>0.3</v>
      </c>
    </row>
    <row r="14" spans="2:11" x14ac:dyDescent="0.3">
      <c r="B14" s="6">
        <v>162</v>
      </c>
      <c r="C14" s="13"/>
      <c r="D14" s="15"/>
      <c r="E14" s="15"/>
      <c r="F14" s="4"/>
      <c r="I14">
        <v>1.71</v>
      </c>
      <c r="J14">
        <v>0.11</v>
      </c>
    </row>
    <row r="15" spans="2:11" x14ac:dyDescent="0.3">
      <c r="B15" s="6">
        <v>163</v>
      </c>
      <c r="C15" s="15"/>
      <c r="D15" s="15"/>
      <c r="E15" s="15"/>
      <c r="F15" s="4">
        <v>1.0616666666666665</v>
      </c>
    </row>
    <row r="16" spans="2:11" x14ac:dyDescent="0.3">
      <c r="B16" s="6">
        <v>164</v>
      </c>
      <c r="C16" s="15"/>
      <c r="D16" s="15"/>
      <c r="E16" s="5">
        <v>15.044</v>
      </c>
      <c r="F16" s="4"/>
    </row>
    <row r="17" spans="2:10" x14ac:dyDescent="0.3">
      <c r="B17" s="6">
        <v>165</v>
      </c>
      <c r="C17" s="15"/>
      <c r="D17" s="15"/>
      <c r="E17" s="15"/>
      <c r="F17" s="4">
        <v>1.0233333333333332</v>
      </c>
    </row>
    <row r="18" spans="2:10" x14ac:dyDescent="0.3">
      <c r="B18" s="6">
        <v>166</v>
      </c>
      <c r="C18" s="15"/>
      <c r="D18" s="15"/>
      <c r="E18" s="15"/>
      <c r="F18" s="4"/>
      <c r="J18">
        <v>0.19</v>
      </c>
    </row>
    <row r="19" spans="2:10" x14ac:dyDescent="0.3">
      <c r="B19" s="6">
        <v>169</v>
      </c>
      <c r="C19" s="15"/>
      <c r="D19" s="15"/>
      <c r="E19" s="15"/>
      <c r="F19" s="4"/>
      <c r="I19">
        <v>5.31</v>
      </c>
    </row>
    <row r="20" spans="2:10" x14ac:dyDescent="0.3">
      <c r="B20" s="6">
        <v>170</v>
      </c>
      <c r="C20" s="13"/>
      <c r="D20" s="15"/>
      <c r="E20" s="15"/>
      <c r="F20" s="4"/>
    </row>
    <row r="21" spans="2:10" x14ac:dyDescent="0.3">
      <c r="B21" s="6">
        <v>171</v>
      </c>
      <c r="C21" s="15"/>
      <c r="D21" s="8">
        <v>7.3616666666666672</v>
      </c>
      <c r="E21" s="15"/>
      <c r="F21" s="4">
        <v>2.9266666666666672</v>
      </c>
    </row>
    <row r="22" spans="2:10" x14ac:dyDescent="0.3">
      <c r="B22" s="6">
        <v>172</v>
      </c>
      <c r="C22" s="15"/>
      <c r="D22" s="8"/>
      <c r="E22" s="15"/>
      <c r="F22" s="4"/>
      <c r="J22">
        <v>0.06</v>
      </c>
    </row>
    <row r="23" spans="2:10" x14ac:dyDescent="0.3">
      <c r="B23" s="6">
        <v>173</v>
      </c>
      <c r="C23" s="15"/>
      <c r="D23" s="15"/>
      <c r="E23" s="15"/>
      <c r="F23" s="4">
        <v>2.8733333333333335</v>
      </c>
    </row>
    <row r="24" spans="2:10" x14ac:dyDescent="0.3">
      <c r="B24" s="6">
        <v>178</v>
      </c>
      <c r="C24" s="15"/>
      <c r="D24" s="15"/>
      <c r="E24" s="5">
        <v>2.4380000000000002</v>
      </c>
      <c r="F24" s="4"/>
    </row>
    <row r="25" spans="2:10" x14ac:dyDescent="0.3">
      <c r="B25" s="6">
        <v>179</v>
      </c>
      <c r="C25" s="15"/>
      <c r="D25" s="8">
        <v>3.0933333333333337</v>
      </c>
      <c r="E25" s="15"/>
      <c r="F25" s="4">
        <v>2.6750000000000003</v>
      </c>
    </row>
    <row r="26" spans="2:10" x14ac:dyDescent="0.3">
      <c r="B26" s="6">
        <v>180</v>
      </c>
      <c r="C26" s="15"/>
      <c r="D26" s="8"/>
      <c r="E26" s="15"/>
      <c r="F26" s="4"/>
      <c r="J26">
        <v>0.45</v>
      </c>
    </row>
    <row r="27" spans="2:10" x14ac:dyDescent="0.3">
      <c r="B27" s="6">
        <v>181</v>
      </c>
      <c r="C27" s="13"/>
      <c r="D27" s="15"/>
      <c r="E27" s="15"/>
      <c r="F27" s="4"/>
    </row>
    <row r="28" spans="2:10" x14ac:dyDescent="0.3">
      <c r="B28" s="6">
        <v>183</v>
      </c>
      <c r="C28" s="13"/>
      <c r="D28" s="15"/>
      <c r="E28" s="15"/>
      <c r="F28" s="4"/>
      <c r="I28">
        <v>4.7</v>
      </c>
    </row>
    <row r="29" spans="2:10" x14ac:dyDescent="0.3">
      <c r="B29" s="6">
        <v>185</v>
      </c>
      <c r="C29" s="13"/>
      <c r="D29" s="8">
        <v>3.44</v>
      </c>
      <c r="E29" s="15"/>
      <c r="F29" s="4"/>
    </row>
    <row r="30" spans="2:10" x14ac:dyDescent="0.3">
      <c r="B30" s="6">
        <v>186</v>
      </c>
      <c r="C30" s="15"/>
      <c r="D30" s="15"/>
      <c r="E30" s="5">
        <v>32.950000000000003</v>
      </c>
      <c r="F30" s="4">
        <v>2.2166666666666663</v>
      </c>
    </row>
    <row r="31" spans="2:10" x14ac:dyDescent="0.3">
      <c r="B31" s="6">
        <v>187</v>
      </c>
      <c r="C31" s="15"/>
      <c r="D31" s="15"/>
      <c r="E31" s="5"/>
      <c r="F31" s="4"/>
      <c r="J31">
        <v>0.41</v>
      </c>
    </row>
    <row r="32" spans="2:10" x14ac:dyDescent="0.3">
      <c r="B32" s="6">
        <v>192</v>
      </c>
      <c r="C32" s="15"/>
      <c r="D32" s="8">
        <v>3.44</v>
      </c>
      <c r="E32" s="15"/>
      <c r="F32" s="4"/>
    </row>
    <row r="33" spans="2:10" x14ac:dyDescent="0.3">
      <c r="B33" s="6">
        <v>193</v>
      </c>
      <c r="C33" s="15"/>
      <c r="D33" s="15"/>
      <c r="E33" s="5">
        <v>29.956</v>
      </c>
      <c r="F33" s="4">
        <v>2.6783333333333332</v>
      </c>
    </row>
    <row r="34" spans="2:10" x14ac:dyDescent="0.3">
      <c r="B34" s="6">
        <v>194</v>
      </c>
      <c r="C34" s="15"/>
      <c r="D34" s="15"/>
      <c r="E34" s="5"/>
      <c r="F34" s="4"/>
      <c r="J34">
        <v>0.17</v>
      </c>
    </row>
    <row r="35" spans="2:10" x14ac:dyDescent="0.3">
      <c r="B35" s="6">
        <v>195</v>
      </c>
      <c r="C35" s="13"/>
      <c r="D35" s="15"/>
      <c r="E35" s="15"/>
      <c r="F35" s="4"/>
    </row>
    <row r="36" spans="2:10" x14ac:dyDescent="0.3">
      <c r="B36" s="6">
        <v>197</v>
      </c>
      <c r="C36" s="13"/>
      <c r="D36" s="15"/>
      <c r="E36" s="15"/>
      <c r="F36" s="4"/>
      <c r="I36">
        <v>31.32</v>
      </c>
    </row>
    <row r="37" spans="2:10" x14ac:dyDescent="0.3">
      <c r="B37" s="6">
        <v>200</v>
      </c>
      <c r="C37" s="15"/>
      <c r="D37" s="15"/>
      <c r="E37" s="4">
        <v>20.911999999999999</v>
      </c>
      <c r="F37" s="4">
        <v>4.3666666666666663</v>
      </c>
    </row>
    <row r="38" spans="2:10" x14ac:dyDescent="0.3">
      <c r="B38" s="6">
        <v>207</v>
      </c>
      <c r="C38" s="15"/>
      <c r="D38" s="8">
        <v>3.172625209749576</v>
      </c>
      <c r="E38" s="5">
        <v>19.024000000000001</v>
      </c>
      <c r="F38" s="4">
        <v>4.4349999999999996</v>
      </c>
    </row>
    <row r="39" spans="2:10" x14ac:dyDescent="0.3">
      <c r="B39" s="6">
        <v>208</v>
      </c>
      <c r="C39" s="15"/>
      <c r="D39" s="8"/>
      <c r="E39" s="5"/>
      <c r="F39" s="4"/>
      <c r="J39">
        <v>0.12</v>
      </c>
    </row>
    <row r="40" spans="2:10" x14ac:dyDescent="0.3">
      <c r="B40" s="6">
        <v>210</v>
      </c>
      <c r="C40" s="13"/>
      <c r="D40" s="15"/>
      <c r="E40" s="15"/>
      <c r="F40" s="4"/>
    </row>
    <row r="41" spans="2:10" x14ac:dyDescent="0.3">
      <c r="B41" s="6">
        <v>211</v>
      </c>
      <c r="C41" s="13"/>
      <c r="D41" s="15"/>
      <c r="E41" s="15"/>
      <c r="F41" s="4"/>
      <c r="I41">
        <v>29.91</v>
      </c>
    </row>
    <row r="42" spans="2:10" x14ac:dyDescent="0.3">
      <c r="B42" s="6">
        <v>214</v>
      </c>
      <c r="C42" s="15"/>
      <c r="D42" s="15"/>
      <c r="E42" s="15"/>
      <c r="F42" s="4">
        <v>8.5566666666666666</v>
      </c>
    </row>
    <row r="43" spans="2:10" x14ac:dyDescent="0.3">
      <c r="B43" s="6">
        <v>220</v>
      </c>
      <c r="C43" s="15"/>
      <c r="D43" s="9">
        <v>2.456653360874983</v>
      </c>
      <c r="E43" s="15"/>
      <c r="F43" s="4"/>
    </row>
    <row r="44" spans="2:10" x14ac:dyDescent="0.3">
      <c r="B44" s="6">
        <v>221</v>
      </c>
      <c r="C44" s="15"/>
      <c r="D44" s="15"/>
      <c r="E44" s="5">
        <v>24.089999999999996</v>
      </c>
      <c r="F44" s="4">
        <v>12.234999999999999</v>
      </c>
    </row>
    <row r="45" spans="2:10" x14ac:dyDescent="0.3">
      <c r="B45" s="6">
        <v>222</v>
      </c>
      <c r="C45" s="15"/>
      <c r="D45" s="15"/>
      <c r="E45" s="5"/>
      <c r="F45" s="4"/>
      <c r="J45">
        <v>0.18</v>
      </c>
    </row>
    <row r="46" spans="2:10" x14ac:dyDescent="0.3">
      <c r="B46" s="6">
        <v>224</v>
      </c>
      <c r="C46" s="16"/>
      <c r="D46" s="15"/>
      <c r="E46" s="15"/>
      <c r="F46" s="4"/>
    </row>
    <row r="47" spans="2:10" x14ac:dyDescent="0.3">
      <c r="B47" s="6">
        <v>225</v>
      </c>
      <c r="C47" s="16"/>
      <c r="D47" s="15"/>
      <c r="E47" s="15"/>
      <c r="F47" s="4"/>
      <c r="I47">
        <v>48.05</v>
      </c>
    </row>
    <row r="48" spans="2:10" x14ac:dyDescent="0.3">
      <c r="B48" s="6">
        <v>228</v>
      </c>
      <c r="C48" s="15"/>
      <c r="D48" s="15"/>
      <c r="E48" s="15"/>
      <c r="F48" s="4">
        <v>15.765000000000001</v>
      </c>
    </row>
    <row r="49" spans="2:10" x14ac:dyDescent="0.3">
      <c r="B49" s="6">
        <v>234</v>
      </c>
      <c r="C49" s="15"/>
      <c r="D49" s="9">
        <v>4.9716666666666667</v>
      </c>
      <c r="E49" s="15"/>
      <c r="F49" s="4"/>
    </row>
    <row r="50" spans="2:10" x14ac:dyDescent="0.3">
      <c r="B50" s="6">
        <v>235</v>
      </c>
      <c r="C50" s="15"/>
      <c r="D50" s="15"/>
      <c r="E50" s="16">
        <v>8.4260000000000002</v>
      </c>
      <c r="F50" s="4">
        <v>6.9233333333333347</v>
      </c>
    </row>
    <row r="51" spans="2:10" x14ac:dyDescent="0.3">
      <c r="B51" s="6">
        <v>236</v>
      </c>
      <c r="C51" s="15"/>
      <c r="D51" s="15"/>
      <c r="E51" s="16"/>
      <c r="F51" s="4"/>
      <c r="J51">
        <v>0.79</v>
      </c>
    </row>
    <row r="52" spans="2:10" x14ac:dyDescent="0.3">
      <c r="B52" s="6">
        <v>241</v>
      </c>
      <c r="C52" s="15"/>
      <c r="D52" s="15"/>
      <c r="E52" s="15"/>
      <c r="F52" s="4">
        <v>8.3549999999999986</v>
      </c>
    </row>
    <row r="53" spans="2:10" x14ac:dyDescent="0.3">
      <c r="B53" s="11">
        <v>249</v>
      </c>
      <c r="C53" s="15"/>
      <c r="D53" s="15"/>
      <c r="E53" s="15"/>
      <c r="F53" s="16">
        <v>14.253333333333332</v>
      </c>
    </row>
    <row r="54" spans="2:10" x14ac:dyDescent="0.3">
      <c r="B54" s="11">
        <v>250</v>
      </c>
      <c r="C54" s="15"/>
      <c r="D54" s="15"/>
      <c r="E54" s="15"/>
      <c r="F54" s="16"/>
      <c r="J54">
        <v>0.4</v>
      </c>
    </row>
    <row r="55" spans="2:10" x14ac:dyDescent="0.3">
      <c r="B55" s="12">
        <v>251</v>
      </c>
      <c r="C55" s="15"/>
      <c r="D55" s="9">
        <v>0.59166666666666667</v>
      </c>
      <c r="E55" s="15"/>
      <c r="F55" s="15"/>
    </row>
    <row r="56" spans="2:10" x14ac:dyDescent="0.3">
      <c r="B56" s="12">
        <v>262</v>
      </c>
      <c r="C56" s="15"/>
      <c r="D56" s="16">
        <v>0.51500000000000001</v>
      </c>
      <c r="E56" s="15"/>
      <c r="F56" s="15"/>
    </row>
    <row r="58" spans="2:10" x14ac:dyDescent="0.3">
      <c r="B58" t="s">
        <v>6</v>
      </c>
      <c r="D58" s="18">
        <f>AVERAGE(D5:D56)</f>
        <v>3.226956878217544</v>
      </c>
      <c r="E58" s="18">
        <f t="shared" ref="E58:F58" si="0">AVERAGE(E5:E56)</f>
        <v>13.713999999999999</v>
      </c>
      <c r="F58" s="18">
        <f t="shared" si="0"/>
        <v>5.7745833333333332</v>
      </c>
      <c r="I58" s="18">
        <f t="shared" ref="I58:J58" si="1">AVERAGE(I5:I56)</f>
        <v>11.466363636363637</v>
      </c>
      <c r="J58" s="18">
        <f t="shared" si="1"/>
        <v>0.28909090909090901</v>
      </c>
    </row>
    <row r="59" spans="2:10" x14ac:dyDescent="0.3">
      <c r="B59" t="s">
        <v>7</v>
      </c>
      <c r="D59" s="18">
        <f>MIN(D5:D56)</f>
        <v>0.51500000000000001</v>
      </c>
      <c r="E59" s="18">
        <f t="shared" ref="E59:F59" si="2">MIN(E5:E56)</f>
        <v>2.8000000000000004E-2</v>
      </c>
      <c r="F59" s="18">
        <f t="shared" si="2"/>
        <v>1.0233333333333332</v>
      </c>
      <c r="I59" s="18">
        <f t="shared" ref="I59:J59" si="3">MIN(I5:I56)</f>
        <v>0</v>
      </c>
      <c r="J59" s="18">
        <f t="shared" si="3"/>
        <v>0.06</v>
      </c>
    </row>
    <row r="60" spans="2:10" x14ac:dyDescent="0.3">
      <c r="B60" t="s">
        <v>8</v>
      </c>
      <c r="D60" s="18">
        <f>MAX(D5:D56)</f>
        <v>7.3616666666666672</v>
      </c>
      <c r="E60" s="18">
        <f t="shared" ref="E60:F60" si="4">MAX(E5:E56)</f>
        <v>32.950000000000003</v>
      </c>
      <c r="F60" s="18">
        <f t="shared" si="4"/>
        <v>15.765000000000001</v>
      </c>
      <c r="I60" s="18">
        <f t="shared" ref="I60:J60" si="5">MAX(I5:I56)</f>
        <v>48.05</v>
      </c>
      <c r="J60" s="18">
        <f t="shared" si="5"/>
        <v>0.79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84C6-3421-45BF-B370-C4214153AB89}">
  <dimension ref="B2:L52"/>
  <sheetViews>
    <sheetView workbookViewId="0">
      <selection activeCell="O49" sqref="O49"/>
    </sheetView>
  </sheetViews>
  <sheetFormatPr defaultRowHeight="14.4" x14ac:dyDescent="0.3"/>
  <sheetData>
    <row r="2" spans="2:12" x14ac:dyDescent="0.3">
      <c r="C2" s="20" t="s">
        <v>5</v>
      </c>
      <c r="D2" s="20"/>
      <c r="E2" s="20"/>
      <c r="F2" s="20"/>
    </row>
    <row r="3" spans="2:12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J3" s="21" t="s">
        <v>9</v>
      </c>
      <c r="K3" s="21" t="s">
        <v>10</v>
      </c>
      <c r="L3" s="21" t="s">
        <v>11</v>
      </c>
    </row>
    <row r="4" spans="2:12" x14ac:dyDescent="0.3">
      <c r="B4" s="2">
        <v>133</v>
      </c>
      <c r="C4" s="13">
        <v>0.58333333333333337</v>
      </c>
      <c r="D4" s="14"/>
      <c r="E4" s="14"/>
      <c r="F4" s="14"/>
    </row>
    <row r="5" spans="2:12" x14ac:dyDescent="0.3">
      <c r="B5" s="2">
        <v>141</v>
      </c>
      <c r="C5" s="13">
        <v>0.84333333333333338</v>
      </c>
      <c r="D5" s="14"/>
      <c r="E5" s="14"/>
      <c r="F5" s="14"/>
    </row>
    <row r="6" spans="2:12" x14ac:dyDescent="0.3">
      <c r="B6" s="2">
        <v>142</v>
      </c>
      <c r="C6" s="13"/>
      <c r="D6" s="14"/>
      <c r="E6" s="4">
        <v>9.4920000000000009</v>
      </c>
      <c r="F6" s="14"/>
    </row>
    <row r="7" spans="2:12" x14ac:dyDescent="0.3">
      <c r="B7" s="2">
        <v>148</v>
      </c>
      <c r="C7" s="13">
        <v>1.7879999999999998</v>
      </c>
      <c r="D7" s="14"/>
      <c r="E7" s="5">
        <v>27.236000000000001</v>
      </c>
      <c r="F7" s="14"/>
    </row>
    <row r="8" spans="2:12" x14ac:dyDescent="0.3">
      <c r="B8" s="2">
        <v>152</v>
      </c>
      <c r="C8" s="13"/>
      <c r="D8" s="14"/>
      <c r="E8" s="4">
        <v>7.6639999999999997</v>
      </c>
      <c r="F8" s="14"/>
    </row>
    <row r="9" spans="2:12" x14ac:dyDescent="0.3">
      <c r="B9" s="6">
        <v>155</v>
      </c>
      <c r="C9" s="13">
        <v>8.4249999999999989</v>
      </c>
      <c r="D9" s="15"/>
      <c r="E9" s="4">
        <v>6.0359999999999996</v>
      </c>
      <c r="F9" s="4">
        <v>1.72</v>
      </c>
    </row>
    <row r="10" spans="2:12" x14ac:dyDescent="0.3">
      <c r="B10" s="6">
        <v>156</v>
      </c>
      <c r="C10" s="13"/>
      <c r="D10" s="15"/>
      <c r="E10" s="4"/>
      <c r="F10" s="4"/>
      <c r="K10">
        <v>5.32</v>
      </c>
    </row>
    <row r="11" spans="2:12" x14ac:dyDescent="0.3">
      <c r="B11" s="6">
        <v>162</v>
      </c>
      <c r="C11" s="13">
        <v>25.931666666666668</v>
      </c>
      <c r="D11" s="15"/>
      <c r="E11" s="15"/>
      <c r="F11" s="4"/>
      <c r="K11">
        <v>1.85</v>
      </c>
    </row>
    <row r="12" spans="2:12" x14ac:dyDescent="0.3">
      <c r="B12" s="6">
        <v>163</v>
      </c>
      <c r="C12" s="15"/>
      <c r="D12" s="15"/>
      <c r="E12" s="15"/>
      <c r="F12" s="4">
        <v>2.8433333333333333</v>
      </c>
    </row>
    <row r="13" spans="2:12" x14ac:dyDescent="0.3">
      <c r="B13" s="6">
        <v>164</v>
      </c>
      <c r="C13" s="15"/>
      <c r="D13" s="15"/>
      <c r="E13" s="5">
        <v>9.5540000000000003</v>
      </c>
      <c r="F13" s="4"/>
    </row>
    <row r="14" spans="2:12" x14ac:dyDescent="0.3">
      <c r="B14" s="6">
        <v>165</v>
      </c>
      <c r="C14" s="15"/>
      <c r="D14" s="15"/>
      <c r="E14" s="15"/>
      <c r="F14" s="4">
        <v>1.8183333333333334</v>
      </c>
    </row>
    <row r="15" spans="2:12" x14ac:dyDescent="0.3">
      <c r="B15" s="6">
        <v>166</v>
      </c>
      <c r="C15" s="15"/>
      <c r="D15" s="15"/>
      <c r="E15" s="15"/>
      <c r="F15" s="4"/>
      <c r="K15">
        <v>0.248</v>
      </c>
    </row>
    <row r="16" spans="2:12" x14ac:dyDescent="0.3">
      <c r="B16" s="6">
        <v>170</v>
      </c>
      <c r="C16" s="13">
        <v>0.91666666666666663</v>
      </c>
      <c r="D16" s="15"/>
      <c r="E16" s="15"/>
      <c r="F16" s="4"/>
    </row>
    <row r="17" spans="2:11" x14ac:dyDescent="0.3">
      <c r="B17" s="6">
        <v>171</v>
      </c>
      <c r="C17" s="15"/>
      <c r="D17" s="8">
        <v>17.728333333333335</v>
      </c>
      <c r="E17" s="15"/>
      <c r="F17" s="4">
        <v>1.4283333333333335</v>
      </c>
    </row>
    <row r="18" spans="2:11" x14ac:dyDescent="0.3">
      <c r="B18" s="6">
        <v>172</v>
      </c>
      <c r="C18" s="15"/>
      <c r="D18" s="8"/>
      <c r="E18" s="15"/>
      <c r="F18" s="4"/>
      <c r="K18">
        <v>1.022</v>
      </c>
    </row>
    <row r="19" spans="2:11" x14ac:dyDescent="0.3">
      <c r="B19" s="6">
        <v>173</v>
      </c>
      <c r="C19" s="15"/>
      <c r="D19" s="15"/>
      <c r="E19" s="15"/>
      <c r="F19" s="4">
        <v>0.96333333333333326</v>
      </c>
    </row>
    <row r="20" spans="2:11" x14ac:dyDescent="0.3">
      <c r="B20" s="6">
        <v>178</v>
      </c>
      <c r="C20" s="15"/>
      <c r="D20" s="15"/>
      <c r="E20" s="5">
        <v>14.821999999999999</v>
      </c>
      <c r="F20" s="4"/>
    </row>
    <row r="21" spans="2:11" x14ac:dyDescent="0.3">
      <c r="B21" s="6">
        <v>179</v>
      </c>
      <c r="C21" s="15"/>
      <c r="D21" s="8">
        <v>2.0616666666666665</v>
      </c>
      <c r="E21" s="15"/>
      <c r="F21" s="4">
        <v>1.3766666666666667</v>
      </c>
    </row>
    <row r="22" spans="2:11" x14ac:dyDescent="0.3">
      <c r="B22" s="6">
        <v>180</v>
      </c>
      <c r="C22" s="15"/>
      <c r="D22" s="8"/>
      <c r="E22" s="15"/>
      <c r="F22" s="4"/>
      <c r="K22">
        <v>0.73199999999999998</v>
      </c>
    </row>
    <row r="23" spans="2:11" x14ac:dyDescent="0.3">
      <c r="B23" s="6">
        <v>181</v>
      </c>
      <c r="C23" s="13">
        <v>2.0449999999999999</v>
      </c>
      <c r="D23" s="15"/>
      <c r="E23" s="15"/>
      <c r="F23" s="4"/>
    </row>
    <row r="24" spans="2:11" x14ac:dyDescent="0.3">
      <c r="B24" s="6">
        <v>185</v>
      </c>
      <c r="C24" s="13"/>
      <c r="D24" s="8">
        <v>1.5599999999999998</v>
      </c>
      <c r="E24" s="15"/>
      <c r="F24" s="4"/>
    </row>
    <row r="25" spans="2:11" x14ac:dyDescent="0.3">
      <c r="B25" s="6">
        <v>186</v>
      </c>
      <c r="C25" s="15"/>
      <c r="D25" s="15"/>
      <c r="E25" s="5">
        <v>15.207999999999998</v>
      </c>
      <c r="F25" s="4">
        <v>2.3199999999999998</v>
      </c>
    </row>
    <row r="26" spans="2:11" x14ac:dyDescent="0.3">
      <c r="B26" s="6">
        <v>187</v>
      </c>
      <c r="C26" s="15"/>
      <c r="D26" s="15"/>
      <c r="E26" s="5"/>
      <c r="F26" s="4"/>
      <c r="K26">
        <v>3.32</v>
      </c>
    </row>
    <row r="27" spans="2:11" x14ac:dyDescent="0.3">
      <c r="B27" s="6">
        <v>192</v>
      </c>
      <c r="C27" s="15"/>
      <c r="D27" s="8">
        <v>1.5599999999999998</v>
      </c>
      <c r="E27" s="15"/>
      <c r="F27" s="4"/>
    </row>
    <row r="28" spans="2:11" x14ac:dyDescent="0.3">
      <c r="B28" s="6">
        <v>193</v>
      </c>
      <c r="C28" s="15"/>
      <c r="D28" s="15"/>
      <c r="E28" s="5">
        <v>18.821999999999999</v>
      </c>
      <c r="F28" s="4">
        <v>1.0450000000000002</v>
      </c>
    </row>
    <row r="29" spans="2:11" x14ac:dyDescent="0.3">
      <c r="B29" s="6">
        <v>194</v>
      </c>
      <c r="C29" s="15"/>
      <c r="D29" s="15"/>
      <c r="E29" s="5"/>
      <c r="F29" s="4"/>
      <c r="K29">
        <v>1.41</v>
      </c>
    </row>
    <row r="30" spans="2:11" x14ac:dyDescent="0.3">
      <c r="B30" s="6">
        <v>195</v>
      </c>
      <c r="C30" s="13">
        <v>2.0449999999999999</v>
      </c>
      <c r="D30" s="15"/>
      <c r="E30" s="15"/>
      <c r="F30" s="4"/>
    </row>
    <row r="31" spans="2:11" x14ac:dyDescent="0.3">
      <c r="B31" s="6">
        <v>200</v>
      </c>
      <c r="C31" s="15"/>
      <c r="D31" s="15"/>
      <c r="E31" s="4">
        <v>27.580000000000002</v>
      </c>
      <c r="F31" s="4">
        <v>4.0583333333333336</v>
      </c>
    </row>
    <row r="32" spans="2:11" x14ac:dyDescent="0.3">
      <c r="B32" s="6">
        <v>207</v>
      </c>
      <c r="C32" s="15"/>
      <c r="D32" s="8">
        <v>1.396433289172478</v>
      </c>
      <c r="E32" s="5">
        <v>19.39</v>
      </c>
      <c r="F32" s="4">
        <v>3.8250000000000006</v>
      </c>
    </row>
    <row r="33" spans="2:11" x14ac:dyDescent="0.3">
      <c r="B33" s="6">
        <v>208</v>
      </c>
      <c r="C33" s="15"/>
      <c r="D33" s="8"/>
      <c r="E33" s="5"/>
      <c r="F33" s="4"/>
      <c r="K33">
        <v>2.2000000000000002</v>
      </c>
    </row>
    <row r="34" spans="2:11" x14ac:dyDescent="0.3">
      <c r="B34" s="6">
        <v>210</v>
      </c>
      <c r="C34" s="13">
        <v>1.6866666666666665</v>
      </c>
      <c r="D34" s="15"/>
      <c r="E34" s="15"/>
      <c r="F34" s="4"/>
    </row>
    <row r="35" spans="2:11" x14ac:dyDescent="0.3">
      <c r="B35" s="6">
        <v>214</v>
      </c>
      <c r="C35" s="15"/>
      <c r="D35" s="15"/>
      <c r="E35" s="15"/>
      <c r="F35" s="4">
        <v>0.93666666666666665</v>
      </c>
    </row>
    <row r="36" spans="2:11" x14ac:dyDescent="0.3">
      <c r="B36" s="6">
        <v>220</v>
      </c>
      <c r="C36" s="15"/>
      <c r="D36" s="9">
        <v>1.0945426091427244</v>
      </c>
      <c r="E36" s="15"/>
      <c r="F36" s="4"/>
    </row>
    <row r="37" spans="2:11" x14ac:dyDescent="0.3">
      <c r="B37" s="6">
        <v>221</v>
      </c>
      <c r="C37" s="15"/>
      <c r="D37" s="15"/>
      <c r="E37" s="5">
        <v>2.5159999999999996</v>
      </c>
      <c r="F37" s="4">
        <v>2.4950000000000001</v>
      </c>
    </row>
    <row r="38" spans="2:11" x14ac:dyDescent="0.3">
      <c r="B38" s="6">
        <v>222</v>
      </c>
      <c r="C38" s="15"/>
      <c r="D38" s="15"/>
      <c r="E38" s="5"/>
      <c r="F38" s="4"/>
      <c r="K38">
        <v>0.56000000000000005</v>
      </c>
    </row>
    <row r="39" spans="2:11" x14ac:dyDescent="0.3">
      <c r="B39" s="6">
        <v>224</v>
      </c>
      <c r="C39" s="16">
        <v>1.5666666666666664</v>
      </c>
      <c r="D39" s="15"/>
      <c r="E39" s="15"/>
      <c r="F39" s="4"/>
    </row>
    <row r="40" spans="2:11" x14ac:dyDescent="0.3">
      <c r="B40" s="6">
        <v>228</v>
      </c>
      <c r="C40" s="15"/>
      <c r="D40" s="15"/>
      <c r="E40" s="15"/>
      <c r="F40" s="4">
        <v>1.8316666666666663</v>
      </c>
    </row>
    <row r="41" spans="2:11" x14ac:dyDescent="0.3">
      <c r="B41" s="6">
        <v>234</v>
      </c>
      <c r="C41" s="15"/>
      <c r="D41" s="9">
        <v>7.2183333333333328</v>
      </c>
      <c r="E41" s="15"/>
      <c r="F41" s="4"/>
      <c r="G41" s="17"/>
    </row>
    <row r="42" spans="2:11" x14ac:dyDescent="0.3">
      <c r="B42" s="6">
        <v>235</v>
      </c>
      <c r="C42" s="15"/>
      <c r="D42" s="15"/>
      <c r="E42" s="16">
        <v>12.262</v>
      </c>
      <c r="F42" s="4">
        <v>1.4633333333333332</v>
      </c>
    </row>
    <row r="43" spans="2:11" x14ac:dyDescent="0.3">
      <c r="B43" s="6">
        <v>236</v>
      </c>
      <c r="C43" s="15"/>
      <c r="D43" s="15"/>
      <c r="E43" s="16"/>
      <c r="F43" s="4"/>
      <c r="K43">
        <v>0.18</v>
      </c>
    </row>
    <row r="44" spans="2:11" x14ac:dyDescent="0.3">
      <c r="B44" s="6">
        <v>241</v>
      </c>
      <c r="C44" s="15"/>
      <c r="D44" s="15"/>
      <c r="E44" s="15"/>
      <c r="F44" s="4">
        <v>4.1183333333333332</v>
      </c>
    </row>
    <row r="45" spans="2:11" x14ac:dyDescent="0.3">
      <c r="B45" s="11">
        <v>249</v>
      </c>
      <c r="C45" s="15"/>
      <c r="D45" s="15"/>
      <c r="E45" s="15"/>
      <c r="F45" s="16">
        <v>9.2933333333333348</v>
      </c>
    </row>
    <row r="46" spans="2:11" x14ac:dyDescent="0.3">
      <c r="B46" s="11">
        <v>250</v>
      </c>
      <c r="C46" s="15"/>
      <c r="D46" s="15"/>
      <c r="E46" s="15"/>
      <c r="F46" s="16"/>
      <c r="K46">
        <v>1.72</v>
      </c>
    </row>
    <row r="47" spans="2:11" x14ac:dyDescent="0.3">
      <c r="B47" s="12">
        <v>251</v>
      </c>
      <c r="C47" s="15"/>
      <c r="D47" s="9">
        <v>17.138333333333332</v>
      </c>
      <c r="E47" s="15"/>
      <c r="F47" s="15"/>
    </row>
    <row r="48" spans="2:11" x14ac:dyDescent="0.3">
      <c r="B48" s="12">
        <v>262</v>
      </c>
      <c r="C48" s="15"/>
      <c r="D48" s="16">
        <v>8.6966666666666654</v>
      </c>
      <c r="E48" s="15"/>
      <c r="F48" s="15"/>
    </row>
    <row r="50" spans="2:11" x14ac:dyDescent="0.3">
      <c r="B50" t="s">
        <v>6</v>
      </c>
      <c r="C50" s="18">
        <f>AVERAGE(C4:C48)</f>
        <v>4.5831333333333335</v>
      </c>
      <c r="D50" s="18">
        <f t="shared" ref="D50:F50" si="0">AVERAGE(D4:D48)</f>
        <v>6.4949232479609478</v>
      </c>
      <c r="E50" s="18">
        <f t="shared" si="0"/>
        <v>14.215166666666669</v>
      </c>
      <c r="F50" s="18">
        <f t="shared" si="0"/>
        <v>2.5960416666666672</v>
      </c>
      <c r="K50" s="18">
        <f t="shared" ref="K50" si="1">AVERAGE(K4:K48)</f>
        <v>1.6874545454545453</v>
      </c>
    </row>
    <row r="51" spans="2:11" x14ac:dyDescent="0.3">
      <c r="B51" t="s">
        <v>7</v>
      </c>
      <c r="C51" s="18">
        <f>MIN(C4:C48)</f>
        <v>0.58333333333333337</v>
      </c>
      <c r="D51" s="18">
        <f t="shared" ref="D51:F51" si="2">MIN(D4:D48)</f>
        <v>1.0945426091427244</v>
      </c>
      <c r="E51" s="18">
        <f t="shared" si="2"/>
        <v>2.5159999999999996</v>
      </c>
      <c r="F51" s="18">
        <f t="shared" si="2"/>
        <v>0.93666666666666665</v>
      </c>
      <c r="K51" s="18">
        <f t="shared" ref="K51" si="3">MIN(K4:K48)</f>
        <v>0.18</v>
      </c>
    </row>
    <row r="52" spans="2:11" x14ac:dyDescent="0.3">
      <c r="B52" t="s">
        <v>8</v>
      </c>
      <c r="C52" s="18">
        <f>MAX(C4:C48)</f>
        <v>25.931666666666668</v>
      </c>
      <c r="D52" s="18">
        <f t="shared" ref="D52:F52" si="4">MAX(D4:D48)</f>
        <v>17.728333333333335</v>
      </c>
      <c r="E52" s="18">
        <f t="shared" si="4"/>
        <v>27.580000000000002</v>
      </c>
      <c r="F52" s="18">
        <f t="shared" si="4"/>
        <v>9.2933333333333348</v>
      </c>
      <c r="K52" s="18">
        <f t="shared" ref="K52" si="5">MAX(K4:K48)</f>
        <v>5.32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EE2B-7D54-4C21-AD13-C0736349790A}">
  <dimension ref="B2:K60"/>
  <sheetViews>
    <sheetView topLeftCell="A31" workbookViewId="0">
      <selection activeCell="N51" sqref="N51"/>
    </sheetView>
  </sheetViews>
  <sheetFormatPr defaultRowHeight="14.4" x14ac:dyDescent="0.3"/>
  <cols>
    <col min="9" max="11" width="8.88671875" style="19"/>
  </cols>
  <sheetData>
    <row r="2" spans="2:11" x14ac:dyDescent="0.3">
      <c r="C2" s="20" t="s">
        <v>5</v>
      </c>
      <c r="D2" s="20"/>
      <c r="E2" s="20"/>
      <c r="F2" s="20"/>
    </row>
    <row r="3" spans="2:11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21" t="s">
        <v>9</v>
      </c>
      <c r="J3" s="21" t="s">
        <v>10</v>
      </c>
      <c r="K3" s="21" t="s">
        <v>11</v>
      </c>
    </row>
    <row r="4" spans="2:11" ht="15.6" x14ac:dyDescent="0.3">
      <c r="B4" s="19">
        <v>127</v>
      </c>
      <c r="C4" s="19"/>
      <c r="D4" s="19"/>
      <c r="E4" s="19"/>
      <c r="F4" s="19"/>
      <c r="I4" s="22">
        <v>12.9</v>
      </c>
      <c r="J4" s="22"/>
      <c r="K4" s="22"/>
    </row>
    <row r="5" spans="2:11" x14ac:dyDescent="0.3">
      <c r="B5" s="2">
        <v>133</v>
      </c>
      <c r="C5" s="13">
        <v>36.606666666666669</v>
      </c>
      <c r="D5" s="14"/>
      <c r="E5" s="14"/>
      <c r="F5" s="14"/>
      <c r="I5" s="23"/>
      <c r="J5" s="23"/>
      <c r="K5" s="23"/>
    </row>
    <row r="6" spans="2:11" x14ac:dyDescent="0.3">
      <c r="B6" s="2">
        <v>141</v>
      </c>
      <c r="C6" s="13">
        <v>53.308333333333337</v>
      </c>
      <c r="D6" s="14"/>
      <c r="E6" s="14"/>
      <c r="F6" s="14"/>
      <c r="I6" s="23"/>
      <c r="J6" s="23"/>
      <c r="K6" s="23"/>
    </row>
    <row r="7" spans="2:11" x14ac:dyDescent="0.3">
      <c r="B7" s="2">
        <v>142</v>
      </c>
      <c r="C7" s="13"/>
      <c r="D7" s="14"/>
      <c r="E7" s="4">
        <v>20.95</v>
      </c>
      <c r="F7" s="14"/>
      <c r="I7" s="23"/>
      <c r="J7" s="23"/>
      <c r="K7" s="23"/>
    </row>
    <row r="8" spans="2:11" x14ac:dyDescent="0.3">
      <c r="B8" s="2">
        <v>143</v>
      </c>
      <c r="C8" s="13"/>
      <c r="D8" s="14"/>
      <c r="E8" s="4"/>
      <c r="F8" s="14"/>
      <c r="I8" s="23">
        <v>106.2</v>
      </c>
      <c r="J8" s="23"/>
      <c r="K8" s="23"/>
    </row>
    <row r="9" spans="2:11" x14ac:dyDescent="0.3">
      <c r="B9" s="2">
        <v>145</v>
      </c>
      <c r="C9" s="13"/>
      <c r="D9" s="14"/>
      <c r="E9" s="4"/>
      <c r="F9" s="14"/>
      <c r="I9" s="23">
        <v>22.9</v>
      </c>
      <c r="J9" s="23"/>
      <c r="K9" s="23"/>
    </row>
    <row r="10" spans="2:11" x14ac:dyDescent="0.3">
      <c r="B10" s="2">
        <v>148</v>
      </c>
      <c r="C10" s="13">
        <v>53.490000000000009</v>
      </c>
      <c r="D10" s="14"/>
      <c r="E10" s="5">
        <v>29.152000000000005</v>
      </c>
      <c r="F10" s="14"/>
      <c r="I10" s="23">
        <v>25</v>
      </c>
      <c r="J10" s="23"/>
      <c r="K10" s="23"/>
    </row>
    <row r="11" spans="2:11" x14ac:dyDescent="0.3">
      <c r="B11" s="2">
        <v>152</v>
      </c>
      <c r="C11" s="13"/>
      <c r="D11" s="14"/>
      <c r="E11" s="4">
        <v>7.1419999999999986</v>
      </c>
      <c r="F11" s="14"/>
      <c r="I11" s="23">
        <v>38.4</v>
      </c>
      <c r="J11" s="23"/>
      <c r="K11" s="23"/>
    </row>
    <row r="12" spans="2:11" x14ac:dyDescent="0.3">
      <c r="B12" s="6">
        <v>155</v>
      </c>
      <c r="C12" s="13">
        <v>94.821666666666673</v>
      </c>
      <c r="D12" s="15"/>
      <c r="E12" s="4">
        <v>10.423999999999999</v>
      </c>
      <c r="F12" s="4">
        <v>6.6366666666666667</v>
      </c>
      <c r="I12" s="23">
        <v>26.3</v>
      </c>
      <c r="J12" s="23"/>
      <c r="K12" s="23"/>
    </row>
    <row r="13" spans="2:11" x14ac:dyDescent="0.3">
      <c r="B13" s="6">
        <v>156</v>
      </c>
      <c r="C13" s="13"/>
      <c r="D13" s="15"/>
      <c r="E13" s="4"/>
      <c r="F13" s="4"/>
      <c r="I13" s="23"/>
      <c r="J13" s="23">
        <v>23.58</v>
      </c>
      <c r="K13" s="23"/>
    </row>
    <row r="14" spans="2:11" x14ac:dyDescent="0.3">
      <c r="B14" s="6">
        <v>162</v>
      </c>
      <c r="C14" s="13">
        <v>65.695000000000007</v>
      </c>
      <c r="D14" s="15"/>
      <c r="E14" s="15"/>
      <c r="F14" s="4"/>
      <c r="I14" s="23">
        <v>52.3</v>
      </c>
      <c r="J14" s="23">
        <v>41.9</v>
      </c>
      <c r="K14" s="23"/>
    </row>
    <row r="15" spans="2:11" x14ac:dyDescent="0.3">
      <c r="B15" s="6">
        <v>163</v>
      </c>
      <c r="C15" s="15"/>
      <c r="D15" s="15"/>
      <c r="E15" s="15"/>
      <c r="F15" s="4">
        <v>6.5766666666666662</v>
      </c>
      <c r="I15" s="23"/>
      <c r="J15" s="23"/>
      <c r="K15" s="23"/>
    </row>
    <row r="16" spans="2:11" x14ac:dyDescent="0.3">
      <c r="B16" s="6">
        <v>164</v>
      </c>
      <c r="C16" s="15"/>
      <c r="D16" s="15"/>
      <c r="E16" s="5">
        <v>16.271999999999998</v>
      </c>
      <c r="F16" s="4"/>
      <c r="I16" s="23"/>
      <c r="J16" s="23"/>
      <c r="K16" s="23"/>
    </row>
    <row r="17" spans="2:11" x14ac:dyDescent="0.3">
      <c r="B17" s="6">
        <v>165</v>
      </c>
      <c r="C17" s="15"/>
      <c r="D17" s="15"/>
      <c r="E17" s="15"/>
      <c r="F17" s="4">
        <v>6.4083333333333332</v>
      </c>
      <c r="I17" s="23"/>
      <c r="J17" s="23"/>
      <c r="K17" s="23"/>
    </row>
    <row r="18" spans="2:11" x14ac:dyDescent="0.3">
      <c r="B18" s="6">
        <v>166</v>
      </c>
      <c r="C18" s="15"/>
      <c r="D18" s="15"/>
      <c r="E18" s="15"/>
      <c r="F18" s="4"/>
      <c r="I18" s="23"/>
      <c r="J18" s="23">
        <v>26.32</v>
      </c>
      <c r="K18" s="23"/>
    </row>
    <row r="19" spans="2:11" x14ac:dyDescent="0.3">
      <c r="B19" s="6">
        <v>169</v>
      </c>
      <c r="C19" s="15"/>
      <c r="D19" s="15"/>
      <c r="E19" s="15"/>
      <c r="F19" s="4"/>
      <c r="I19" s="23">
        <v>70.400000000000006</v>
      </c>
      <c r="J19" s="23"/>
      <c r="K19" s="23"/>
    </row>
    <row r="20" spans="2:11" x14ac:dyDescent="0.3">
      <c r="B20" s="6">
        <v>170</v>
      </c>
      <c r="C20" s="13">
        <v>32.121666666666663</v>
      </c>
      <c r="D20" s="15"/>
      <c r="E20" s="15"/>
      <c r="F20" s="4"/>
      <c r="I20" s="23"/>
      <c r="J20" s="23"/>
      <c r="K20" s="23"/>
    </row>
    <row r="21" spans="2:11" x14ac:dyDescent="0.3">
      <c r="B21" s="6">
        <v>171</v>
      </c>
      <c r="C21" s="15"/>
      <c r="D21" s="8">
        <v>18.046666666666667</v>
      </c>
      <c r="E21" s="15"/>
      <c r="F21" s="4">
        <v>8.1133333333333333</v>
      </c>
      <c r="I21" s="23"/>
      <c r="J21" s="23"/>
      <c r="K21" s="23"/>
    </row>
    <row r="22" spans="2:11" x14ac:dyDescent="0.3">
      <c r="B22" s="6">
        <v>172</v>
      </c>
      <c r="C22" s="15"/>
      <c r="D22" s="8"/>
      <c r="E22" s="15"/>
      <c r="F22" s="4"/>
      <c r="I22" s="23"/>
      <c r="J22" s="23">
        <v>22.05</v>
      </c>
      <c r="K22" s="23"/>
    </row>
    <row r="23" spans="2:11" x14ac:dyDescent="0.3">
      <c r="B23" s="6">
        <v>173</v>
      </c>
      <c r="C23" s="15"/>
      <c r="D23" s="15"/>
      <c r="E23" s="15"/>
      <c r="F23" s="4">
        <v>7.5483333333333329</v>
      </c>
      <c r="I23" s="23"/>
      <c r="J23" s="23"/>
      <c r="K23" s="23"/>
    </row>
    <row r="24" spans="2:11" x14ac:dyDescent="0.3">
      <c r="B24" s="6">
        <v>178</v>
      </c>
      <c r="C24" s="15"/>
      <c r="D24" s="15"/>
      <c r="E24" s="5">
        <v>32.983999999999995</v>
      </c>
      <c r="F24" s="4"/>
      <c r="I24" s="23"/>
      <c r="J24" s="23"/>
      <c r="K24" s="23"/>
    </row>
    <row r="25" spans="2:11" x14ac:dyDescent="0.3">
      <c r="B25" s="6">
        <v>179</v>
      </c>
      <c r="C25" s="15"/>
      <c r="D25" s="8">
        <v>10.106666666666667</v>
      </c>
      <c r="E25" s="15"/>
      <c r="F25" s="4">
        <v>7.0583333333333336</v>
      </c>
      <c r="I25" s="23"/>
      <c r="J25" s="23"/>
      <c r="K25" s="23"/>
    </row>
    <row r="26" spans="2:11" x14ac:dyDescent="0.3">
      <c r="B26" s="6">
        <v>180</v>
      </c>
      <c r="C26" s="15"/>
      <c r="D26" s="8"/>
      <c r="E26" s="15"/>
      <c r="F26" s="4"/>
      <c r="I26" s="23"/>
      <c r="J26" s="23">
        <v>25</v>
      </c>
      <c r="K26" s="23"/>
    </row>
    <row r="27" spans="2:11" x14ac:dyDescent="0.3">
      <c r="B27" s="6">
        <v>181</v>
      </c>
      <c r="C27" s="13">
        <v>20.36</v>
      </c>
      <c r="D27" s="15"/>
      <c r="E27" s="15"/>
      <c r="F27" s="4"/>
      <c r="I27" s="23"/>
      <c r="J27" s="23"/>
      <c r="K27" s="23"/>
    </row>
    <row r="28" spans="2:11" x14ac:dyDescent="0.3">
      <c r="B28" s="6">
        <v>183</v>
      </c>
      <c r="C28" s="13"/>
      <c r="D28" s="15"/>
      <c r="E28" s="15"/>
      <c r="F28" s="4"/>
      <c r="I28" s="23">
        <v>53.6</v>
      </c>
      <c r="J28" s="23"/>
      <c r="K28" s="23"/>
    </row>
    <row r="29" spans="2:11" x14ac:dyDescent="0.3">
      <c r="B29" s="6">
        <v>185</v>
      </c>
      <c r="C29" s="13"/>
      <c r="D29" s="8">
        <v>12.558333333333334</v>
      </c>
      <c r="E29" s="15"/>
      <c r="F29" s="4"/>
      <c r="I29" s="23"/>
      <c r="J29" s="23"/>
      <c r="K29" s="23"/>
    </row>
    <row r="30" spans="2:11" x14ac:dyDescent="0.3">
      <c r="B30" s="6">
        <v>186</v>
      </c>
      <c r="C30" s="15"/>
      <c r="D30" s="15"/>
      <c r="E30" s="5">
        <v>77.298000000000002</v>
      </c>
      <c r="F30" s="4">
        <v>11.641666666666666</v>
      </c>
      <c r="I30" s="23"/>
      <c r="J30" s="23"/>
      <c r="K30" s="23"/>
    </row>
    <row r="31" spans="2:11" x14ac:dyDescent="0.3">
      <c r="B31" s="6">
        <v>187</v>
      </c>
      <c r="C31" s="15"/>
      <c r="D31" s="15"/>
      <c r="E31" s="5"/>
      <c r="F31" s="4"/>
      <c r="I31" s="23"/>
      <c r="J31" s="23">
        <v>22.9</v>
      </c>
      <c r="K31" s="23"/>
    </row>
    <row r="32" spans="2:11" x14ac:dyDescent="0.3">
      <c r="B32" s="6">
        <v>192</v>
      </c>
      <c r="C32" s="15"/>
      <c r="D32" s="8">
        <v>12.558333333333334</v>
      </c>
      <c r="E32" s="15"/>
      <c r="F32" s="4"/>
      <c r="I32" s="23"/>
      <c r="J32" s="23"/>
      <c r="K32" s="23"/>
    </row>
    <row r="33" spans="2:11" x14ac:dyDescent="0.3">
      <c r="B33" s="6">
        <v>193</v>
      </c>
      <c r="C33" s="15"/>
      <c r="D33" s="15"/>
      <c r="E33" s="5">
        <v>23.47</v>
      </c>
      <c r="F33" s="4">
        <v>20.555</v>
      </c>
      <c r="I33" s="23"/>
      <c r="J33" s="23"/>
      <c r="K33" s="23"/>
    </row>
    <row r="34" spans="2:11" x14ac:dyDescent="0.3">
      <c r="B34" s="6">
        <v>194</v>
      </c>
      <c r="C34" s="15"/>
      <c r="D34" s="15"/>
      <c r="E34" s="5"/>
      <c r="F34" s="4"/>
      <c r="I34" s="23"/>
      <c r="J34" s="23">
        <v>27.06</v>
      </c>
      <c r="K34" s="23"/>
    </row>
    <row r="35" spans="2:11" x14ac:dyDescent="0.3">
      <c r="B35" s="6">
        <v>195</v>
      </c>
      <c r="C35" s="13">
        <v>17.455000000000002</v>
      </c>
      <c r="D35" s="15"/>
      <c r="E35" s="15"/>
      <c r="F35" s="4"/>
      <c r="I35" s="23"/>
      <c r="J35" s="23"/>
      <c r="K35" s="23"/>
    </row>
    <row r="36" spans="2:11" x14ac:dyDescent="0.3">
      <c r="B36" s="6">
        <v>197</v>
      </c>
      <c r="C36" s="13"/>
      <c r="D36" s="15"/>
      <c r="E36" s="15"/>
      <c r="F36" s="4"/>
      <c r="I36" s="23">
        <v>130.69999999999999</v>
      </c>
      <c r="J36" s="23"/>
      <c r="K36" s="23"/>
    </row>
    <row r="37" spans="2:11" x14ac:dyDescent="0.3">
      <c r="B37" s="6">
        <v>200</v>
      </c>
      <c r="C37" s="15"/>
      <c r="D37" s="15"/>
      <c r="E37" s="4">
        <v>64.918000000000006</v>
      </c>
      <c r="F37" s="4">
        <v>36.414999999999999</v>
      </c>
      <c r="I37" s="23"/>
      <c r="J37" s="23"/>
      <c r="K37" s="23"/>
    </row>
    <row r="38" spans="2:11" x14ac:dyDescent="0.3">
      <c r="B38" s="6">
        <v>207</v>
      </c>
      <c r="C38" s="15"/>
      <c r="D38" s="8">
        <v>9.7858353781084677</v>
      </c>
      <c r="E38" s="5">
        <v>32.902000000000001</v>
      </c>
      <c r="F38" s="4">
        <v>63.784999999999989</v>
      </c>
      <c r="I38" s="23"/>
      <c r="J38" s="23"/>
      <c r="K38" s="23"/>
    </row>
    <row r="39" spans="2:11" x14ac:dyDescent="0.3">
      <c r="B39" s="6">
        <v>208</v>
      </c>
      <c r="C39" s="15"/>
      <c r="D39" s="8"/>
      <c r="E39" s="5"/>
      <c r="F39" s="4"/>
      <c r="I39" s="23"/>
      <c r="J39" s="23">
        <v>63.95</v>
      </c>
      <c r="K39" s="23"/>
    </row>
    <row r="40" spans="2:11" x14ac:dyDescent="0.3">
      <c r="B40" s="6">
        <v>210</v>
      </c>
      <c r="C40" s="13">
        <v>11.858333333333334</v>
      </c>
      <c r="D40" s="15"/>
      <c r="E40" s="15"/>
      <c r="F40" s="4"/>
      <c r="I40" s="23"/>
      <c r="J40" s="23"/>
      <c r="K40" s="23"/>
    </row>
    <row r="41" spans="2:11" x14ac:dyDescent="0.3">
      <c r="B41" s="6">
        <v>211</v>
      </c>
      <c r="C41" s="13"/>
      <c r="D41" s="15"/>
      <c r="E41" s="15"/>
      <c r="F41" s="4"/>
      <c r="I41" s="23">
        <v>58.6</v>
      </c>
      <c r="J41" s="23"/>
      <c r="K41" s="23"/>
    </row>
    <row r="42" spans="2:11" x14ac:dyDescent="0.3">
      <c r="B42" s="6">
        <v>214</v>
      </c>
      <c r="C42" s="15"/>
      <c r="D42" s="15"/>
      <c r="E42" s="15"/>
      <c r="F42" s="4">
        <v>44.033333333333331</v>
      </c>
      <c r="I42" s="23"/>
      <c r="J42" s="23"/>
      <c r="K42" s="23"/>
    </row>
    <row r="43" spans="2:11" x14ac:dyDescent="0.3">
      <c r="B43" s="6">
        <v>220</v>
      </c>
      <c r="C43" s="15"/>
      <c r="D43" s="8">
        <v>8.1397277539697317</v>
      </c>
      <c r="E43" s="15"/>
      <c r="F43" s="4"/>
      <c r="I43" s="23"/>
      <c r="J43" s="23"/>
      <c r="K43" s="23"/>
    </row>
    <row r="44" spans="2:11" x14ac:dyDescent="0.3">
      <c r="B44" s="6">
        <v>221</v>
      </c>
      <c r="C44" s="15"/>
      <c r="D44" s="15"/>
      <c r="E44" s="5">
        <v>21.887999999999998</v>
      </c>
      <c r="F44" s="4">
        <v>44.031666666666666</v>
      </c>
      <c r="I44" s="23"/>
      <c r="J44" s="23"/>
      <c r="K44" s="23"/>
    </row>
    <row r="45" spans="2:11" x14ac:dyDescent="0.3">
      <c r="B45" s="6">
        <v>222</v>
      </c>
      <c r="C45" s="15"/>
      <c r="D45" s="15"/>
      <c r="E45" s="5"/>
      <c r="F45" s="4"/>
      <c r="I45" s="23"/>
      <c r="J45" s="23">
        <v>65.069999999999993</v>
      </c>
      <c r="K45" s="23"/>
    </row>
    <row r="46" spans="2:11" x14ac:dyDescent="0.3">
      <c r="B46" s="6">
        <v>224</v>
      </c>
      <c r="C46" s="16">
        <v>4.5366666666666662</v>
      </c>
      <c r="D46" s="15"/>
      <c r="E46" s="15"/>
      <c r="F46" s="4"/>
      <c r="I46" s="23"/>
      <c r="J46" s="23"/>
      <c r="K46" s="23"/>
    </row>
    <row r="47" spans="2:11" x14ac:dyDescent="0.3">
      <c r="B47" s="6">
        <v>225</v>
      </c>
      <c r="C47" s="16"/>
      <c r="D47" s="15"/>
      <c r="E47" s="15"/>
      <c r="F47" s="4"/>
      <c r="I47" s="23">
        <v>55.2</v>
      </c>
      <c r="J47" s="23"/>
      <c r="K47" s="23"/>
    </row>
    <row r="48" spans="2:11" x14ac:dyDescent="0.3">
      <c r="B48" s="6">
        <v>228</v>
      </c>
      <c r="C48" s="15"/>
      <c r="D48" s="15"/>
      <c r="E48" s="15"/>
      <c r="F48" s="4">
        <v>27.774999999999999</v>
      </c>
      <c r="I48" s="23"/>
      <c r="J48" s="23"/>
      <c r="K48" s="23"/>
    </row>
    <row r="49" spans="2:11" x14ac:dyDescent="0.3">
      <c r="B49" s="6">
        <v>234</v>
      </c>
      <c r="C49" s="15"/>
      <c r="D49" s="9">
        <v>27.47</v>
      </c>
      <c r="E49" s="15"/>
      <c r="F49" s="4"/>
      <c r="I49" s="23"/>
      <c r="J49" s="23"/>
      <c r="K49" s="23"/>
    </row>
    <row r="50" spans="2:11" x14ac:dyDescent="0.3">
      <c r="B50" s="6">
        <v>235</v>
      </c>
      <c r="C50" s="15"/>
      <c r="D50" s="15"/>
      <c r="E50" s="16">
        <v>17.344000000000001</v>
      </c>
      <c r="F50" s="4">
        <v>21.790000000000003</v>
      </c>
      <c r="I50" s="23"/>
      <c r="J50" s="23"/>
      <c r="K50" s="23"/>
    </row>
    <row r="51" spans="2:11" x14ac:dyDescent="0.3">
      <c r="B51" s="6">
        <v>236</v>
      </c>
      <c r="C51" s="15"/>
      <c r="D51" s="15"/>
      <c r="E51" s="16"/>
      <c r="F51" s="4"/>
      <c r="I51" s="23"/>
      <c r="J51" s="23">
        <v>48.76</v>
      </c>
      <c r="K51" s="23"/>
    </row>
    <row r="52" spans="2:11" x14ac:dyDescent="0.3">
      <c r="B52" s="6">
        <v>241</v>
      </c>
      <c r="C52" s="15"/>
      <c r="D52" s="15"/>
      <c r="E52" s="15"/>
      <c r="F52" s="4">
        <v>37.436666666666667</v>
      </c>
      <c r="I52" s="23"/>
      <c r="J52" s="23"/>
      <c r="K52" s="23"/>
    </row>
    <row r="53" spans="2:11" x14ac:dyDescent="0.3">
      <c r="B53" s="11">
        <v>249</v>
      </c>
      <c r="C53" s="15"/>
      <c r="D53" s="15"/>
      <c r="E53" s="15"/>
      <c r="F53" s="16">
        <v>16.708333333333332</v>
      </c>
      <c r="I53" s="23"/>
      <c r="J53" s="23"/>
      <c r="K53" s="23"/>
    </row>
    <row r="54" spans="2:11" x14ac:dyDescent="0.3">
      <c r="B54" s="11">
        <v>250</v>
      </c>
      <c r="C54" s="15"/>
      <c r="D54" s="15"/>
      <c r="E54" s="15"/>
      <c r="F54" s="16"/>
      <c r="I54" s="23"/>
      <c r="J54" s="23">
        <v>40.58</v>
      </c>
      <c r="K54" s="23"/>
    </row>
    <row r="55" spans="2:11" x14ac:dyDescent="0.3">
      <c r="B55" s="12">
        <v>251</v>
      </c>
      <c r="C55" s="15"/>
      <c r="D55" s="9">
        <v>23.251666666666669</v>
      </c>
      <c r="E55" s="15"/>
      <c r="F55" s="15"/>
      <c r="I55" s="23"/>
      <c r="J55" s="23"/>
      <c r="K55" s="23"/>
    </row>
    <row r="56" spans="2:11" x14ac:dyDescent="0.3">
      <c r="B56" s="12">
        <v>262</v>
      </c>
      <c r="C56" s="15"/>
      <c r="D56" s="16">
        <v>61.608333333333334</v>
      </c>
      <c r="E56" s="15"/>
      <c r="F56" s="15"/>
      <c r="I56" s="23"/>
      <c r="J56" s="23"/>
      <c r="K56" s="23"/>
    </row>
    <row r="57" spans="2:11" x14ac:dyDescent="0.3">
      <c r="I57" s="23"/>
      <c r="K57" s="23"/>
    </row>
    <row r="58" spans="2:11" x14ac:dyDescent="0.3">
      <c r="B58" t="s">
        <v>6</v>
      </c>
      <c r="C58" s="18">
        <f>AVERAGE(C5:C56)</f>
        <v>39.025333333333336</v>
      </c>
      <c r="D58" s="18">
        <f t="shared" ref="D58:F58" si="0">AVERAGE(D5:D56)</f>
        <v>20.391729236897579</v>
      </c>
      <c r="E58" s="18">
        <f t="shared" si="0"/>
        <v>29.561999999999998</v>
      </c>
      <c r="F58" s="18">
        <f t="shared" si="0"/>
        <v>22.907083333333329</v>
      </c>
      <c r="I58" s="23">
        <f t="shared" ref="I57:J58" si="1">AVERAGE(I5:I56)</f>
        <v>58.145454545454548</v>
      </c>
      <c r="J58" s="23">
        <f>AVERAGE(J4:J55)</f>
        <v>37.015454545454539</v>
      </c>
      <c r="K58" s="23"/>
    </row>
    <row r="59" spans="2:11" x14ac:dyDescent="0.3">
      <c r="B59" t="s">
        <v>7</v>
      </c>
      <c r="C59" s="18">
        <f>MIN(C5:C56)</f>
        <v>4.5366666666666662</v>
      </c>
      <c r="D59" s="18">
        <f t="shared" ref="D59:F59" si="2">MIN(D5:D56)</f>
        <v>8.1397277539697317</v>
      </c>
      <c r="E59" s="18">
        <f t="shared" si="2"/>
        <v>7.1419999999999986</v>
      </c>
      <c r="F59" s="18">
        <f t="shared" si="2"/>
        <v>6.4083333333333332</v>
      </c>
      <c r="I59" s="23">
        <f t="shared" ref="I58:J59" si="3">MIN(I5:I56)</f>
        <v>22.9</v>
      </c>
      <c r="J59" s="23">
        <f>MIN(J4:J55)</f>
        <v>22.05</v>
      </c>
      <c r="K59" s="23"/>
    </row>
    <row r="60" spans="2:11" x14ac:dyDescent="0.3">
      <c r="B60" t="s">
        <v>8</v>
      </c>
      <c r="C60" s="18">
        <f>MAX(C5:C56)</f>
        <v>94.821666666666673</v>
      </c>
      <c r="D60" s="18">
        <f t="shared" ref="D60:F60" si="4">MAX(D5:D56)</f>
        <v>61.608333333333334</v>
      </c>
      <c r="E60" s="18">
        <f t="shared" si="4"/>
        <v>77.298000000000002</v>
      </c>
      <c r="F60" s="18">
        <f t="shared" si="4"/>
        <v>63.784999999999989</v>
      </c>
      <c r="I60" s="23">
        <f t="shared" ref="I59:J60" si="5">MAX(I5:I56)</f>
        <v>130.69999999999999</v>
      </c>
      <c r="J60" s="23">
        <f>MAX(J4:J55)</f>
        <v>65.069999999999993</v>
      </c>
      <c r="K60" s="23"/>
    </row>
  </sheetData>
  <mergeCells count="1">
    <mergeCell ref="C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01BA-3E6D-4517-8052-9E8152FC6D3C}">
  <dimension ref="B2:L60"/>
  <sheetViews>
    <sheetView workbookViewId="0">
      <selection activeCell="Q54" sqref="Q54"/>
    </sheetView>
  </sheetViews>
  <sheetFormatPr defaultRowHeight="14.4" x14ac:dyDescent="0.3"/>
  <sheetData>
    <row r="2" spans="2:12" x14ac:dyDescent="0.3">
      <c r="C2" s="20" t="s">
        <v>5</v>
      </c>
      <c r="D2" s="20"/>
      <c r="E2" s="20"/>
      <c r="F2" s="20"/>
    </row>
    <row r="3" spans="2:12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J3" s="21" t="s">
        <v>9</v>
      </c>
      <c r="K3" s="21" t="s">
        <v>10</v>
      </c>
      <c r="L3" s="21" t="s">
        <v>11</v>
      </c>
    </row>
    <row r="4" spans="2:12" ht="15.6" x14ac:dyDescent="0.3">
      <c r="B4" s="19">
        <v>127</v>
      </c>
      <c r="C4" s="19"/>
      <c r="D4" s="19"/>
      <c r="E4" s="19"/>
      <c r="F4" s="19"/>
      <c r="J4" s="21">
        <v>0.08</v>
      </c>
      <c r="K4" s="21"/>
      <c r="L4" s="21"/>
    </row>
    <row r="5" spans="2:12" x14ac:dyDescent="0.3">
      <c r="B5" s="2">
        <v>133</v>
      </c>
      <c r="C5" s="13">
        <v>0</v>
      </c>
      <c r="D5" s="14"/>
      <c r="E5" s="14"/>
      <c r="F5" s="14"/>
    </row>
    <row r="6" spans="2:12" x14ac:dyDescent="0.3">
      <c r="B6" s="2">
        <v>141</v>
      </c>
      <c r="C6" s="13">
        <v>0</v>
      </c>
      <c r="D6" s="14"/>
      <c r="E6" s="14"/>
      <c r="F6" s="14"/>
    </row>
    <row r="7" spans="2:12" x14ac:dyDescent="0.3">
      <c r="B7" s="2">
        <v>142</v>
      </c>
      <c r="C7" s="13"/>
      <c r="D7" s="14"/>
      <c r="E7" s="4">
        <v>0.03</v>
      </c>
      <c r="F7" s="14"/>
    </row>
    <row r="8" spans="2:12" x14ac:dyDescent="0.3">
      <c r="B8" s="2">
        <v>143</v>
      </c>
      <c r="C8" s="13"/>
      <c r="D8" s="14"/>
      <c r="E8" s="4"/>
      <c r="F8" s="14"/>
      <c r="J8">
        <v>0.14000000000000001</v>
      </c>
    </row>
    <row r="9" spans="2:12" x14ac:dyDescent="0.3">
      <c r="B9" s="2">
        <v>145</v>
      </c>
      <c r="C9" s="13"/>
      <c r="D9" s="14"/>
      <c r="E9" s="4"/>
      <c r="F9" s="14"/>
      <c r="J9">
        <v>0</v>
      </c>
    </row>
    <row r="10" spans="2:12" x14ac:dyDescent="0.3">
      <c r="B10" s="2">
        <v>148</v>
      </c>
      <c r="C10" s="13">
        <v>0.09</v>
      </c>
      <c r="D10" s="14"/>
      <c r="E10" s="5">
        <v>0</v>
      </c>
      <c r="F10" s="14"/>
      <c r="J10">
        <v>0</v>
      </c>
    </row>
    <row r="11" spans="2:12" x14ac:dyDescent="0.3">
      <c r="B11" s="2">
        <v>152</v>
      </c>
      <c r="C11" s="13"/>
      <c r="D11" s="14"/>
      <c r="E11" s="4">
        <v>0.03</v>
      </c>
      <c r="F11" s="14"/>
      <c r="J11">
        <v>0.25</v>
      </c>
    </row>
    <row r="12" spans="2:12" x14ac:dyDescent="0.3">
      <c r="B12" s="6">
        <v>155</v>
      </c>
      <c r="C12" s="13">
        <v>0</v>
      </c>
      <c r="D12" s="15"/>
      <c r="E12" s="4">
        <v>0</v>
      </c>
      <c r="F12" s="4">
        <v>0.26166666666666666</v>
      </c>
      <c r="J12">
        <v>0.05</v>
      </c>
    </row>
    <row r="13" spans="2:12" x14ac:dyDescent="0.3">
      <c r="B13" s="6">
        <v>156</v>
      </c>
      <c r="C13" s="13"/>
      <c r="D13" s="15"/>
      <c r="E13" s="4"/>
      <c r="F13" s="4"/>
      <c r="K13">
        <v>3.7</v>
      </c>
    </row>
    <row r="14" spans="2:12" x14ac:dyDescent="0.3">
      <c r="B14" s="6">
        <v>162</v>
      </c>
      <c r="C14" s="13">
        <v>0</v>
      </c>
      <c r="D14" s="15"/>
      <c r="E14" s="15"/>
      <c r="F14" s="4"/>
      <c r="J14">
        <v>2.21</v>
      </c>
      <c r="K14">
        <v>19</v>
      </c>
    </row>
    <row r="15" spans="2:12" x14ac:dyDescent="0.3">
      <c r="B15" s="6">
        <v>163</v>
      </c>
      <c r="C15" s="15"/>
      <c r="D15" s="15"/>
      <c r="E15" s="15"/>
      <c r="F15" s="4">
        <v>0</v>
      </c>
    </row>
    <row r="16" spans="2:12" x14ac:dyDescent="0.3">
      <c r="B16" s="6">
        <v>164</v>
      </c>
      <c r="C16" s="15"/>
      <c r="D16" s="15"/>
      <c r="E16" s="5">
        <v>0</v>
      </c>
      <c r="F16" s="4"/>
    </row>
    <row r="17" spans="2:11" x14ac:dyDescent="0.3">
      <c r="B17" s="6">
        <v>165</v>
      </c>
      <c r="C17" s="15"/>
      <c r="D17" s="15"/>
      <c r="E17" s="15"/>
      <c r="F17" s="4">
        <v>0</v>
      </c>
    </row>
    <row r="18" spans="2:11" x14ac:dyDescent="0.3">
      <c r="B18" s="6">
        <v>166</v>
      </c>
      <c r="C18" s="15"/>
      <c r="D18" s="15"/>
      <c r="E18" s="15"/>
      <c r="F18" s="4"/>
      <c r="K18">
        <v>5.0999999999999996</v>
      </c>
    </row>
    <row r="19" spans="2:11" x14ac:dyDescent="0.3">
      <c r="B19" s="6">
        <v>169</v>
      </c>
      <c r="C19" s="15"/>
      <c r="D19" s="15"/>
      <c r="E19" s="15"/>
      <c r="F19" s="4"/>
      <c r="J19">
        <v>8.36</v>
      </c>
    </row>
    <row r="20" spans="2:11" x14ac:dyDescent="0.3">
      <c r="B20" s="6">
        <v>170</v>
      </c>
      <c r="C20" s="13">
        <v>0</v>
      </c>
      <c r="D20" s="15"/>
      <c r="E20" s="15"/>
      <c r="F20" s="4"/>
    </row>
    <row r="21" spans="2:11" x14ac:dyDescent="0.3">
      <c r="B21" s="6">
        <v>171</v>
      </c>
      <c r="C21" s="15"/>
      <c r="D21" s="8">
        <v>0</v>
      </c>
      <c r="E21" s="15"/>
      <c r="F21" s="4">
        <v>0.05</v>
      </c>
    </row>
    <row r="22" spans="2:11" x14ac:dyDescent="0.3">
      <c r="B22" s="6">
        <v>172</v>
      </c>
      <c r="C22" s="15"/>
      <c r="D22" s="8"/>
      <c r="E22" s="15"/>
      <c r="F22" s="4"/>
      <c r="K22">
        <v>3.4</v>
      </c>
    </row>
    <row r="23" spans="2:11" x14ac:dyDescent="0.3">
      <c r="B23" s="6">
        <v>173</v>
      </c>
      <c r="C23" s="15"/>
      <c r="D23" s="15"/>
      <c r="E23" s="15"/>
      <c r="F23" s="4">
        <v>0.3</v>
      </c>
    </row>
    <row r="24" spans="2:11" x14ac:dyDescent="0.3">
      <c r="B24" s="6">
        <v>178</v>
      </c>
      <c r="C24" s="15"/>
      <c r="D24" s="15"/>
      <c r="E24" s="5">
        <v>0.06</v>
      </c>
      <c r="F24" s="4"/>
    </row>
    <row r="25" spans="2:11" x14ac:dyDescent="0.3">
      <c r="B25" s="6">
        <v>179</v>
      </c>
      <c r="C25" s="15"/>
      <c r="D25" s="8">
        <v>0.13</v>
      </c>
      <c r="E25" s="15"/>
      <c r="F25" s="4"/>
    </row>
    <row r="26" spans="2:11" x14ac:dyDescent="0.3">
      <c r="B26" s="6">
        <v>180</v>
      </c>
      <c r="C26" s="15"/>
      <c r="D26" s="8"/>
      <c r="E26" s="15"/>
      <c r="F26" s="4"/>
      <c r="K26">
        <v>5</v>
      </c>
    </row>
    <row r="27" spans="2:11" x14ac:dyDescent="0.3">
      <c r="B27" s="6">
        <v>181</v>
      </c>
      <c r="C27" s="13">
        <v>0</v>
      </c>
      <c r="D27" s="15"/>
      <c r="E27" s="15"/>
      <c r="F27" s="4"/>
    </row>
    <row r="28" spans="2:11" x14ac:dyDescent="0.3">
      <c r="B28" s="6">
        <v>183</v>
      </c>
      <c r="C28" s="13"/>
      <c r="D28" s="15"/>
      <c r="E28" s="15"/>
      <c r="F28" s="4"/>
      <c r="J28">
        <v>15.26</v>
      </c>
    </row>
    <row r="29" spans="2:11" x14ac:dyDescent="0.3">
      <c r="B29" s="6">
        <v>185</v>
      </c>
      <c r="C29" s="13"/>
      <c r="D29" s="8">
        <v>0.05</v>
      </c>
      <c r="E29" s="15"/>
      <c r="F29" s="4"/>
    </row>
    <row r="30" spans="2:11" x14ac:dyDescent="0.3">
      <c r="B30" s="6">
        <v>186</v>
      </c>
      <c r="C30" s="15"/>
      <c r="D30" s="15"/>
      <c r="E30" s="5">
        <v>0</v>
      </c>
      <c r="F30" s="4">
        <v>20.346666666666668</v>
      </c>
    </row>
    <row r="31" spans="2:11" x14ac:dyDescent="0.3">
      <c r="B31" s="6">
        <v>187</v>
      </c>
      <c r="C31" s="15"/>
      <c r="D31" s="15"/>
      <c r="E31" s="5"/>
      <c r="F31" s="4"/>
      <c r="K31">
        <v>3.8</v>
      </c>
    </row>
    <row r="32" spans="2:11" x14ac:dyDescent="0.3">
      <c r="B32" s="6">
        <v>192</v>
      </c>
      <c r="C32" s="15"/>
      <c r="D32" s="8"/>
      <c r="E32" s="15"/>
      <c r="F32" s="4"/>
    </row>
    <row r="33" spans="2:11" x14ac:dyDescent="0.3">
      <c r="B33" s="6">
        <v>193</v>
      </c>
      <c r="C33" s="15"/>
      <c r="D33" s="15"/>
      <c r="E33" s="5">
        <v>0.11</v>
      </c>
      <c r="F33" s="4">
        <v>11.016666666666667</v>
      </c>
    </row>
    <row r="34" spans="2:11" x14ac:dyDescent="0.3">
      <c r="B34" s="6">
        <v>194</v>
      </c>
      <c r="C34" s="15"/>
      <c r="D34" s="15"/>
      <c r="E34" s="5"/>
      <c r="F34" s="4"/>
      <c r="K34">
        <v>3.7</v>
      </c>
    </row>
    <row r="35" spans="2:11" x14ac:dyDescent="0.3">
      <c r="B35" s="6">
        <v>195</v>
      </c>
      <c r="C35" s="13">
        <v>0.21</v>
      </c>
      <c r="D35" s="15"/>
      <c r="E35" s="15"/>
      <c r="F35" s="4"/>
    </row>
    <row r="36" spans="2:11" x14ac:dyDescent="0.3">
      <c r="B36" s="6">
        <v>197</v>
      </c>
      <c r="C36" s="13"/>
      <c r="D36" s="15"/>
      <c r="E36" s="15"/>
      <c r="F36" s="4"/>
      <c r="J36">
        <v>1.1299999999999999</v>
      </c>
    </row>
    <row r="37" spans="2:11" x14ac:dyDescent="0.3">
      <c r="B37" s="6">
        <v>200</v>
      </c>
      <c r="C37" s="15"/>
      <c r="D37" s="15"/>
      <c r="E37" s="4">
        <v>0.06</v>
      </c>
      <c r="F37" s="4">
        <v>8.9066666666666663</v>
      </c>
    </row>
    <row r="38" spans="2:11" x14ac:dyDescent="0.3">
      <c r="B38" s="6">
        <v>207</v>
      </c>
      <c r="C38" s="15"/>
      <c r="D38" s="8">
        <v>6.7978489026212452E-2</v>
      </c>
      <c r="E38" s="5">
        <v>0.56000000000000005</v>
      </c>
      <c r="F38" s="4">
        <v>30.89</v>
      </c>
    </row>
    <row r="39" spans="2:11" x14ac:dyDescent="0.3">
      <c r="B39" s="6">
        <v>208</v>
      </c>
      <c r="C39" s="15"/>
      <c r="D39" s="8"/>
      <c r="E39" s="5"/>
      <c r="F39" s="4"/>
      <c r="K39">
        <v>7.2</v>
      </c>
    </row>
    <row r="40" spans="2:11" x14ac:dyDescent="0.3">
      <c r="B40" s="6">
        <v>210</v>
      </c>
      <c r="C40" s="13">
        <v>8.92</v>
      </c>
      <c r="D40" s="15"/>
      <c r="E40" s="15"/>
      <c r="F40" s="4"/>
    </row>
    <row r="41" spans="2:11" x14ac:dyDescent="0.3">
      <c r="B41" s="6">
        <v>211</v>
      </c>
      <c r="C41" s="13"/>
      <c r="D41" s="15"/>
      <c r="E41" s="15"/>
      <c r="F41" s="4"/>
      <c r="J41">
        <v>1.48</v>
      </c>
    </row>
    <row r="42" spans="2:11" x14ac:dyDescent="0.3">
      <c r="B42" s="6">
        <v>214</v>
      </c>
      <c r="C42" s="15"/>
      <c r="D42" s="15"/>
      <c r="E42" s="15"/>
      <c r="F42" s="4">
        <v>16.818333333333335</v>
      </c>
    </row>
    <row r="43" spans="2:11" x14ac:dyDescent="0.3">
      <c r="B43" s="6">
        <v>220</v>
      </c>
      <c r="C43" s="15"/>
      <c r="D43" s="9">
        <v>5.5211559060463204E-2</v>
      </c>
      <c r="E43" s="15"/>
      <c r="F43" s="4"/>
    </row>
    <row r="44" spans="2:11" x14ac:dyDescent="0.3">
      <c r="B44" s="6">
        <v>221</v>
      </c>
      <c r="C44" s="15"/>
      <c r="D44" s="15"/>
      <c r="E44" s="5">
        <v>1.27</v>
      </c>
      <c r="F44" s="4">
        <v>11.575000000000001</v>
      </c>
    </row>
    <row r="45" spans="2:11" x14ac:dyDescent="0.3">
      <c r="B45" s="6">
        <v>222</v>
      </c>
      <c r="C45" s="15"/>
      <c r="D45" s="15"/>
      <c r="E45" s="5"/>
      <c r="F45" s="4"/>
      <c r="K45">
        <v>15.9</v>
      </c>
    </row>
    <row r="46" spans="2:11" x14ac:dyDescent="0.3">
      <c r="B46" s="6">
        <v>224</v>
      </c>
      <c r="C46" s="16">
        <v>47.581666666666671</v>
      </c>
      <c r="D46" s="15"/>
      <c r="E46" s="15"/>
      <c r="F46" s="4"/>
    </row>
    <row r="47" spans="2:11" x14ac:dyDescent="0.3">
      <c r="B47" s="6">
        <v>225</v>
      </c>
      <c r="C47" s="16"/>
      <c r="D47" s="15"/>
      <c r="E47" s="15"/>
      <c r="F47" s="4"/>
      <c r="J47">
        <v>1.99</v>
      </c>
    </row>
    <row r="48" spans="2:11" x14ac:dyDescent="0.3">
      <c r="B48" s="6">
        <v>228</v>
      </c>
      <c r="C48" s="15"/>
      <c r="D48" s="15"/>
      <c r="E48" s="15"/>
      <c r="F48" s="4">
        <v>8.0583333333333318</v>
      </c>
    </row>
    <row r="49" spans="2:11" x14ac:dyDescent="0.3">
      <c r="B49" s="6">
        <v>234</v>
      </c>
      <c r="C49" s="15"/>
      <c r="D49" s="9">
        <v>1.4400000000000002</v>
      </c>
      <c r="E49" s="15"/>
      <c r="F49" s="4"/>
    </row>
    <row r="50" spans="2:11" x14ac:dyDescent="0.3">
      <c r="B50" s="6">
        <v>235</v>
      </c>
      <c r="C50" s="15"/>
      <c r="D50" s="15"/>
      <c r="E50" s="16">
        <v>3.85</v>
      </c>
      <c r="F50" s="4">
        <v>6.5633333333333335</v>
      </c>
    </row>
    <row r="51" spans="2:11" x14ac:dyDescent="0.3">
      <c r="B51" s="6">
        <v>236</v>
      </c>
      <c r="C51" s="15"/>
      <c r="D51" s="15"/>
      <c r="E51" s="16"/>
      <c r="F51" s="4"/>
      <c r="K51">
        <v>47.5</v>
      </c>
    </row>
    <row r="52" spans="2:11" x14ac:dyDescent="0.3">
      <c r="B52" s="6">
        <v>241</v>
      </c>
      <c r="C52" s="15"/>
      <c r="D52" s="15"/>
      <c r="E52" s="15"/>
      <c r="F52" s="4">
        <v>2.5033333333333334</v>
      </c>
    </row>
    <row r="53" spans="2:11" x14ac:dyDescent="0.3">
      <c r="B53" s="11">
        <v>249</v>
      </c>
      <c r="C53" s="15"/>
      <c r="D53" s="15"/>
      <c r="E53" s="15"/>
      <c r="F53" s="16">
        <v>21.721666666666668</v>
      </c>
    </row>
    <row r="54" spans="2:11" x14ac:dyDescent="0.3">
      <c r="B54" s="11">
        <v>250</v>
      </c>
      <c r="C54" s="15"/>
      <c r="D54" s="15"/>
      <c r="E54" s="15"/>
      <c r="F54" s="16"/>
      <c r="K54">
        <v>1.5</v>
      </c>
    </row>
    <row r="55" spans="2:11" x14ac:dyDescent="0.3">
      <c r="B55" s="12">
        <v>251</v>
      </c>
      <c r="C55" s="15"/>
      <c r="D55" s="9">
        <v>8.5000000000000006E-2</v>
      </c>
      <c r="E55" s="15"/>
      <c r="F55" s="15"/>
    </row>
    <row r="56" spans="2:11" x14ac:dyDescent="0.3">
      <c r="B56" s="12">
        <v>262</v>
      </c>
      <c r="C56" s="15"/>
      <c r="D56" s="16">
        <v>0.22666666666666668</v>
      </c>
      <c r="E56" s="15"/>
      <c r="F56" s="15"/>
    </row>
    <row r="58" spans="2:11" x14ac:dyDescent="0.3">
      <c r="B58" t="s">
        <v>6</v>
      </c>
      <c r="C58" s="18">
        <f>AVERAGE(C5:C56)</f>
        <v>5.6801666666666666</v>
      </c>
      <c r="D58" s="18">
        <f t="shared" ref="D58:F58" si="0">AVERAGE(D5:D56)</f>
        <v>0.25685708934416779</v>
      </c>
      <c r="E58" s="18">
        <f t="shared" si="0"/>
        <v>0.49750000000000005</v>
      </c>
      <c r="F58" s="18">
        <f t="shared" si="0"/>
        <v>9.267444444444445</v>
      </c>
      <c r="J58" s="18">
        <f t="shared" ref="J58:K58" si="1">AVERAGE(J5:J56)</f>
        <v>2.8063636363636362</v>
      </c>
      <c r="K58" s="18">
        <f t="shared" si="1"/>
        <v>10.527272727272727</v>
      </c>
    </row>
    <row r="59" spans="2:11" x14ac:dyDescent="0.3">
      <c r="B59" t="s">
        <v>7</v>
      </c>
      <c r="C59" s="18">
        <f>MIN(C5:C56)</f>
        <v>0</v>
      </c>
      <c r="D59" s="18">
        <f t="shared" ref="D59:F59" si="2">MIN(D5:D56)</f>
        <v>0</v>
      </c>
      <c r="E59" s="18">
        <f t="shared" si="2"/>
        <v>0</v>
      </c>
      <c r="F59" s="18">
        <f t="shared" si="2"/>
        <v>0</v>
      </c>
      <c r="J59" s="18">
        <f t="shared" ref="J59:K59" si="3">MIN(J5:J56)</f>
        <v>0</v>
      </c>
      <c r="K59" s="18">
        <f t="shared" si="3"/>
        <v>1.5</v>
      </c>
    </row>
    <row r="60" spans="2:11" x14ac:dyDescent="0.3">
      <c r="B60" t="s">
        <v>8</v>
      </c>
      <c r="C60" s="18">
        <f>MAX(C5:C56)</f>
        <v>47.581666666666671</v>
      </c>
      <c r="D60" s="18">
        <f t="shared" ref="D60:F60" si="4">MAX(D5:D56)</f>
        <v>1.4400000000000002</v>
      </c>
      <c r="E60" s="18">
        <f t="shared" si="4"/>
        <v>3.85</v>
      </c>
      <c r="F60" s="18">
        <f t="shared" si="4"/>
        <v>30.89</v>
      </c>
      <c r="J60" s="18">
        <f t="shared" ref="J60:K60" si="5">MAX(J5:J56)</f>
        <v>15.26</v>
      </c>
      <c r="K60" s="18">
        <f t="shared" si="5"/>
        <v>47.5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7CAD-897D-4CCE-AF85-53ABA83CE30C}">
  <dimension ref="B2:K60"/>
  <sheetViews>
    <sheetView topLeftCell="A33" workbookViewId="0">
      <selection activeCell="P52" sqref="P52"/>
    </sheetView>
  </sheetViews>
  <sheetFormatPr defaultRowHeight="14.4" x14ac:dyDescent="0.3"/>
  <cols>
    <col min="9" max="11" width="8.88671875" style="19"/>
  </cols>
  <sheetData>
    <row r="2" spans="2:11" x14ac:dyDescent="0.3">
      <c r="C2" s="20" t="s">
        <v>5</v>
      </c>
      <c r="D2" s="20"/>
      <c r="E2" s="20"/>
      <c r="F2" s="20"/>
    </row>
    <row r="3" spans="2:11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21" t="s">
        <v>9</v>
      </c>
      <c r="J3" s="21" t="s">
        <v>10</v>
      </c>
      <c r="K3" s="21" t="s">
        <v>11</v>
      </c>
    </row>
    <row r="4" spans="2:11" ht="15.6" x14ac:dyDescent="0.3">
      <c r="B4" s="19">
        <v>127</v>
      </c>
      <c r="C4" s="19"/>
      <c r="D4" s="19"/>
      <c r="E4" s="19"/>
      <c r="F4" s="19"/>
      <c r="I4" s="23">
        <v>1168.6299999999999</v>
      </c>
      <c r="J4" s="22"/>
      <c r="K4" s="22"/>
    </row>
    <row r="5" spans="2:11" x14ac:dyDescent="0.3">
      <c r="B5" s="2">
        <v>133</v>
      </c>
      <c r="C5" s="3">
        <v>607.35</v>
      </c>
      <c r="D5" s="2"/>
      <c r="E5" s="2"/>
      <c r="F5" s="2"/>
      <c r="I5" s="23"/>
      <c r="J5" s="23"/>
      <c r="K5" s="23"/>
    </row>
    <row r="6" spans="2:11" x14ac:dyDescent="0.3">
      <c r="B6" s="2">
        <v>141</v>
      </c>
      <c r="C6" s="3">
        <v>534.79166666666663</v>
      </c>
      <c r="D6" s="2"/>
      <c r="E6" s="2"/>
      <c r="F6" s="2"/>
      <c r="I6" s="23"/>
      <c r="J6" s="23"/>
      <c r="K6" s="23"/>
    </row>
    <row r="7" spans="2:11" x14ac:dyDescent="0.3">
      <c r="B7" s="2">
        <v>142</v>
      </c>
      <c r="C7" s="3"/>
      <c r="D7" s="2"/>
      <c r="E7" s="4">
        <v>1100.848</v>
      </c>
      <c r="F7" s="2"/>
      <c r="I7" s="23"/>
      <c r="J7" s="23"/>
      <c r="K7" s="23"/>
    </row>
    <row r="8" spans="2:11" x14ac:dyDescent="0.3">
      <c r="B8" s="2">
        <v>143</v>
      </c>
      <c r="C8" s="3"/>
      <c r="D8" s="2"/>
      <c r="E8" s="4"/>
      <c r="F8" s="2"/>
      <c r="I8" s="23">
        <v>742.41200000000003</v>
      </c>
      <c r="J8" s="23"/>
      <c r="K8" s="23"/>
    </row>
    <row r="9" spans="2:11" x14ac:dyDescent="0.3">
      <c r="B9" s="2">
        <v>145</v>
      </c>
      <c r="C9" s="3"/>
      <c r="D9" s="2"/>
      <c r="E9" s="4"/>
      <c r="F9" s="2"/>
      <c r="I9" s="23">
        <v>815.23399999999992</v>
      </c>
      <c r="J9" s="23"/>
      <c r="K9" s="23"/>
    </row>
    <row r="10" spans="2:11" x14ac:dyDescent="0.3">
      <c r="B10" s="2">
        <v>148</v>
      </c>
      <c r="C10" s="3">
        <v>408.072</v>
      </c>
      <c r="D10" s="2"/>
      <c r="E10" s="5">
        <v>687.33799999999997</v>
      </c>
      <c r="F10" s="2"/>
      <c r="I10" s="23">
        <v>563.38599999999997</v>
      </c>
      <c r="J10" s="23"/>
      <c r="K10" s="23"/>
    </row>
    <row r="11" spans="2:11" x14ac:dyDescent="0.3">
      <c r="B11" s="2">
        <v>152</v>
      </c>
      <c r="C11" s="3"/>
      <c r="D11" s="2"/>
      <c r="E11" s="4">
        <v>1901.8340000000001</v>
      </c>
      <c r="F11" s="2"/>
      <c r="I11" s="23">
        <v>474.084</v>
      </c>
      <c r="J11" s="23"/>
      <c r="K11" s="23"/>
    </row>
    <row r="12" spans="2:11" x14ac:dyDescent="0.3">
      <c r="B12" s="6">
        <v>155</v>
      </c>
      <c r="C12" s="3">
        <v>326.32</v>
      </c>
      <c r="D12" s="7"/>
      <c r="E12" s="4">
        <v>1206.626</v>
      </c>
      <c r="F12" s="4">
        <v>453.64999999999992</v>
      </c>
      <c r="I12" s="23">
        <v>155.39600000000002</v>
      </c>
      <c r="J12" s="23"/>
      <c r="K12" s="23"/>
    </row>
    <row r="13" spans="2:11" x14ac:dyDescent="0.3">
      <c r="B13" s="6">
        <v>156</v>
      </c>
      <c r="C13" s="3"/>
      <c r="D13" s="7"/>
      <c r="E13" s="4"/>
      <c r="F13" s="4"/>
      <c r="I13" s="23"/>
      <c r="J13" s="23">
        <v>53.88</v>
      </c>
      <c r="K13" s="23"/>
    </row>
    <row r="14" spans="2:11" x14ac:dyDescent="0.3">
      <c r="B14" s="6">
        <v>162</v>
      </c>
      <c r="C14" s="3">
        <v>205.77500000000001</v>
      </c>
      <c r="D14" s="7"/>
      <c r="E14" s="7"/>
      <c r="F14" s="4"/>
      <c r="I14" s="23">
        <v>152.26799999999997</v>
      </c>
      <c r="J14" s="23">
        <v>46.75</v>
      </c>
      <c r="K14" s="23"/>
    </row>
    <row r="15" spans="2:11" x14ac:dyDescent="0.3">
      <c r="B15" s="6">
        <v>163</v>
      </c>
      <c r="C15" s="7"/>
      <c r="D15" s="7"/>
      <c r="E15" s="7"/>
      <c r="F15" s="4">
        <v>556.62833333333333</v>
      </c>
      <c r="I15" s="23"/>
      <c r="J15" s="23"/>
      <c r="K15" s="23"/>
    </row>
    <row r="16" spans="2:11" x14ac:dyDescent="0.3">
      <c r="B16" s="6">
        <v>164</v>
      </c>
      <c r="C16" s="7"/>
      <c r="D16" s="7"/>
      <c r="E16" s="5">
        <v>866.28399999999999</v>
      </c>
      <c r="F16" s="4"/>
      <c r="I16" s="23"/>
      <c r="J16" s="23"/>
      <c r="K16" s="23"/>
    </row>
    <row r="17" spans="2:11" x14ac:dyDescent="0.3">
      <c r="B17" s="6">
        <v>165</v>
      </c>
      <c r="C17" s="7"/>
      <c r="D17" s="7"/>
      <c r="E17" s="7"/>
      <c r="F17" s="4">
        <v>479.97</v>
      </c>
      <c r="I17" s="23"/>
      <c r="J17" s="23"/>
      <c r="K17" s="23"/>
    </row>
    <row r="18" spans="2:11" x14ac:dyDescent="0.3">
      <c r="B18" s="6">
        <v>166</v>
      </c>
      <c r="C18" s="7"/>
      <c r="D18" s="7"/>
      <c r="E18" s="7"/>
      <c r="F18" s="4"/>
      <c r="I18" s="23"/>
      <c r="J18" s="23">
        <v>67.63</v>
      </c>
      <c r="K18" s="23"/>
    </row>
    <row r="19" spans="2:11" x14ac:dyDescent="0.3">
      <c r="B19" s="6">
        <v>169</v>
      </c>
      <c r="C19" s="7"/>
      <c r="D19" s="7"/>
      <c r="E19" s="7"/>
      <c r="F19" s="4"/>
      <c r="I19" s="23">
        <v>79.599999999999994</v>
      </c>
      <c r="J19" s="23"/>
      <c r="K19" s="23"/>
    </row>
    <row r="20" spans="2:11" x14ac:dyDescent="0.3">
      <c r="B20" s="6">
        <v>170</v>
      </c>
      <c r="C20" s="3">
        <v>511.4083333333333</v>
      </c>
      <c r="D20" s="7"/>
      <c r="E20" s="7"/>
      <c r="F20" s="4"/>
      <c r="I20" s="23"/>
      <c r="J20" s="23"/>
      <c r="K20" s="23"/>
    </row>
    <row r="21" spans="2:11" x14ac:dyDescent="0.3">
      <c r="B21" s="6">
        <v>171</v>
      </c>
      <c r="C21" s="7"/>
      <c r="D21" s="8">
        <v>673.92333333333329</v>
      </c>
      <c r="E21" s="7"/>
      <c r="F21" s="4">
        <v>274.83</v>
      </c>
      <c r="I21" s="23"/>
      <c r="J21" s="23"/>
      <c r="K21" s="23"/>
    </row>
    <row r="22" spans="2:11" x14ac:dyDescent="0.3">
      <c r="B22" s="6">
        <v>172</v>
      </c>
      <c r="C22" s="7"/>
      <c r="D22" s="8"/>
      <c r="E22" s="7"/>
      <c r="F22" s="4"/>
      <c r="I22" s="23"/>
      <c r="J22" s="23">
        <v>93.19</v>
      </c>
      <c r="K22" s="23"/>
    </row>
    <row r="23" spans="2:11" x14ac:dyDescent="0.3">
      <c r="B23" s="6">
        <v>173</v>
      </c>
      <c r="C23" s="7"/>
      <c r="D23" s="7"/>
      <c r="E23" s="7"/>
      <c r="F23" s="4">
        <v>298.435</v>
      </c>
      <c r="I23" s="23"/>
      <c r="J23" s="23"/>
      <c r="K23" s="23"/>
    </row>
    <row r="24" spans="2:11" x14ac:dyDescent="0.3">
      <c r="B24" s="6">
        <v>178</v>
      </c>
      <c r="C24" s="7"/>
      <c r="D24" s="7"/>
      <c r="E24" s="5">
        <v>343.78399999999999</v>
      </c>
      <c r="F24" s="4"/>
      <c r="I24" s="23"/>
      <c r="J24" s="23"/>
      <c r="K24" s="23"/>
    </row>
    <row r="25" spans="2:11" x14ac:dyDescent="0.3">
      <c r="B25" s="6">
        <v>179</v>
      </c>
      <c r="C25" s="7"/>
      <c r="D25" s="8">
        <v>993.41666666666663</v>
      </c>
      <c r="E25" s="7"/>
      <c r="F25" s="4">
        <v>209.41499999999996</v>
      </c>
      <c r="I25" s="23"/>
      <c r="J25" s="23"/>
      <c r="K25" s="23"/>
    </row>
    <row r="26" spans="2:11" x14ac:dyDescent="0.3">
      <c r="B26" s="6">
        <v>180</v>
      </c>
      <c r="C26" s="7"/>
      <c r="D26" s="8"/>
      <c r="E26" s="7"/>
      <c r="F26" s="4"/>
      <c r="I26" s="23"/>
      <c r="J26" s="23">
        <v>24.09</v>
      </c>
      <c r="K26" s="23"/>
    </row>
    <row r="27" spans="2:11" x14ac:dyDescent="0.3">
      <c r="B27" s="6">
        <v>181</v>
      </c>
      <c r="C27" s="3">
        <v>478.38500000000005</v>
      </c>
      <c r="D27" s="7"/>
      <c r="E27" s="7"/>
      <c r="F27" s="4"/>
      <c r="I27" s="23"/>
      <c r="J27" s="23"/>
      <c r="K27" s="23"/>
    </row>
    <row r="28" spans="2:11" x14ac:dyDescent="0.3">
      <c r="B28" s="6">
        <v>183</v>
      </c>
      <c r="C28" s="3"/>
      <c r="D28" s="7"/>
      <c r="E28" s="7"/>
      <c r="F28" s="4"/>
      <c r="I28" s="23">
        <v>45</v>
      </c>
      <c r="J28" s="23"/>
      <c r="K28" s="23"/>
    </row>
    <row r="29" spans="2:11" x14ac:dyDescent="0.3">
      <c r="B29" s="6">
        <v>185</v>
      </c>
      <c r="C29" s="3"/>
      <c r="D29" s="8">
        <v>59.705000000000005</v>
      </c>
      <c r="E29" s="7"/>
      <c r="F29" s="4"/>
      <c r="I29" s="23"/>
      <c r="J29" s="23"/>
      <c r="K29" s="23"/>
    </row>
    <row r="30" spans="2:11" x14ac:dyDescent="0.3">
      <c r="B30" s="6">
        <v>186</v>
      </c>
      <c r="C30" s="7"/>
      <c r="D30" s="7"/>
      <c r="E30" s="5">
        <v>236.09399999999997</v>
      </c>
      <c r="F30" s="4">
        <v>99.654999999999987</v>
      </c>
      <c r="I30" s="23"/>
      <c r="J30" s="23"/>
      <c r="K30" s="23"/>
    </row>
    <row r="31" spans="2:11" x14ac:dyDescent="0.3">
      <c r="B31" s="6">
        <v>187</v>
      </c>
      <c r="C31" s="7"/>
      <c r="D31" s="7"/>
      <c r="E31" s="5"/>
      <c r="F31" s="4"/>
      <c r="I31" s="23"/>
      <c r="J31" s="23">
        <v>28.36</v>
      </c>
      <c r="K31" s="23"/>
    </row>
    <row r="32" spans="2:11" x14ac:dyDescent="0.3">
      <c r="B32" s="6">
        <v>192</v>
      </c>
      <c r="C32" s="7"/>
      <c r="D32" s="8">
        <v>59.705000000000005</v>
      </c>
      <c r="E32" s="7"/>
      <c r="F32" s="4"/>
      <c r="I32" s="23"/>
      <c r="J32" s="23"/>
      <c r="K32" s="23"/>
    </row>
    <row r="33" spans="2:11" x14ac:dyDescent="0.3">
      <c r="B33" s="6">
        <v>193</v>
      </c>
      <c r="C33" s="7"/>
      <c r="D33" s="7"/>
      <c r="E33" s="5">
        <v>360.68400000000003</v>
      </c>
      <c r="F33" s="4">
        <v>93.241666666666674</v>
      </c>
      <c r="I33" s="23"/>
      <c r="J33" s="23"/>
      <c r="K33" s="23"/>
    </row>
    <row r="34" spans="2:11" x14ac:dyDescent="0.3">
      <c r="B34" s="6">
        <v>194</v>
      </c>
      <c r="C34" s="7"/>
      <c r="D34" s="7"/>
      <c r="E34" s="5"/>
      <c r="F34" s="4"/>
      <c r="I34" s="23"/>
      <c r="J34" s="23">
        <v>15.61</v>
      </c>
      <c r="K34" s="23"/>
    </row>
    <row r="35" spans="2:11" x14ac:dyDescent="0.3">
      <c r="B35" s="6">
        <v>195</v>
      </c>
      <c r="C35" s="3">
        <v>192.68833333333336</v>
      </c>
      <c r="D35" s="7"/>
      <c r="E35" s="7"/>
      <c r="F35" s="4"/>
      <c r="I35" s="23"/>
      <c r="J35" s="23"/>
      <c r="K35" s="23"/>
    </row>
    <row r="36" spans="2:11" x14ac:dyDescent="0.3">
      <c r="B36" s="6">
        <v>197</v>
      </c>
      <c r="C36" s="3"/>
      <c r="D36" s="7"/>
      <c r="E36" s="7"/>
      <c r="F36" s="4"/>
      <c r="I36" s="23">
        <v>72.8</v>
      </c>
      <c r="J36" s="23"/>
      <c r="K36" s="23"/>
    </row>
    <row r="37" spans="2:11" x14ac:dyDescent="0.3">
      <c r="B37" s="6">
        <v>200</v>
      </c>
      <c r="C37" s="7"/>
      <c r="D37" s="7"/>
      <c r="E37" s="4">
        <v>212.56400000000002</v>
      </c>
      <c r="F37" s="4">
        <v>73.610000000000014</v>
      </c>
      <c r="I37" s="23"/>
      <c r="J37" s="23"/>
      <c r="K37" s="23"/>
    </row>
    <row r="38" spans="2:11" x14ac:dyDescent="0.3">
      <c r="B38" s="6">
        <v>207</v>
      </c>
      <c r="C38" s="7"/>
      <c r="D38" s="7"/>
      <c r="E38" s="5">
        <v>246.78200000000001</v>
      </c>
      <c r="F38" s="4">
        <v>97.86</v>
      </c>
      <c r="I38" s="23"/>
      <c r="J38" s="23"/>
      <c r="K38" s="23"/>
    </row>
    <row r="39" spans="2:11" x14ac:dyDescent="0.3">
      <c r="B39" s="6">
        <v>208</v>
      </c>
      <c r="C39" s="7"/>
      <c r="D39" s="7"/>
      <c r="E39" s="5"/>
      <c r="F39" s="4"/>
      <c r="I39" s="23"/>
      <c r="J39" s="23">
        <v>2.84</v>
      </c>
      <c r="K39" s="23"/>
    </row>
    <row r="40" spans="2:11" x14ac:dyDescent="0.3">
      <c r="B40" s="6">
        <v>210</v>
      </c>
      <c r="C40" s="3">
        <v>126.07000000000001</v>
      </c>
      <c r="D40" s="7"/>
      <c r="E40" s="7"/>
      <c r="F40" s="4"/>
      <c r="I40" s="23"/>
      <c r="J40" s="23"/>
      <c r="K40" s="23"/>
    </row>
    <row r="41" spans="2:11" x14ac:dyDescent="0.3">
      <c r="B41" s="6">
        <v>211</v>
      </c>
      <c r="C41" s="3"/>
      <c r="D41" s="7"/>
      <c r="E41" s="7"/>
      <c r="F41" s="4"/>
      <c r="I41" s="23">
        <v>80.5</v>
      </c>
      <c r="J41" s="23"/>
      <c r="K41" s="23"/>
    </row>
    <row r="42" spans="2:11" x14ac:dyDescent="0.3">
      <c r="B42" s="6">
        <v>214</v>
      </c>
      <c r="C42" s="7"/>
      <c r="D42" s="7"/>
      <c r="E42" s="7"/>
      <c r="F42" s="4">
        <v>73.051666666666662</v>
      </c>
      <c r="I42" s="23"/>
      <c r="J42" s="23"/>
      <c r="K42" s="23"/>
    </row>
    <row r="43" spans="2:11" x14ac:dyDescent="0.3">
      <c r="B43" s="6">
        <v>220</v>
      </c>
      <c r="C43" s="7"/>
      <c r="D43" s="9">
        <v>45.276566895364518</v>
      </c>
      <c r="E43" s="7"/>
      <c r="F43" s="4"/>
      <c r="I43" s="23"/>
      <c r="J43" s="23"/>
      <c r="K43" s="23"/>
    </row>
    <row r="44" spans="2:11" x14ac:dyDescent="0.3">
      <c r="B44" s="6">
        <v>221</v>
      </c>
      <c r="C44" s="7"/>
      <c r="D44" s="7"/>
      <c r="E44" s="5">
        <v>361.03399999999999</v>
      </c>
      <c r="F44" s="4">
        <v>134.60333333333332</v>
      </c>
      <c r="I44" s="23"/>
      <c r="J44" s="23"/>
      <c r="K44" s="23"/>
    </row>
    <row r="45" spans="2:11" x14ac:dyDescent="0.3">
      <c r="B45" s="6">
        <v>222</v>
      </c>
      <c r="C45" s="7"/>
      <c r="D45" s="7"/>
      <c r="E45" s="5"/>
      <c r="F45" s="4"/>
      <c r="I45" s="23"/>
      <c r="J45" s="23">
        <v>7.12</v>
      </c>
      <c r="K45" s="23"/>
    </row>
    <row r="46" spans="2:11" x14ac:dyDescent="0.3">
      <c r="B46" s="6">
        <v>224</v>
      </c>
      <c r="C46" s="10">
        <v>223.83333333333334</v>
      </c>
      <c r="D46" s="7"/>
      <c r="E46" s="7"/>
      <c r="F46" s="4"/>
      <c r="I46" s="23"/>
      <c r="J46" s="23"/>
      <c r="K46" s="23"/>
    </row>
    <row r="47" spans="2:11" x14ac:dyDescent="0.3">
      <c r="B47" s="6">
        <v>225</v>
      </c>
      <c r="C47" s="10"/>
      <c r="D47" s="7"/>
      <c r="E47" s="7"/>
      <c r="F47" s="4"/>
      <c r="I47" s="23">
        <v>146.69999999999999</v>
      </c>
      <c r="J47" s="23"/>
      <c r="K47" s="23"/>
    </row>
    <row r="48" spans="2:11" x14ac:dyDescent="0.3">
      <c r="B48" s="6">
        <v>228</v>
      </c>
      <c r="C48" s="7"/>
      <c r="D48" s="7"/>
      <c r="E48" s="7"/>
      <c r="F48" s="4">
        <v>175.93666666666664</v>
      </c>
      <c r="I48" s="23"/>
      <c r="J48" s="23"/>
      <c r="K48" s="23"/>
    </row>
    <row r="49" spans="2:11" x14ac:dyDescent="0.3">
      <c r="B49" s="6">
        <v>234</v>
      </c>
      <c r="C49" s="7"/>
      <c r="D49" s="9">
        <v>13.528333333333334</v>
      </c>
      <c r="E49" s="7"/>
      <c r="F49" s="4"/>
      <c r="I49" s="23"/>
      <c r="J49" s="23"/>
      <c r="K49" s="23"/>
    </row>
    <row r="50" spans="2:11" x14ac:dyDescent="0.3">
      <c r="B50" s="6">
        <v>235</v>
      </c>
      <c r="C50" s="7"/>
      <c r="D50" s="7"/>
      <c r="E50" s="10">
        <v>544.1</v>
      </c>
      <c r="F50" s="4">
        <v>181.48</v>
      </c>
      <c r="I50" s="23"/>
      <c r="J50" s="23"/>
      <c r="K50" s="23"/>
    </row>
    <row r="51" spans="2:11" x14ac:dyDescent="0.3">
      <c r="B51" s="6">
        <v>236</v>
      </c>
      <c r="C51" s="7"/>
      <c r="D51" s="7"/>
      <c r="E51" s="10"/>
      <c r="F51" s="4"/>
      <c r="I51" s="23"/>
      <c r="J51" s="23">
        <v>3.22</v>
      </c>
      <c r="K51" s="23"/>
    </row>
    <row r="52" spans="2:11" x14ac:dyDescent="0.3">
      <c r="B52" s="6">
        <v>241</v>
      </c>
      <c r="C52" s="7"/>
      <c r="D52" s="7"/>
      <c r="E52" s="7"/>
      <c r="F52" s="4">
        <v>75.653333333333336</v>
      </c>
      <c r="I52" s="23"/>
      <c r="J52" s="23"/>
      <c r="K52" s="23"/>
    </row>
    <row r="53" spans="2:11" x14ac:dyDescent="0.3">
      <c r="B53" s="11">
        <v>249</v>
      </c>
      <c r="C53" s="7"/>
      <c r="D53" s="7"/>
      <c r="E53" s="7"/>
      <c r="F53" s="10">
        <v>97.283333333333346</v>
      </c>
      <c r="I53" s="23"/>
      <c r="J53" s="23"/>
      <c r="K53" s="23"/>
    </row>
    <row r="54" spans="2:11" x14ac:dyDescent="0.3">
      <c r="B54" s="11">
        <v>250</v>
      </c>
      <c r="C54" s="7"/>
      <c r="D54" s="7"/>
      <c r="E54" s="7"/>
      <c r="F54" s="10"/>
      <c r="I54" s="23"/>
      <c r="J54" s="23" t="s">
        <v>12</v>
      </c>
      <c r="K54" s="23"/>
    </row>
    <row r="55" spans="2:11" x14ac:dyDescent="0.3">
      <c r="B55" s="12">
        <v>251</v>
      </c>
      <c r="C55" s="7"/>
      <c r="D55" s="9">
        <v>0.5099999999999999</v>
      </c>
      <c r="E55" s="7"/>
      <c r="F55" s="7"/>
      <c r="I55" s="23"/>
      <c r="J55" s="23"/>
      <c r="K55" s="23"/>
    </row>
    <row r="56" spans="2:11" x14ac:dyDescent="0.3">
      <c r="B56" s="12">
        <v>262</v>
      </c>
      <c r="C56" s="7"/>
      <c r="D56" s="10">
        <v>9.9650000000000016</v>
      </c>
      <c r="E56" s="7"/>
      <c r="F56" s="7"/>
      <c r="I56" s="23"/>
      <c r="J56" s="23"/>
      <c r="K56" s="23"/>
    </row>
    <row r="57" spans="2:11" x14ac:dyDescent="0.3">
      <c r="I57" s="23"/>
      <c r="J57" s="23"/>
      <c r="K57" s="23"/>
    </row>
    <row r="58" spans="2:11" x14ac:dyDescent="0.3">
      <c r="B58" t="s">
        <v>6</v>
      </c>
      <c r="C58" s="18">
        <f>AVERAGE(C5:C56)</f>
        <v>361.4693666666667</v>
      </c>
      <c r="D58" s="18">
        <f t="shared" ref="D58:F58" si="0">AVERAGE(D5:D56)</f>
        <v>232.00373752858721</v>
      </c>
      <c r="E58" s="18">
        <f t="shared" si="0"/>
        <v>672.33100000000002</v>
      </c>
      <c r="F58" s="18">
        <f t="shared" si="0"/>
        <v>210.95645833333336</v>
      </c>
      <c r="I58" s="23">
        <f t="shared" ref="I58:J58" si="1">AVERAGE(I5:I56)</f>
        <v>302.48909090909092</v>
      </c>
      <c r="J58" s="23">
        <f t="shared" si="1"/>
        <v>34.268999999999998</v>
      </c>
      <c r="K58" s="23"/>
    </row>
    <row r="59" spans="2:11" x14ac:dyDescent="0.3">
      <c r="B59" t="s">
        <v>7</v>
      </c>
      <c r="C59" s="18">
        <f>MIN(C5:C56)</f>
        <v>126.07000000000001</v>
      </c>
      <c r="D59" s="18">
        <f t="shared" ref="D59:F59" si="2">MIN(D5:D56)</f>
        <v>0.5099999999999999</v>
      </c>
      <c r="E59" s="18">
        <f t="shared" si="2"/>
        <v>212.56400000000002</v>
      </c>
      <c r="F59" s="18">
        <f t="shared" si="2"/>
        <v>73.051666666666662</v>
      </c>
      <c r="I59" s="23">
        <f t="shared" ref="I59:J59" si="3">MIN(I5:I56)</f>
        <v>45</v>
      </c>
      <c r="J59" s="23">
        <f t="shared" si="3"/>
        <v>2.84</v>
      </c>
      <c r="K59" s="23"/>
    </row>
    <row r="60" spans="2:11" x14ac:dyDescent="0.3">
      <c r="B60" t="s">
        <v>8</v>
      </c>
      <c r="C60" s="18">
        <f>MAX(C5:C56)</f>
        <v>607.35</v>
      </c>
      <c r="D60" s="18">
        <f t="shared" ref="D60:F60" si="4">MAX(D5:D56)</f>
        <v>993.41666666666663</v>
      </c>
      <c r="E60" s="18">
        <f t="shared" si="4"/>
        <v>1901.8340000000001</v>
      </c>
      <c r="F60" s="18">
        <f t="shared" si="4"/>
        <v>556.62833333333333</v>
      </c>
      <c r="I60" s="23">
        <f t="shared" ref="I60:J60" si="5">MAX(I5:I56)</f>
        <v>815.23399999999992</v>
      </c>
      <c r="J60" s="23">
        <f t="shared" si="5"/>
        <v>93.19</v>
      </c>
      <c r="K60" s="23"/>
    </row>
  </sheetData>
  <mergeCells count="1">
    <mergeCell ref="C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5EE1-A8BB-41DB-8DF6-2188B4CCCC47}">
  <dimension ref="B2:K60"/>
  <sheetViews>
    <sheetView topLeftCell="A36" zoomScale="110" zoomScaleNormal="110" workbookViewId="0">
      <selection activeCell="M59" sqref="M59"/>
    </sheetView>
  </sheetViews>
  <sheetFormatPr defaultRowHeight="14.4" x14ac:dyDescent="0.3"/>
  <sheetData>
    <row r="2" spans="2:11" x14ac:dyDescent="0.3">
      <c r="C2" s="20" t="s">
        <v>5</v>
      </c>
      <c r="D2" s="20"/>
      <c r="E2" s="20"/>
      <c r="F2" s="20"/>
    </row>
    <row r="3" spans="2:11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21" t="s">
        <v>9</v>
      </c>
      <c r="J3" s="21" t="s">
        <v>10</v>
      </c>
      <c r="K3" s="21" t="s">
        <v>11</v>
      </c>
    </row>
    <row r="4" spans="2:11" ht="15.6" x14ac:dyDescent="0.3">
      <c r="B4" s="19">
        <v>127</v>
      </c>
      <c r="C4" s="19"/>
      <c r="D4" s="19"/>
      <c r="E4" s="19"/>
      <c r="F4" s="19"/>
      <c r="I4" s="21">
        <v>76.099999999999994</v>
      </c>
      <c r="J4" s="21"/>
      <c r="K4" s="21"/>
    </row>
    <row r="5" spans="2:11" x14ac:dyDescent="0.3">
      <c r="B5" s="2">
        <v>133</v>
      </c>
      <c r="C5" s="13">
        <v>75.464999999999989</v>
      </c>
      <c r="D5" s="14"/>
      <c r="E5" s="14"/>
      <c r="F5" s="14"/>
    </row>
    <row r="6" spans="2:11" x14ac:dyDescent="0.3">
      <c r="B6" s="2">
        <v>141</v>
      </c>
      <c r="C6" s="13">
        <v>126.94666666666667</v>
      </c>
      <c r="D6" s="14"/>
      <c r="E6" s="14"/>
      <c r="F6" s="14"/>
    </row>
    <row r="7" spans="2:11" x14ac:dyDescent="0.3">
      <c r="B7" s="2">
        <v>142</v>
      </c>
      <c r="C7" s="13"/>
      <c r="D7" s="14"/>
      <c r="E7" s="4">
        <v>351.904</v>
      </c>
      <c r="F7" s="14"/>
    </row>
    <row r="8" spans="2:11" x14ac:dyDescent="0.3">
      <c r="B8" s="2">
        <v>143</v>
      </c>
      <c r="C8" s="13"/>
      <c r="D8" s="14"/>
      <c r="E8" s="4"/>
      <c r="F8" s="14"/>
      <c r="I8" s="24">
        <v>402.68799999999999</v>
      </c>
    </row>
    <row r="9" spans="2:11" x14ac:dyDescent="0.3">
      <c r="B9" s="2">
        <v>145</v>
      </c>
      <c r="C9" s="13"/>
      <c r="D9" s="14"/>
      <c r="E9" s="4"/>
      <c r="F9" s="14"/>
      <c r="I9" s="24">
        <v>788.93399999999997</v>
      </c>
    </row>
    <row r="10" spans="2:11" x14ac:dyDescent="0.3">
      <c r="B10" s="2">
        <v>148</v>
      </c>
      <c r="C10" s="13">
        <v>218.61599999999999</v>
      </c>
      <c r="D10" s="14"/>
      <c r="E10" s="5">
        <v>329.46799999999996</v>
      </c>
      <c r="F10" s="14"/>
      <c r="I10" s="24">
        <v>524.904</v>
      </c>
    </row>
    <row r="11" spans="2:11" x14ac:dyDescent="0.3">
      <c r="B11" s="2">
        <v>152</v>
      </c>
      <c r="C11" s="13"/>
      <c r="D11" s="14"/>
      <c r="E11" s="4">
        <v>608.928</v>
      </c>
      <c r="F11" s="14"/>
      <c r="I11" s="24">
        <v>628.50199999999995</v>
      </c>
    </row>
    <row r="12" spans="2:11" x14ac:dyDescent="0.3">
      <c r="B12" s="6">
        <v>155</v>
      </c>
      <c r="C12" s="13">
        <v>351.04</v>
      </c>
      <c r="D12" s="15"/>
      <c r="E12" s="4">
        <v>311.274</v>
      </c>
      <c r="F12" s="4">
        <v>36.718333333333341</v>
      </c>
      <c r="I12" s="24">
        <v>434.81200000000001</v>
      </c>
    </row>
    <row r="13" spans="2:11" x14ac:dyDescent="0.3">
      <c r="B13" s="6">
        <v>156</v>
      </c>
      <c r="C13" s="13"/>
      <c r="D13" s="15"/>
      <c r="E13" s="4"/>
      <c r="F13" s="4"/>
      <c r="I13" s="24"/>
      <c r="J13" s="24">
        <v>238.59599999999995</v>
      </c>
    </row>
    <row r="14" spans="2:11" x14ac:dyDescent="0.3">
      <c r="B14" s="6">
        <v>162</v>
      </c>
      <c r="C14" s="13">
        <v>321.86499999999995</v>
      </c>
      <c r="D14" s="15"/>
      <c r="E14" s="15"/>
      <c r="F14" s="4"/>
      <c r="I14" s="24">
        <v>475.78600000000006</v>
      </c>
      <c r="J14" s="24">
        <v>187.334</v>
      </c>
    </row>
    <row r="15" spans="2:11" x14ac:dyDescent="0.3">
      <c r="B15" s="6">
        <v>163</v>
      </c>
      <c r="C15" s="15"/>
      <c r="D15" s="15"/>
      <c r="E15" s="15"/>
      <c r="F15" s="4">
        <v>121.60333333333331</v>
      </c>
    </row>
    <row r="16" spans="2:11" x14ac:dyDescent="0.3">
      <c r="B16" s="6">
        <v>164</v>
      </c>
      <c r="C16" s="15"/>
      <c r="D16" s="15"/>
      <c r="E16" s="5">
        <v>245.66199999999998</v>
      </c>
      <c r="F16" s="4"/>
    </row>
    <row r="17" spans="2:10" x14ac:dyDescent="0.3">
      <c r="B17" s="6">
        <v>165</v>
      </c>
      <c r="C17" s="15"/>
      <c r="D17" s="15"/>
      <c r="E17" s="15"/>
      <c r="F17" s="4">
        <v>110.42500000000001</v>
      </c>
    </row>
    <row r="18" spans="2:10" x14ac:dyDescent="0.3">
      <c r="B18" s="6">
        <v>166</v>
      </c>
      <c r="C18" s="15"/>
      <c r="D18" s="15"/>
      <c r="E18" s="15"/>
      <c r="F18" s="4"/>
      <c r="J18">
        <v>188.9</v>
      </c>
    </row>
    <row r="19" spans="2:10" x14ac:dyDescent="0.3">
      <c r="B19" s="6">
        <v>169</v>
      </c>
      <c r="C19" s="15"/>
      <c r="D19" s="15"/>
      <c r="E19" s="15"/>
      <c r="F19" s="4"/>
      <c r="I19">
        <v>407.2</v>
      </c>
    </row>
    <row r="20" spans="2:10" x14ac:dyDescent="0.3">
      <c r="B20" s="6">
        <v>170</v>
      </c>
      <c r="C20" s="13">
        <v>300.14500000000004</v>
      </c>
      <c r="D20" s="15"/>
      <c r="E20" s="15"/>
      <c r="F20" s="4"/>
    </row>
    <row r="21" spans="2:10" x14ac:dyDescent="0.3">
      <c r="B21" s="6">
        <v>171</v>
      </c>
      <c r="C21" s="15"/>
      <c r="D21" s="8">
        <v>56.871666666666663</v>
      </c>
      <c r="E21" s="15"/>
      <c r="F21" s="4">
        <v>263.61666666666662</v>
      </c>
    </row>
    <row r="22" spans="2:10" x14ac:dyDescent="0.3">
      <c r="B22" s="6">
        <v>172</v>
      </c>
      <c r="C22" s="15"/>
      <c r="D22" s="8"/>
      <c r="E22" s="15"/>
      <c r="F22" s="4"/>
      <c r="J22">
        <v>180</v>
      </c>
    </row>
    <row r="23" spans="2:10" x14ac:dyDescent="0.3">
      <c r="B23" s="6">
        <v>173</v>
      </c>
      <c r="C23" s="15"/>
      <c r="D23" s="15"/>
      <c r="E23" s="15"/>
      <c r="F23" s="4">
        <v>298.69166666666666</v>
      </c>
    </row>
    <row r="24" spans="2:10" x14ac:dyDescent="0.3">
      <c r="B24" s="6">
        <v>178</v>
      </c>
      <c r="C24" s="15"/>
      <c r="D24" s="15"/>
      <c r="E24" s="5">
        <v>243.76</v>
      </c>
      <c r="F24" s="4"/>
    </row>
    <row r="25" spans="2:10" x14ac:dyDescent="0.3">
      <c r="B25" s="6">
        <v>179</v>
      </c>
      <c r="C25" s="15"/>
      <c r="D25" s="8">
        <v>50.851666666666659</v>
      </c>
      <c r="E25" s="15"/>
      <c r="F25" s="4">
        <v>273.07333333333332</v>
      </c>
    </row>
    <row r="26" spans="2:10" x14ac:dyDescent="0.3">
      <c r="B26" s="6">
        <v>180</v>
      </c>
      <c r="C26" s="15"/>
      <c r="D26" s="8"/>
      <c r="E26" s="15"/>
      <c r="F26" s="4"/>
      <c r="J26">
        <v>128.69999999999999</v>
      </c>
    </row>
    <row r="27" spans="2:10" x14ac:dyDescent="0.3">
      <c r="B27" s="6">
        <v>181</v>
      </c>
      <c r="C27" s="13">
        <v>223.285</v>
      </c>
      <c r="D27" s="15"/>
      <c r="E27" s="15"/>
      <c r="F27" s="4"/>
    </row>
    <row r="28" spans="2:10" x14ac:dyDescent="0.3">
      <c r="B28" s="6">
        <v>183</v>
      </c>
      <c r="C28" s="13"/>
      <c r="D28" s="15"/>
      <c r="E28" s="15"/>
      <c r="F28" s="4"/>
      <c r="I28">
        <v>231.1</v>
      </c>
    </row>
    <row r="29" spans="2:10" x14ac:dyDescent="0.3">
      <c r="B29" s="6">
        <v>185</v>
      </c>
      <c r="C29" s="13"/>
      <c r="D29" s="8">
        <v>52.528333333333336</v>
      </c>
      <c r="E29" s="15"/>
      <c r="F29" s="4"/>
    </row>
    <row r="30" spans="2:10" x14ac:dyDescent="0.3">
      <c r="B30" s="6">
        <v>186</v>
      </c>
      <c r="C30" s="15"/>
      <c r="D30" s="15"/>
      <c r="E30" s="5">
        <v>244.70600000000005</v>
      </c>
      <c r="F30" s="4">
        <v>375.5216666666667</v>
      </c>
    </row>
    <row r="31" spans="2:10" x14ac:dyDescent="0.3">
      <c r="B31" s="6">
        <v>187</v>
      </c>
      <c r="C31" s="15"/>
      <c r="D31" s="15"/>
      <c r="E31" s="5"/>
      <c r="F31" s="4"/>
      <c r="J31">
        <v>214.1</v>
      </c>
    </row>
    <row r="32" spans="2:10" x14ac:dyDescent="0.3">
      <c r="B32" s="6">
        <v>192</v>
      </c>
      <c r="C32" s="15"/>
      <c r="D32" s="8">
        <v>52.528333333333336</v>
      </c>
      <c r="E32" s="15"/>
      <c r="F32" s="4"/>
    </row>
    <row r="33" spans="2:10" x14ac:dyDescent="0.3">
      <c r="B33" s="6">
        <v>193</v>
      </c>
      <c r="C33" s="15"/>
      <c r="D33" s="15"/>
      <c r="E33" s="5">
        <v>143.21600000000001</v>
      </c>
      <c r="F33" s="4">
        <v>412.42666666666673</v>
      </c>
    </row>
    <row r="34" spans="2:10" x14ac:dyDescent="0.3">
      <c r="B34" s="6">
        <v>194</v>
      </c>
      <c r="C34" s="15"/>
      <c r="D34" s="15"/>
      <c r="E34" s="5"/>
      <c r="F34" s="4"/>
      <c r="J34">
        <v>148.19999999999999</v>
      </c>
    </row>
    <row r="35" spans="2:10" x14ac:dyDescent="0.3">
      <c r="B35" s="6">
        <v>195</v>
      </c>
      <c r="C35" s="13">
        <v>265.25166666666667</v>
      </c>
      <c r="D35" s="15"/>
      <c r="E35" s="15"/>
      <c r="F35" s="4"/>
    </row>
    <row r="36" spans="2:10" x14ac:dyDescent="0.3">
      <c r="B36" s="6">
        <v>197</v>
      </c>
      <c r="C36" s="13"/>
      <c r="D36" s="15"/>
      <c r="E36" s="15"/>
      <c r="F36" s="4"/>
      <c r="I36">
        <v>182.1</v>
      </c>
    </row>
    <row r="37" spans="2:10" x14ac:dyDescent="0.3">
      <c r="B37" s="6">
        <v>200</v>
      </c>
      <c r="C37" s="15"/>
      <c r="D37" s="15"/>
      <c r="E37" s="4">
        <v>294.38200000000001</v>
      </c>
      <c r="F37" s="4">
        <v>377.91666666666669</v>
      </c>
    </row>
    <row r="38" spans="2:10" x14ac:dyDescent="0.3">
      <c r="B38" s="6">
        <v>207</v>
      </c>
      <c r="C38" s="15"/>
      <c r="D38" s="8">
        <v>46.939410901419166</v>
      </c>
      <c r="E38" s="5">
        <v>319.92400000000004</v>
      </c>
      <c r="F38" s="4">
        <v>381.10833333333329</v>
      </c>
    </row>
    <row r="39" spans="2:10" x14ac:dyDescent="0.3">
      <c r="B39" s="6">
        <v>208</v>
      </c>
      <c r="C39" s="15"/>
      <c r="D39" s="8"/>
      <c r="E39" s="5"/>
      <c r="F39" s="4"/>
      <c r="J39">
        <v>154</v>
      </c>
    </row>
    <row r="40" spans="2:10" x14ac:dyDescent="0.3">
      <c r="B40" s="6">
        <v>210</v>
      </c>
      <c r="C40" s="13">
        <v>120.23833333333334</v>
      </c>
      <c r="D40" s="15"/>
      <c r="E40" s="15"/>
      <c r="F40" s="4"/>
    </row>
    <row r="41" spans="2:10" x14ac:dyDescent="0.3">
      <c r="B41" s="6">
        <v>211</v>
      </c>
      <c r="C41" s="13"/>
      <c r="D41" s="15"/>
      <c r="E41" s="15"/>
      <c r="F41" s="4"/>
      <c r="I41">
        <v>80.2</v>
      </c>
    </row>
    <row r="42" spans="2:10" x14ac:dyDescent="0.3">
      <c r="B42" s="6">
        <v>214</v>
      </c>
      <c r="C42" s="15"/>
      <c r="D42" s="15"/>
      <c r="E42" s="15"/>
      <c r="F42" s="4">
        <v>292.7716666666667</v>
      </c>
    </row>
    <row r="43" spans="2:10" x14ac:dyDescent="0.3">
      <c r="B43" s="6">
        <v>220</v>
      </c>
      <c r="C43" s="15"/>
      <c r="D43" s="9">
        <v>36.817941111337163</v>
      </c>
      <c r="E43" s="15"/>
      <c r="F43" s="4"/>
    </row>
    <row r="44" spans="2:10" x14ac:dyDescent="0.3">
      <c r="B44" s="6">
        <v>221</v>
      </c>
      <c r="C44" s="15"/>
      <c r="D44" s="15"/>
      <c r="E44" s="5">
        <v>167.422</v>
      </c>
      <c r="F44" s="4">
        <v>335.82499999999999</v>
      </c>
    </row>
    <row r="45" spans="2:10" x14ac:dyDescent="0.3">
      <c r="B45" s="6">
        <v>222</v>
      </c>
      <c r="C45" s="15"/>
      <c r="D45" s="15"/>
      <c r="E45" s="5"/>
      <c r="F45" s="4"/>
      <c r="J45">
        <v>150.80000000000001</v>
      </c>
    </row>
    <row r="46" spans="2:10" x14ac:dyDescent="0.3">
      <c r="B46" s="6">
        <v>224</v>
      </c>
      <c r="C46" s="16">
        <v>87.21833333333332</v>
      </c>
      <c r="D46" s="15"/>
      <c r="E46" s="15"/>
      <c r="F46" s="4"/>
    </row>
    <row r="47" spans="2:10" x14ac:dyDescent="0.3">
      <c r="B47" s="6">
        <v>225</v>
      </c>
      <c r="C47" s="16"/>
      <c r="D47" s="15"/>
      <c r="E47" s="15"/>
      <c r="F47" s="4"/>
      <c r="I47">
        <v>21.1</v>
      </c>
    </row>
    <row r="48" spans="2:10" x14ac:dyDescent="0.3">
      <c r="B48" s="6">
        <v>228</v>
      </c>
      <c r="C48" s="15"/>
      <c r="D48" s="15"/>
      <c r="E48" s="15"/>
      <c r="F48" s="4">
        <v>363.7283333333333</v>
      </c>
    </row>
    <row r="49" spans="2:10" x14ac:dyDescent="0.3">
      <c r="B49" s="6">
        <v>234</v>
      </c>
      <c r="C49" s="15"/>
      <c r="D49" s="9">
        <v>58.386666666666663</v>
      </c>
      <c r="E49" s="15"/>
      <c r="F49" s="4"/>
    </row>
    <row r="50" spans="2:10" x14ac:dyDescent="0.3">
      <c r="B50" s="6">
        <v>235</v>
      </c>
      <c r="C50" s="15"/>
      <c r="D50" s="15"/>
      <c r="E50" s="16">
        <v>215.52999999999997</v>
      </c>
      <c r="F50" s="4">
        <v>224.60999999999999</v>
      </c>
    </row>
    <row r="51" spans="2:10" x14ac:dyDescent="0.3">
      <c r="B51" s="6">
        <v>236</v>
      </c>
      <c r="C51" s="15"/>
      <c r="D51" s="15"/>
      <c r="E51" s="16"/>
      <c r="F51" s="4"/>
      <c r="J51">
        <v>72</v>
      </c>
    </row>
    <row r="52" spans="2:10" x14ac:dyDescent="0.3">
      <c r="B52" s="6">
        <v>241</v>
      </c>
      <c r="C52" s="15"/>
      <c r="D52" s="15"/>
      <c r="E52" s="15"/>
      <c r="F52" s="4">
        <v>158.95833333333334</v>
      </c>
    </row>
    <row r="53" spans="2:10" x14ac:dyDescent="0.3">
      <c r="B53" s="11">
        <v>249</v>
      </c>
      <c r="C53" s="15"/>
      <c r="D53" s="15"/>
      <c r="E53" s="15"/>
      <c r="F53" s="16">
        <v>260.07</v>
      </c>
    </row>
    <row r="54" spans="2:10" x14ac:dyDescent="0.3">
      <c r="B54" s="11">
        <v>250</v>
      </c>
      <c r="C54" s="15"/>
      <c r="D54" s="15"/>
      <c r="E54" s="15"/>
      <c r="F54" s="16"/>
      <c r="J54">
        <v>60.4</v>
      </c>
    </row>
    <row r="55" spans="2:10" x14ac:dyDescent="0.3">
      <c r="B55" s="12">
        <v>251</v>
      </c>
      <c r="C55" s="15"/>
      <c r="D55" s="9">
        <v>19.593333333333334</v>
      </c>
      <c r="E55" s="15"/>
      <c r="F55" s="15"/>
    </row>
    <row r="56" spans="2:10" x14ac:dyDescent="0.3">
      <c r="B56" s="12">
        <v>262</v>
      </c>
      <c r="C56" s="15"/>
      <c r="D56" s="16">
        <v>33.098333333333336</v>
      </c>
      <c r="E56" s="15"/>
      <c r="F56" s="15"/>
    </row>
    <row r="58" spans="2:10" x14ac:dyDescent="0.3">
      <c r="B58" t="s">
        <v>6</v>
      </c>
      <c r="C58" s="18">
        <f>AVERAGE(C5:C56)</f>
        <v>209.00709999999998</v>
      </c>
      <c r="D58" s="18">
        <f t="shared" ref="D58:F58" si="0">AVERAGE(D5:D56)</f>
        <v>45.290631705121072</v>
      </c>
      <c r="E58" s="18">
        <f t="shared" si="0"/>
        <v>289.68133333333338</v>
      </c>
      <c r="F58" s="18">
        <f t="shared" si="0"/>
        <v>267.94156249999997</v>
      </c>
      <c r="I58" s="18">
        <f t="shared" ref="I58:J58" si="1">AVERAGE(I5:I56)</f>
        <v>379.75690909090912</v>
      </c>
      <c r="J58" s="18">
        <f t="shared" si="1"/>
        <v>156.6390909090909</v>
      </c>
    </row>
    <row r="59" spans="2:10" x14ac:dyDescent="0.3">
      <c r="B59" t="s">
        <v>7</v>
      </c>
      <c r="C59" s="18">
        <f>MIN(C5:C56)</f>
        <v>75.464999999999989</v>
      </c>
      <c r="D59" s="18">
        <f t="shared" ref="D59:F59" si="2">MIN(D5:D56)</f>
        <v>19.593333333333334</v>
      </c>
      <c r="E59" s="18">
        <f t="shared" si="2"/>
        <v>143.21600000000001</v>
      </c>
      <c r="F59" s="18">
        <f t="shared" si="2"/>
        <v>36.718333333333341</v>
      </c>
      <c r="I59" s="18">
        <f t="shared" ref="I59:J59" si="3">MIN(I5:I56)</f>
        <v>21.1</v>
      </c>
      <c r="J59" s="18">
        <f t="shared" si="3"/>
        <v>60.4</v>
      </c>
    </row>
    <row r="60" spans="2:10" x14ac:dyDescent="0.3">
      <c r="B60" t="s">
        <v>8</v>
      </c>
      <c r="C60" s="18">
        <f>MAX(C5:C56)</f>
        <v>351.04</v>
      </c>
      <c r="D60" s="18">
        <f t="shared" ref="D60:F60" si="4">MAX(D5:D56)</f>
        <v>58.386666666666663</v>
      </c>
      <c r="E60" s="18">
        <f t="shared" si="4"/>
        <v>608.928</v>
      </c>
      <c r="F60" s="18">
        <f t="shared" si="4"/>
        <v>412.42666666666673</v>
      </c>
      <c r="I60" s="18">
        <f t="shared" ref="I60:J60" si="5">MAX(I5:I56)</f>
        <v>788.93399999999997</v>
      </c>
      <c r="J60" s="18">
        <f t="shared" si="5"/>
        <v>238.59599999999995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D16E-28AE-43EF-8791-C14BC0DA940F}">
  <dimension ref="B2:L60"/>
  <sheetViews>
    <sheetView topLeftCell="A31" workbookViewId="0">
      <selection activeCell="O52" sqref="O52"/>
    </sheetView>
  </sheetViews>
  <sheetFormatPr defaultRowHeight="14.4" x14ac:dyDescent="0.3"/>
  <sheetData>
    <row r="2" spans="2:12" x14ac:dyDescent="0.3">
      <c r="C2" s="20" t="s">
        <v>5</v>
      </c>
      <c r="D2" s="20"/>
      <c r="E2" s="20"/>
      <c r="F2" s="20"/>
    </row>
    <row r="3" spans="2:12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J3" s="21" t="s">
        <v>9</v>
      </c>
      <c r="K3" s="21" t="s">
        <v>10</v>
      </c>
      <c r="L3" s="21" t="s">
        <v>11</v>
      </c>
    </row>
    <row r="4" spans="2:12" ht="15.6" x14ac:dyDescent="0.3">
      <c r="B4" s="19">
        <v>127</v>
      </c>
      <c r="C4" s="19"/>
      <c r="D4" s="19"/>
      <c r="E4" s="19"/>
      <c r="F4" s="19"/>
      <c r="J4" s="21">
        <v>28.4</v>
      </c>
      <c r="K4" s="21"/>
      <c r="L4" s="21"/>
    </row>
    <row r="5" spans="2:12" x14ac:dyDescent="0.3">
      <c r="B5" s="2">
        <v>133</v>
      </c>
      <c r="C5" s="13">
        <v>59.864999999999988</v>
      </c>
      <c r="D5" s="14"/>
      <c r="E5" s="14"/>
      <c r="F5" s="14"/>
    </row>
    <row r="6" spans="2:12" x14ac:dyDescent="0.3">
      <c r="B6" s="2">
        <v>141</v>
      </c>
      <c r="C6" s="13">
        <v>33.720000000000006</v>
      </c>
      <c r="D6" s="14"/>
      <c r="E6" s="14"/>
      <c r="F6" s="14"/>
    </row>
    <row r="7" spans="2:12" x14ac:dyDescent="0.3">
      <c r="B7" s="2">
        <v>142</v>
      </c>
      <c r="C7" s="13"/>
      <c r="D7" s="14"/>
      <c r="E7" s="4">
        <v>81.126000000000005</v>
      </c>
      <c r="F7" s="14"/>
    </row>
    <row r="8" spans="2:12" x14ac:dyDescent="0.3">
      <c r="B8" s="2">
        <v>143</v>
      </c>
      <c r="C8" s="13"/>
      <c r="D8" s="14"/>
      <c r="E8" s="4"/>
      <c r="F8" s="14"/>
      <c r="J8" s="24">
        <v>610.62599999999998</v>
      </c>
    </row>
    <row r="9" spans="2:12" x14ac:dyDescent="0.3">
      <c r="B9" s="2">
        <v>145</v>
      </c>
      <c r="C9" s="13"/>
      <c r="D9" s="14"/>
      <c r="E9" s="4"/>
      <c r="F9" s="14"/>
      <c r="J9" s="24">
        <v>289.24</v>
      </c>
    </row>
    <row r="10" spans="2:12" x14ac:dyDescent="0.3">
      <c r="B10" s="2">
        <v>148</v>
      </c>
      <c r="C10" s="13">
        <v>10.596</v>
      </c>
      <c r="D10" s="14"/>
      <c r="E10" s="5">
        <v>6.4159999999999995</v>
      </c>
      <c r="F10" s="14"/>
      <c r="J10" s="24">
        <v>56.375999999999998</v>
      </c>
    </row>
    <row r="11" spans="2:12" x14ac:dyDescent="0.3">
      <c r="B11" s="2">
        <v>152</v>
      </c>
      <c r="C11" s="13"/>
      <c r="D11" s="14"/>
      <c r="E11" s="4">
        <v>49.124000000000002</v>
      </c>
      <c r="F11" s="14"/>
      <c r="J11" s="24">
        <v>157.06</v>
      </c>
    </row>
    <row r="12" spans="2:12" x14ac:dyDescent="0.3">
      <c r="B12" s="6">
        <v>155</v>
      </c>
      <c r="C12" s="13">
        <v>12.368333333333332</v>
      </c>
      <c r="D12" s="15"/>
      <c r="E12" s="4">
        <v>34.613999999999997</v>
      </c>
      <c r="F12" s="4">
        <v>220.1</v>
      </c>
      <c r="J12" s="24">
        <v>44.564</v>
      </c>
    </row>
    <row r="13" spans="2:12" x14ac:dyDescent="0.3">
      <c r="B13" s="6">
        <v>156</v>
      </c>
      <c r="C13" s="13"/>
      <c r="D13" s="15"/>
      <c r="E13" s="4"/>
      <c r="F13" s="4"/>
      <c r="J13" s="24"/>
      <c r="K13" s="18">
        <v>144.94</v>
      </c>
    </row>
    <row r="14" spans="2:12" x14ac:dyDescent="0.3">
      <c r="B14" s="6">
        <v>162</v>
      </c>
      <c r="C14" s="13">
        <v>12.79</v>
      </c>
      <c r="D14" s="15"/>
      <c r="E14" s="15"/>
      <c r="F14" s="4"/>
      <c r="J14" s="24">
        <v>291.39800000000002</v>
      </c>
      <c r="K14" s="18">
        <v>42.061999999999998</v>
      </c>
    </row>
    <row r="15" spans="2:12" x14ac:dyDescent="0.3">
      <c r="B15" s="6">
        <v>163</v>
      </c>
      <c r="C15" s="15"/>
      <c r="D15" s="15"/>
      <c r="E15" s="15"/>
      <c r="F15" s="4">
        <v>135.35499999999999</v>
      </c>
    </row>
    <row r="16" spans="2:12" x14ac:dyDescent="0.3">
      <c r="B16" s="6">
        <v>164</v>
      </c>
      <c r="C16" s="15"/>
      <c r="D16" s="15"/>
      <c r="E16" s="5">
        <v>109.70599999999999</v>
      </c>
      <c r="F16" s="4"/>
    </row>
    <row r="17" spans="2:11" x14ac:dyDescent="0.3">
      <c r="B17" s="6">
        <v>165</v>
      </c>
      <c r="C17" s="15"/>
      <c r="D17" s="15"/>
      <c r="E17" s="15"/>
      <c r="F17" s="4">
        <v>51.918333333333329</v>
      </c>
    </row>
    <row r="18" spans="2:11" x14ac:dyDescent="0.3">
      <c r="B18" s="6">
        <v>166</v>
      </c>
      <c r="C18" s="15"/>
      <c r="D18" s="15"/>
      <c r="E18" s="15"/>
      <c r="F18" s="4"/>
      <c r="K18">
        <v>41.55</v>
      </c>
    </row>
    <row r="19" spans="2:11" x14ac:dyDescent="0.3">
      <c r="B19" s="6">
        <v>169</v>
      </c>
      <c r="C19" s="15"/>
      <c r="D19" s="15"/>
      <c r="E19" s="15"/>
      <c r="F19" s="4"/>
      <c r="J19">
        <v>402.2</v>
      </c>
    </row>
    <row r="20" spans="2:11" x14ac:dyDescent="0.3">
      <c r="B20" s="6">
        <v>170</v>
      </c>
      <c r="C20" s="13">
        <v>32.383333333333333</v>
      </c>
      <c r="D20" s="15"/>
      <c r="E20" s="15"/>
      <c r="F20" s="4"/>
    </row>
    <row r="21" spans="2:11" x14ac:dyDescent="0.3">
      <c r="B21" s="6">
        <v>172</v>
      </c>
      <c r="C21" s="13"/>
      <c r="D21" s="15"/>
      <c r="E21" s="15"/>
      <c r="F21" s="4"/>
      <c r="K21">
        <v>39.43</v>
      </c>
    </row>
    <row r="22" spans="2:11" x14ac:dyDescent="0.3">
      <c r="B22" s="6">
        <v>171</v>
      </c>
      <c r="C22" s="15"/>
      <c r="D22" s="8">
        <v>79.396666666666661</v>
      </c>
      <c r="E22" s="15"/>
      <c r="F22" s="4">
        <v>113.64833333333333</v>
      </c>
    </row>
    <row r="23" spans="2:11" x14ac:dyDescent="0.3">
      <c r="B23" s="6">
        <v>173</v>
      </c>
      <c r="C23" s="15"/>
      <c r="D23" s="15"/>
      <c r="E23" s="15"/>
      <c r="F23" s="4">
        <v>138.65833333333333</v>
      </c>
    </row>
    <row r="24" spans="2:11" x14ac:dyDescent="0.3">
      <c r="B24" s="6">
        <v>178</v>
      </c>
      <c r="C24" s="15"/>
      <c r="D24" s="15"/>
      <c r="E24" s="5">
        <v>38.19</v>
      </c>
      <c r="F24" s="4"/>
    </row>
    <row r="25" spans="2:11" x14ac:dyDescent="0.3">
      <c r="B25" s="6">
        <v>179</v>
      </c>
      <c r="C25" s="15"/>
      <c r="D25" s="8">
        <v>117.69666666666667</v>
      </c>
      <c r="E25" s="15"/>
      <c r="F25" s="4">
        <v>100.895</v>
      </c>
    </row>
    <row r="26" spans="2:11" x14ac:dyDescent="0.3">
      <c r="B26" s="6">
        <v>180</v>
      </c>
      <c r="C26" s="15"/>
      <c r="D26" s="8"/>
      <c r="E26" s="15"/>
      <c r="F26" s="4"/>
      <c r="K26">
        <v>25.58</v>
      </c>
    </row>
    <row r="27" spans="2:11" x14ac:dyDescent="0.3">
      <c r="B27" s="6">
        <v>181</v>
      </c>
      <c r="C27" s="13">
        <v>25.803333333333338</v>
      </c>
      <c r="D27" s="15"/>
      <c r="E27" s="15"/>
      <c r="F27" s="4"/>
    </row>
    <row r="28" spans="2:11" x14ac:dyDescent="0.3">
      <c r="B28" s="6">
        <v>183</v>
      </c>
      <c r="C28" s="13"/>
      <c r="D28" s="15"/>
      <c r="E28" s="15"/>
      <c r="F28" s="4"/>
      <c r="J28">
        <v>125.6</v>
      </c>
    </row>
    <row r="29" spans="2:11" x14ac:dyDescent="0.3">
      <c r="B29" s="6">
        <v>185</v>
      </c>
      <c r="C29" s="13"/>
      <c r="D29" s="8">
        <v>41.221666666666671</v>
      </c>
      <c r="E29" s="15"/>
      <c r="F29" s="4"/>
    </row>
    <row r="30" spans="2:11" x14ac:dyDescent="0.3">
      <c r="B30" s="6">
        <v>186</v>
      </c>
      <c r="C30" s="15"/>
      <c r="D30" s="15"/>
      <c r="E30" s="5">
        <v>44.903999999999996</v>
      </c>
      <c r="F30" s="4">
        <v>102.84999999999998</v>
      </c>
    </row>
    <row r="31" spans="2:11" x14ac:dyDescent="0.3">
      <c r="B31" s="6">
        <v>187</v>
      </c>
      <c r="C31" s="15"/>
      <c r="D31" s="15"/>
      <c r="E31" s="5"/>
      <c r="F31" s="4"/>
      <c r="K31">
        <v>13.13</v>
      </c>
    </row>
    <row r="32" spans="2:11" x14ac:dyDescent="0.3">
      <c r="B32" s="6">
        <v>192</v>
      </c>
      <c r="C32" s="15"/>
      <c r="D32" s="8">
        <v>41.221666666666671</v>
      </c>
      <c r="E32" s="15"/>
      <c r="F32" s="4"/>
    </row>
    <row r="33" spans="2:11" x14ac:dyDescent="0.3">
      <c r="B33" s="6">
        <v>193</v>
      </c>
      <c r="C33" s="15"/>
      <c r="D33" s="15"/>
      <c r="E33" s="5">
        <v>9.2519999999999989</v>
      </c>
      <c r="F33" s="4">
        <v>80.726666666666674</v>
      </c>
    </row>
    <row r="34" spans="2:11" x14ac:dyDescent="0.3">
      <c r="B34" s="6">
        <v>194</v>
      </c>
      <c r="C34" s="15"/>
      <c r="D34" s="15"/>
      <c r="E34" s="5"/>
      <c r="F34" s="4"/>
      <c r="K34">
        <v>4.71</v>
      </c>
    </row>
    <row r="35" spans="2:11" x14ac:dyDescent="0.3">
      <c r="B35" s="6">
        <v>195</v>
      </c>
      <c r="C35" s="13">
        <v>46.101666666666667</v>
      </c>
      <c r="D35" s="15"/>
      <c r="E35" s="15"/>
      <c r="F35" s="4"/>
    </row>
    <row r="36" spans="2:11" x14ac:dyDescent="0.3">
      <c r="B36" s="6">
        <v>197</v>
      </c>
      <c r="C36" s="13"/>
      <c r="D36" s="15"/>
      <c r="E36" s="15"/>
      <c r="F36" s="4"/>
      <c r="J36">
        <v>74</v>
      </c>
    </row>
    <row r="37" spans="2:11" x14ac:dyDescent="0.3">
      <c r="B37" s="6">
        <v>200</v>
      </c>
      <c r="C37" s="15"/>
      <c r="D37" s="15"/>
      <c r="E37" s="4">
        <v>3.7660000000000005</v>
      </c>
      <c r="F37" s="4">
        <v>84.088333333333324</v>
      </c>
    </row>
    <row r="38" spans="2:11" x14ac:dyDescent="0.3">
      <c r="B38" s="6">
        <v>207</v>
      </c>
      <c r="C38" s="15"/>
      <c r="D38" s="8">
        <v>55.216782593058412</v>
      </c>
      <c r="E38" s="5">
        <v>39.106000000000002</v>
      </c>
      <c r="F38" s="4">
        <v>71.263333333333335</v>
      </c>
    </row>
    <row r="39" spans="2:11" x14ac:dyDescent="0.3">
      <c r="B39" s="6">
        <v>208</v>
      </c>
      <c r="C39" s="15"/>
      <c r="D39" s="8"/>
      <c r="E39" s="5"/>
      <c r="F39" s="4"/>
      <c r="K39">
        <v>5.92</v>
      </c>
    </row>
    <row r="40" spans="2:11" x14ac:dyDescent="0.3">
      <c r="B40" s="6">
        <v>210</v>
      </c>
      <c r="C40" s="13">
        <v>26.936666666666667</v>
      </c>
      <c r="D40" s="15"/>
      <c r="E40" s="15"/>
      <c r="F40" s="4"/>
    </row>
    <row r="41" spans="2:11" x14ac:dyDescent="0.3">
      <c r="B41" s="6">
        <v>211</v>
      </c>
      <c r="C41" s="13"/>
      <c r="D41" s="15"/>
      <c r="E41" s="15"/>
      <c r="F41" s="4"/>
      <c r="J41">
        <v>78</v>
      </c>
    </row>
    <row r="42" spans="2:11" x14ac:dyDescent="0.3">
      <c r="B42" s="6">
        <v>214</v>
      </c>
      <c r="C42" s="15"/>
      <c r="D42" s="15"/>
      <c r="E42" s="15"/>
      <c r="F42" s="4">
        <v>26.923333333333332</v>
      </c>
    </row>
    <row r="43" spans="2:11" x14ac:dyDescent="0.3">
      <c r="B43" s="6">
        <v>220</v>
      </c>
      <c r="C43" s="15"/>
      <c r="D43" s="9">
        <v>45.452628918514961</v>
      </c>
      <c r="E43" s="15"/>
      <c r="F43" s="4"/>
    </row>
    <row r="44" spans="2:11" x14ac:dyDescent="0.3">
      <c r="B44" s="6">
        <v>221</v>
      </c>
      <c r="C44" s="15"/>
      <c r="D44" s="15"/>
      <c r="E44" s="5">
        <v>1.6580000000000001</v>
      </c>
      <c r="F44" s="4">
        <v>63.926666666666677</v>
      </c>
    </row>
    <row r="45" spans="2:11" x14ac:dyDescent="0.3">
      <c r="B45" s="6">
        <v>222</v>
      </c>
      <c r="C45" s="15"/>
      <c r="D45" s="15"/>
      <c r="E45" s="5"/>
      <c r="F45" s="4"/>
      <c r="K45">
        <v>2.06</v>
      </c>
    </row>
    <row r="46" spans="2:11" x14ac:dyDescent="0.3">
      <c r="B46" s="6">
        <v>224</v>
      </c>
      <c r="C46" s="16">
        <v>75.283333333333331</v>
      </c>
      <c r="D46" s="15"/>
      <c r="E46" s="15"/>
      <c r="F46" s="4"/>
    </row>
    <row r="47" spans="2:11" x14ac:dyDescent="0.3">
      <c r="B47" s="6">
        <v>225</v>
      </c>
      <c r="C47" s="16"/>
      <c r="D47" s="15"/>
      <c r="E47" s="15"/>
      <c r="F47" s="4"/>
      <c r="J47">
        <v>112.4</v>
      </c>
    </row>
    <row r="48" spans="2:11" x14ac:dyDescent="0.3">
      <c r="B48" s="6">
        <v>228</v>
      </c>
      <c r="C48" s="15"/>
      <c r="D48" s="15"/>
      <c r="E48" s="15"/>
      <c r="F48" s="4">
        <v>109.71333333333335</v>
      </c>
    </row>
    <row r="49" spans="2:11" x14ac:dyDescent="0.3">
      <c r="B49" s="6">
        <v>234</v>
      </c>
      <c r="C49" s="15"/>
      <c r="D49" s="9">
        <v>6.2366666666666672</v>
      </c>
      <c r="E49" s="15"/>
      <c r="F49" s="4"/>
    </row>
    <row r="50" spans="2:11" x14ac:dyDescent="0.3">
      <c r="B50" s="6">
        <v>235</v>
      </c>
      <c r="C50" s="15"/>
      <c r="D50" s="15"/>
      <c r="E50" s="16">
        <v>0.15</v>
      </c>
      <c r="F50" s="4">
        <v>78.99166666666666</v>
      </c>
    </row>
    <row r="51" spans="2:11" x14ac:dyDescent="0.3">
      <c r="B51" s="6">
        <v>236</v>
      </c>
      <c r="C51" s="15"/>
      <c r="D51" s="15"/>
      <c r="E51" s="16"/>
      <c r="F51" s="4"/>
      <c r="K51">
        <v>2.5099999999999998</v>
      </c>
    </row>
    <row r="52" spans="2:11" x14ac:dyDescent="0.3">
      <c r="B52" s="6">
        <v>241</v>
      </c>
      <c r="C52" s="15"/>
      <c r="D52" s="15"/>
      <c r="E52" s="15"/>
      <c r="F52" s="4">
        <v>19.401666666666667</v>
      </c>
    </row>
    <row r="53" spans="2:11" x14ac:dyDescent="0.3">
      <c r="B53" s="11">
        <v>249</v>
      </c>
      <c r="C53" s="15"/>
      <c r="D53" s="15"/>
      <c r="E53" s="15"/>
      <c r="F53" s="16">
        <v>72.018333333333331</v>
      </c>
    </row>
    <row r="54" spans="2:11" x14ac:dyDescent="0.3">
      <c r="B54" s="11">
        <v>250</v>
      </c>
      <c r="C54" s="15"/>
      <c r="D54" s="15"/>
      <c r="E54" s="15"/>
      <c r="F54" s="16"/>
      <c r="K54">
        <v>0.31</v>
      </c>
    </row>
    <row r="55" spans="2:11" x14ac:dyDescent="0.3">
      <c r="B55" s="12">
        <v>251</v>
      </c>
      <c r="C55" s="15"/>
      <c r="D55" s="9">
        <v>0.38999999999999996</v>
      </c>
      <c r="E55" s="15"/>
      <c r="F55" s="15"/>
    </row>
    <row r="56" spans="2:11" x14ac:dyDescent="0.3">
      <c r="B56" s="12">
        <v>262</v>
      </c>
      <c r="C56" s="15"/>
      <c r="D56" s="16">
        <v>9.1866666666666674</v>
      </c>
      <c r="E56" s="15"/>
      <c r="F56" s="15"/>
    </row>
    <row r="58" spans="2:11" x14ac:dyDescent="0.3">
      <c r="B58" t="s">
        <v>6</v>
      </c>
      <c r="C58" s="18">
        <f>AVERAGE(C5:C56)</f>
        <v>33.584766666666667</v>
      </c>
      <c r="D58" s="18">
        <f t="shared" ref="D58:F58" si="0">AVERAGE(D5:D56)</f>
        <v>44.002156834619271</v>
      </c>
      <c r="E58" s="18">
        <f t="shared" si="0"/>
        <v>34.834333333333333</v>
      </c>
      <c r="F58" s="18">
        <f t="shared" si="0"/>
        <v>91.904895833333342</v>
      </c>
      <c r="J58" s="18">
        <f t="shared" ref="J58:K58" si="1">AVERAGE(J5:J56)</f>
        <v>203.76945454545458</v>
      </c>
      <c r="K58" s="18">
        <f t="shared" si="1"/>
        <v>29.291090909090908</v>
      </c>
    </row>
    <row r="59" spans="2:11" x14ac:dyDescent="0.3">
      <c r="B59" t="s">
        <v>7</v>
      </c>
      <c r="C59" s="18">
        <f>MIN(C5:C56)</f>
        <v>10.596</v>
      </c>
      <c r="D59" s="18">
        <f t="shared" ref="D59:F59" si="2">MIN(D5:D56)</f>
        <v>0.38999999999999996</v>
      </c>
      <c r="E59" s="18">
        <f t="shared" si="2"/>
        <v>0.15</v>
      </c>
      <c r="F59" s="18">
        <f t="shared" si="2"/>
        <v>19.401666666666667</v>
      </c>
      <c r="J59" s="18">
        <f t="shared" ref="J59:K59" si="3">MIN(J5:J56)</f>
        <v>44.564</v>
      </c>
      <c r="K59" s="18">
        <f t="shared" si="3"/>
        <v>0.31</v>
      </c>
    </row>
    <row r="60" spans="2:11" x14ac:dyDescent="0.3">
      <c r="B60" t="s">
        <v>8</v>
      </c>
      <c r="C60" s="18">
        <f>MAX(C5:C56)</f>
        <v>75.283333333333331</v>
      </c>
      <c r="D60" s="18">
        <f t="shared" ref="D60:F60" si="4">MAX(D5:D56)</f>
        <v>117.69666666666667</v>
      </c>
      <c r="E60" s="18">
        <f t="shared" si="4"/>
        <v>109.70599999999999</v>
      </c>
      <c r="F60" s="18">
        <f t="shared" si="4"/>
        <v>220.1</v>
      </c>
      <c r="J60" s="18">
        <f t="shared" ref="J60:K60" si="5">MAX(J5:J56)</f>
        <v>610.62599999999998</v>
      </c>
      <c r="K60" s="18">
        <f t="shared" si="5"/>
        <v>144.94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7AFC-C092-4FEF-A16A-59D9B6629A17}">
  <dimension ref="B2:K60"/>
  <sheetViews>
    <sheetView topLeftCell="A31" workbookViewId="0">
      <selection activeCell="M56" sqref="M56"/>
    </sheetView>
  </sheetViews>
  <sheetFormatPr defaultRowHeight="14.4" x14ac:dyDescent="0.3"/>
  <sheetData>
    <row r="2" spans="2:11" x14ac:dyDescent="0.3">
      <c r="C2" s="20" t="s">
        <v>5</v>
      </c>
      <c r="D2" s="20"/>
      <c r="E2" s="20"/>
      <c r="F2" s="20"/>
    </row>
    <row r="3" spans="2:11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21" t="s">
        <v>9</v>
      </c>
      <c r="J3" s="21" t="s">
        <v>10</v>
      </c>
      <c r="K3" s="21" t="s">
        <v>11</v>
      </c>
    </row>
    <row r="4" spans="2:11" ht="15.6" x14ac:dyDescent="0.3">
      <c r="B4" s="19">
        <v>127</v>
      </c>
      <c r="C4" s="19"/>
      <c r="D4" s="19"/>
      <c r="E4" s="19"/>
      <c r="F4" s="19"/>
      <c r="I4" s="21">
        <v>0.57999999999999996</v>
      </c>
      <c r="J4" s="21"/>
      <c r="K4" s="21"/>
    </row>
    <row r="5" spans="2:11" x14ac:dyDescent="0.3">
      <c r="B5" s="2">
        <v>133</v>
      </c>
      <c r="C5" s="13">
        <v>0.64333333333333342</v>
      </c>
      <c r="D5" s="14"/>
      <c r="E5" s="14"/>
      <c r="F5" s="14"/>
    </row>
    <row r="6" spans="2:11" x14ac:dyDescent="0.3">
      <c r="B6" s="2">
        <v>141</v>
      </c>
      <c r="C6" s="13">
        <v>2.6966666666666668</v>
      </c>
      <c r="D6" s="14"/>
      <c r="E6" s="14"/>
      <c r="F6" s="14"/>
    </row>
    <row r="7" spans="2:11" x14ac:dyDescent="0.3">
      <c r="B7" s="2">
        <v>142</v>
      </c>
      <c r="C7" s="13"/>
      <c r="D7" s="14"/>
      <c r="E7" s="4">
        <v>6.0259999999999998</v>
      </c>
      <c r="F7" s="14"/>
    </row>
    <row r="8" spans="2:11" x14ac:dyDescent="0.3">
      <c r="B8" s="2">
        <v>143</v>
      </c>
      <c r="C8" s="13"/>
      <c r="D8" s="14"/>
      <c r="E8" s="4"/>
      <c r="F8" s="14"/>
      <c r="I8" s="18">
        <v>0.77200000000000002</v>
      </c>
    </row>
    <row r="9" spans="2:11" x14ac:dyDescent="0.3">
      <c r="B9" s="2">
        <v>145</v>
      </c>
      <c r="C9" s="13"/>
      <c r="D9" s="14"/>
      <c r="E9" s="4"/>
      <c r="F9" s="14"/>
      <c r="I9" s="18">
        <v>1.0100000000000002</v>
      </c>
    </row>
    <row r="10" spans="2:11" x14ac:dyDescent="0.3">
      <c r="B10" s="2">
        <v>148</v>
      </c>
      <c r="C10" s="13">
        <v>0.76400000000000001</v>
      </c>
      <c r="D10" s="14"/>
      <c r="E10" s="5">
        <v>7.3159999999999998</v>
      </c>
      <c r="F10" s="14"/>
      <c r="I10" s="18">
        <v>3.0979999999999999</v>
      </c>
    </row>
    <row r="11" spans="2:11" x14ac:dyDescent="0.3">
      <c r="B11" s="2">
        <v>152</v>
      </c>
      <c r="C11" s="13"/>
      <c r="D11" s="14"/>
      <c r="E11" s="4">
        <v>1.2819999999999998</v>
      </c>
      <c r="F11" s="14"/>
      <c r="I11" s="18">
        <v>1.02</v>
      </c>
    </row>
    <row r="12" spans="2:11" x14ac:dyDescent="0.3">
      <c r="B12" s="6">
        <v>155</v>
      </c>
      <c r="C12" s="13">
        <v>16.984999999999999</v>
      </c>
      <c r="D12" s="15"/>
      <c r="E12" s="4">
        <v>0.85199999999999998</v>
      </c>
      <c r="F12" s="4">
        <v>1.915</v>
      </c>
      <c r="I12" s="18">
        <v>0.64800000000000002</v>
      </c>
    </row>
    <row r="13" spans="2:11" x14ac:dyDescent="0.3">
      <c r="B13" s="6">
        <v>156</v>
      </c>
      <c r="C13" s="13"/>
      <c r="D13" s="15"/>
      <c r="E13" s="4"/>
      <c r="F13" s="4"/>
      <c r="I13" s="18"/>
      <c r="J13" s="18">
        <v>3.68</v>
      </c>
    </row>
    <row r="14" spans="2:11" x14ac:dyDescent="0.3">
      <c r="B14" s="6">
        <v>162</v>
      </c>
      <c r="C14" s="13">
        <v>4.9116666666666662</v>
      </c>
      <c r="D14" s="15"/>
      <c r="E14" s="15"/>
      <c r="F14" s="4"/>
      <c r="I14" s="18">
        <v>0.16200000000000001</v>
      </c>
      <c r="J14" s="18">
        <v>1.69</v>
      </c>
    </row>
    <row r="15" spans="2:11" x14ac:dyDescent="0.3">
      <c r="B15" s="6">
        <v>163</v>
      </c>
      <c r="C15" s="15"/>
      <c r="D15" s="15"/>
      <c r="E15" s="15"/>
      <c r="F15" s="4">
        <v>0.59</v>
      </c>
    </row>
    <row r="16" spans="2:11" x14ac:dyDescent="0.3">
      <c r="B16" s="6">
        <v>164</v>
      </c>
      <c r="C16" s="15"/>
      <c r="D16" s="15"/>
      <c r="E16" s="5">
        <v>3.2620000000000005</v>
      </c>
      <c r="F16" s="4"/>
    </row>
    <row r="17" spans="2:10" x14ac:dyDescent="0.3">
      <c r="B17" s="6">
        <v>165</v>
      </c>
      <c r="C17" s="15"/>
      <c r="D17" s="15"/>
      <c r="E17" s="15"/>
      <c r="F17" s="4">
        <v>0.4316666666666667</v>
      </c>
    </row>
    <row r="18" spans="2:10" x14ac:dyDescent="0.3">
      <c r="B18" s="6">
        <v>166</v>
      </c>
      <c r="C18" s="15"/>
      <c r="D18" s="15"/>
      <c r="E18" s="15"/>
      <c r="F18" s="4"/>
      <c r="J18">
        <v>1.8</v>
      </c>
    </row>
    <row r="19" spans="2:10" x14ac:dyDescent="0.3">
      <c r="B19" s="6">
        <v>169</v>
      </c>
      <c r="C19" s="15"/>
      <c r="D19" s="15"/>
      <c r="E19" s="15"/>
      <c r="F19" s="4"/>
      <c r="I19">
        <v>0.3</v>
      </c>
    </row>
    <row r="20" spans="2:10" x14ac:dyDescent="0.3">
      <c r="B20" s="6">
        <v>170</v>
      </c>
      <c r="C20" s="13">
        <v>0.40833333333333338</v>
      </c>
      <c r="D20" s="15"/>
      <c r="E20" s="15"/>
      <c r="F20" s="4"/>
    </row>
    <row r="21" spans="2:10" x14ac:dyDescent="0.3">
      <c r="B21" s="6">
        <v>171</v>
      </c>
      <c r="C21" s="15"/>
      <c r="D21" s="8">
        <v>0.08</v>
      </c>
      <c r="E21" s="15"/>
      <c r="F21" s="4">
        <v>0.16</v>
      </c>
    </row>
    <row r="22" spans="2:10" x14ac:dyDescent="0.3">
      <c r="B22" s="6">
        <v>172</v>
      </c>
      <c r="C22" s="15"/>
      <c r="D22" s="8"/>
      <c r="E22" s="15"/>
      <c r="F22" s="4"/>
      <c r="J22">
        <v>0.66</v>
      </c>
    </row>
    <row r="23" spans="2:10" x14ac:dyDescent="0.3">
      <c r="B23" s="6">
        <v>173</v>
      </c>
      <c r="C23" s="15"/>
      <c r="D23" s="15"/>
      <c r="E23" s="15"/>
      <c r="F23" s="4">
        <v>9.1666666666666674E-2</v>
      </c>
    </row>
    <row r="24" spans="2:10" x14ac:dyDescent="0.3">
      <c r="B24" s="6">
        <v>178</v>
      </c>
      <c r="C24" s="15"/>
      <c r="D24" s="15"/>
      <c r="E24" s="5">
        <v>5.7240000000000002</v>
      </c>
      <c r="F24" s="4"/>
    </row>
    <row r="25" spans="2:10" x14ac:dyDescent="0.3">
      <c r="B25" s="6">
        <v>179</v>
      </c>
      <c r="C25" s="15"/>
      <c r="D25" s="8">
        <v>0.32</v>
      </c>
      <c r="E25" s="15"/>
      <c r="F25" s="4">
        <v>0.31</v>
      </c>
    </row>
    <row r="26" spans="2:10" x14ac:dyDescent="0.3">
      <c r="B26" s="6">
        <v>180</v>
      </c>
      <c r="C26" s="15"/>
      <c r="D26" s="8"/>
      <c r="E26" s="15"/>
      <c r="F26" s="4"/>
      <c r="J26">
        <v>2.85</v>
      </c>
    </row>
    <row r="27" spans="2:10" x14ac:dyDescent="0.3">
      <c r="B27" s="6">
        <v>181</v>
      </c>
      <c r="C27" s="13">
        <v>0.79</v>
      </c>
      <c r="D27" s="15"/>
      <c r="E27" s="15"/>
      <c r="F27" s="4"/>
    </row>
    <row r="28" spans="2:10" x14ac:dyDescent="0.3">
      <c r="B28" s="6">
        <v>183</v>
      </c>
      <c r="C28" s="13"/>
      <c r="D28" s="15"/>
      <c r="E28" s="15"/>
      <c r="F28" s="4"/>
      <c r="I28">
        <v>3.85</v>
      </c>
    </row>
    <row r="29" spans="2:10" x14ac:dyDescent="0.3">
      <c r="B29" s="6">
        <v>185</v>
      </c>
      <c r="C29" s="13"/>
      <c r="D29" s="8">
        <v>0.16</v>
      </c>
      <c r="E29" s="15"/>
      <c r="F29" s="4"/>
    </row>
    <row r="30" spans="2:10" x14ac:dyDescent="0.3">
      <c r="B30" s="6">
        <v>186</v>
      </c>
      <c r="C30" s="15"/>
      <c r="D30" s="15"/>
      <c r="E30" s="5">
        <v>14.102</v>
      </c>
      <c r="F30" s="4">
        <v>0.55833333333333335</v>
      </c>
    </row>
    <row r="31" spans="2:10" x14ac:dyDescent="0.3">
      <c r="B31" s="6">
        <v>187</v>
      </c>
      <c r="C31" s="15"/>
      <c r="D31" s="15"/>
      <c r="E31" s="5"/>
      <c r="F31" s="4"/>
      <c r="J31">
        <v>4.04</v>
      </c>
    </row>
    <row r="32" spans="2:10" x14ac:dyDescent="0.3">
      <c r="B32" s="6">
        <v>192</v>
      </c>
      <c r="C32" s="15"/>
      <c r="D32" s="8">
        <v>0.16</v>
      </c>
      <c r="E32" s="15"/>
      <c r="F32" s="4"/>
    </row>
    <row r="33" spans="2:10" x14ac:dyDescent="0.3">
      <c r="B33" s="6">
        <v>193</v>
      </c>
      <c r="C33" s="15"/>
      <c r="D33" s="15"/>
      <c r="E33" s="5">
        <v>5.806</v>
      </c>
      <c r="F33" s="4">
        <v>0.26999999999999996</v>
      </c>
    </row>
    <row r="34" spans="2:10" x14ac:dyDescent="0.3">
      <c r="B34" s="6">
        <v>194</v>
      </c>
      <c r="C34" s="15"/>
      <c r="D34" s="15"/>
      <c r="E34" s="5"/>
      <c r="F34" s="4"/>
      <c r="J34">
        <v>14.66</v>
      </c>
    </row>
    <row r="35" spans="2:10" x14ac:dyDescent="0.3">
      <c r="B35" s="6">
        <v>195</v>
      </c>
      <c r="C35" s="13">
        <v>0.3066666666666667</v>
      </c>
      <c r="D35" s="15"/>
      <c r="E35" s="15"/>
      <c r="F35" s="4"/>
    </row>
    <row r="36" spans="2:10" x14ac:dyDescent="0.3">
      <c r="B36" s="6">
        <v>197</v>
      </c>
      <c r="C36" s="13"/>
      <c r="D36" s="15"/>
      <c r="E36" s="15"/>
      <c r="F36" s="4"/>
      <c r="I36">
        <v>3.9</v>
      </c>
    </row>
    <row r="37" spans="2:10" x14ac:dyDescent="0.3">
      <c r="B37" s="6">
        <v>200</v>
      </c>
      <c r="C37" s="15"/>
      <c r="D37" s="15"/>
      <c r="E37" s="4">
        <v>7.7439999999999998</v>
      </c>
      <c r="F37" s="4">
        <v>2.0550000000000002</v>
      </c>
    </row>
    <row r="38" spans="2:10" x14ac:dyDescent="0.3">
      <c r="B38" s="6">
        <v>207</v>
      </c>
      <c r="C38" s="15"/>
      <c r="D38" s="8">
        <v>0.18119288512538811</v>
      </c>
      <c r="E38" s="5">
        <v>2.532</v>
      </c>
      <c r="F38" s="4">
        <v>3.3666666666666658</v>
      </c>
    </row>
    <row r="39" spans="2:10" x14ac:dyDescent="0.3">
      <c r="B39" s="6">
        <v>208</v>
      </c>
      <c r="C39" s="15"/>
      <c r="D39" s="8"/>
      <c r="E39" s="5"/>
      <c r="F39" s="4"/>
      <c r="J39">
        <v>3.06</v>
      </c>
    </row>
    <row r="40" spans="2:10" x14ac:dyDescent="0.3">
      <c r="B40" s="6">
        <v>210</v>
      </c>
      <c r="C40" s="13">
        <v>0.11166666666666665</v>
      </c>
      <c r="D40" s="15"/>
      <c r="E40" s="15"/>
      <c r="F40" s="4"/>
    </row>
    <row r="41" spans="2:10" x14ac:dyDescent="0.3">
      <c r="B41" s="6">
        <v>211</v>
      </c>
      <c r="C41" s="13"/>
      <c r="D41" s="15"/>
      <c r="E41" s="15"/>
      <c r="F41" s="4"/>
      <c r="I41">
        <v>3.19</v>
      </c>
    </row>
    <row r="42" spans="2:10" x14ac:dyDescent="0.3">
      <c r="B42" s="6">
        <v>214</v>
      </c>
      <c r="C42" s="15"/>
      <c r="D42" s="15"/>
      <c r="E42" s="15"/>
      <c r="F42" s="4">
        <v>4.2850000000000001</v>
      </c>
    </row>
    <row r="43" spans="2:10" x14ac:dyDescent="0.3">
      <c r="B43" s="6">
        <v>220</v>
      </c>
      <c r="C43" s="15"/>
      <c r="D43" s="9">
        <v>0.14201252281006493</v>
      </c>
      <c r="E43" s="15"/>
      <c r="F43" s="4"/>
    </row>
    <row r="44" spans="2:10" x14ac:dyDescent="0.3">
      <c r="B44" s="6">
        <v>221</v>
      </c>
      <c r="C44" s="15"/>
      <c r="D44" s="15"/>
      <c r="E44" s="5">
        <v>0.8640000000000001</v>
      </c>
      <c r="F44" s="4">
        <v>1.8166666666666667</v>
      </c>
    </row>
    <row r="45" spans="2:10" x14ac:dyDescent="0.3">
      <c r="B45" s="6">
        <v>222</v>
      </c>
      <c r="C45" s="15"/>
      <c r="D45" s="15"/>
      <c r="E45" s="5"/>
      <c r="F45" s="4"/>
      <c r="J45">
        <v>1.1499999999999999</v>
      </c>
    </row>
    <row r="46" spans="2:10" x14ac:dyDescent="0.3">
      <c r="B46" s="6">
        <v>224</v>
      </c>
      <c r="C46" s="16">
        <v>0.60166666666666668</v>
      </c>
      <c r="D46" s="15"/>
      <c r="E46" s="15"/>
      <c r="F46" s="4"/>
    </row>
    <row r="47" spans="2:10" x14ac:dyDescent="0.3">
      <c r="B47" s="6">
        <v>225</v>
      </c>
      <c r="C47" s="16"/>
      <c r="D47" s="15"/>
      <c r="E47" s="15"/>
      <c r="F47" s="4"/>
      <c r="I47">
        <v>4.93</v>
      </c>
    </row>
    <row r="48" spans="2:10" x14ac:dyDescent="0.3">
      <c r="B48" s="6">
        <v>228</v>
      </c>
      <c r="C48" s="15"/>
      <c r="D48" s="15"/>
      <c r="E48" s="15"/>
      <c r="F48" s="4">
        <v>1.6416666666666664</v>
      </c>
    </row>
    <row r="49" spans="2:10" x14ac:dyDescent="0.3">
      <c r="B49" s="6">
        <v>234</v>
      </c>
      <c r="C49" s="15"/>
      <c r="D49" s="9">
        <v>1.9233333333333331</v>
      </c>
      <c r="E49" s="15"/>
      <c r="F49" s="4"/>
    </row>
    <row r="50" spans="2:10" x14ac:dyDescent="0.3">
      <c r="B50" s="6">
        <v>235</v>
      </c>
      <c r="C50" s="15"/>
      <c r="D50" s="15"/>
      <c r="E50" s="16">
        <v>0.54600000000000004</v>
      </c>
      <c r="F50" s="4">
        <v>0.2283333333333333</v>
      </c>
    </row>
    <row r="51" spans="2:10" x14ac:dyDescent="0.3">
      <c r="B51" s="6">
        <v>236</v>
      </c>
      <c r="C51" s="15"/>
      <c r="D51" s="15"/>
      <c r="E51" s="16"/>
      <c r="F51" s="4"/>
      <c r="J51">
        <v>1.88</v>
      </c>
    </row>
    <row r="52" spans="2:10" x14ac:dyDescent="0.3">
      <c r="B52" s="6">
        <v>241</v>
      </c>
      <c r="C52" s="15"/>
      <c r="D52" s="15"/>
      <c r="E52" s="15"/>
      <c r="F52" s="4">
        <v>1.6766666666666667</v>
      </c>
    </row>
    <row r="53" spans="2:10" x14ac:dyDescent="0.3">
      <c r="B53" s="11">
        <v>249</v>
      </c>
      <c r="C53" s="15"/>
      <c r="D53" s="15"/>
      <c r="E53" s="15"/>
      <c r="F53" s="16">
        <v>0.91500000000000004</v>
      </c>
    </row>
    <row r="54" spans="2:10" x14ac:dyDescent="0.3">
      <c r="B54" s="11">
        <v>250</v>
      </c>
      <c r="C54" s="15"/>
      <c r="D54" s="15"/>
      <c r="E54" s="15"/>
      <c r="F54" s="16"/>
      <c r="J54">
        <v>1.9</v>
      </c>
    </row>
    <row r="55" spans="2:10" x14ac:dyDescent="0.3">
      <c r="B55" s="12">
        <v>251</v>
      </c>
      <c r="C55" s="15"/>
      <c r="D55" s="9">
        <v>1.68</v>
      </c>
      <c r="E55" s="15"/>
      <c r="F55" s="15"/>
    </row>
    <row r="56" spans="2:10" x14ac:dyDescent="0.3">
      <c r="B56" s="12">
        <v>262</v>
      </c>
      <c r="C56" s="15"/>
      <c r="D56" s="16">
        <v>7.2516666666666678</v>
      </c>
      <c r="E56" s="15"/>
      <c r="F56" s="15"/>
    </row>
    <row r="58" spans="2:10" x14ac:dyDescent="0.3">
      <c r="B58" t="s">
        <v>6</v>
      </c>
      <c r="C58" s="18">
        <f>AVERAGE(C5:C56)</f>
        <v>2.8219000000000003</v>
      </c>
      <c r="D58" s="18">
        <f t="shared" ref="D58:F58" si="0">AVERAGE(D5:D56)</f>
        <v>1.3220228231039393</v>
      </c>
      <c r="E58" s="18">
        <f t="shared" si="0"/>
        <v>4.6713333333333331</v>
      </c>
      <c r="F58" s="18">
        <f t="shared" si="0"/>
        <v>1.2694791666666663</v>
      </c>
      <c r="I58" s="18">
        <f t="shared" ref="I58:J58" si="1">AVERAGE(I5:I56)</f>
        <v>2.08</v>
      </c>
      <c r="J58" s="18">
        <f t="shared" si="1"/>
        <v>3.397272727272727</v>
      </c>
    </row>
    <row r="59" spans="2:10" x14ac:dyDescent="0.3">
      <c r="B59" t="s">
        <v>7</v>
      </c>
      <c r="C59" s="18">
        <f>MIN(C5:C56)</f>
        <v>0.11166666666666665</v>
      </c>
      <c r="D59" s="18">
        <f t="shared" ref="D59:F59" si="2">MIN(D5:D56)</f>
        <v>0.08</v>
      </c>
      <c r="E59" s="18">
        <f t="shared" si="2"/>
        <v>0.54600000000000004</v>
      </c>
      <c r="F59" s="18">
        <f t="shared" si="2"/>
        <v>9.1666666666666674E-2</v>
      </c>
      <c r="I59" s="18">
        <f t="shared" ref="I59:J59" si="3">MIN(I5:I56)</f>
        <v>0.16200000000000001</v>
      </c>
      <c r="J59" s="18">
        <f t="shared" si="3"/>
        <v>0.66</v>
      </c>
    </row>
    <row r="60" spans="2:10" x14ac:dyDescent="0.3">
      <c r="B60" t="s">
        <v>8</v>
      </c>
      <c r="C60" s="18">
        <f>MAX(C5:C56)</f>
        <v>16.984999999999999</v>
      </c>
      <c r="D60" s="18">
        <f t="shared" ref="D60:F60" si="4">MAX(D5:D56)</f>
        <v>7.2516666666666678</v>
      </c>
      <c r="E60" s="18">
        <f t="shared" si="4"/>
        <v>14.102</v>
      </c>
      <c r="F60" s="18">
        <f t="shared" si="4"/>
        <v>4.2850000000000001</v>
      </c>
      <c r="I60" s="18">
        <f t="shared" ref="I60:J60" si="5">MAX(I5:I56)</f>
        <v>4.93</v>
      </c>
      <c r="J60" s="18">
        <f t="shared" si="5"/>
        <v>14.66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0025-DCB7-4B50-BEFB-45F41B302089}">
  <dimension ref="B2:K59"/>
  <sheetViews>
    <sheetView tabSelected="1" topLeftCell="A35" workbookViewId="0">
      <selection activeCell="Q57" sqref="Q57"/>
    </sheetView>
  </sheetViews>
  <sheetFormatPr defaultRowHeight="14.4" x14ac:dyDescent="0.3"/>
  <sheetData>
    <row r="2" spans="2:11" x14ac:dyDescent="0.3">
      <c r="C2" s="20" t="s">
        <v>5</v>
      </c>
      <c r="D2" s="20"/>
      <c r="E2" s="20"/>
      <c r="F2" s="20"/>
    </row>
    <row r="3" spans="2:11" ht="15.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21" t="s">
        <v>9</v>
      </c>
      <c r="J3" s="21" t="s">
        <v>10</v>
      </c>
      <c r="K3" s="21" t="s">
        <v>11</v>
      </c>
    </row>
    <row r="4" spans="2:11" ht="15.6" x14ac:dyDescent="0.3">
      <c r="B4" s="19">
        <v>127</v>
      </c>
      <c r="C4" s="19"/>
      <c r="D4" s="19"/>
      <c r="E4" s="19"/>
      <c r="F4" s="19"/>
      <c r="I4" s="21">
        <v>85.8</v>
      </c>
      <c r="J4" s="21"/>
      <c r="K4" s="21"/>
    </row>
    <row r="5" spans="2:11" x14ac:dyDescent="0.3">
      <c r="B5" s="2">
        <v>133</v>
      </c>
      <c r="C5" s="13">
        <v>11.083333333333334</v>
      </c>
      <c r="D5" s="14"/>
      <c r="E5" s="14"/>
      <c r="F5" s="14"/>
    </row>
    <row r="6" spans="2:11" x14ac:dyDescent="0.3">
      <c r="B6" s="2">
        <v>141</v>
      </c>
      <c r="C6" s="13">
        <v>7.6483333333333325</v>
      </c>
      <c r="D6" s="14"/>
      <c r="E6" s="14"/>
      <c r="F6" s="14"/>
    </row>
    <row r="7" spans="2:11" x14ac:dyDescent="0.3">
      <c r="B7" s="2">
        <v>142</v>
      </c>
      <c r="C7" s="13"/>
      <c r="D7" s="14"/>
      <c r="E7" s="4">
        <v>5.4000000000000006E-2</v>
      </c>
      <c r="F7" s="14"/>
    </row>
    <row r="8" spans="2:11" x14ac:dyDescent="0.3">
      <c r="B8" s="2">
        <v>143</v>
      </c>
      <c r="C8" s="13"/>
      <c r="D8" s="14"/>
      <c r="E8" s="4"/>
      <c r="F8" s="14"/>
      <c r="I8" s="18">
        <v>89.521999999999991</v>
      </c>
    </row>
    <row r="9" spans="2:11" x14ac:dyDescent="0.3">
      <c r="B9" s="2">
        <v>145</v>
      </c>
      <c r="C9" s="13"/>
      <c r="D9" s="14"/>
      <c r="E9" s="4"/>
      <c r="F9" s="14"/>
      <c r="I9" s="18">
        <v>92.820000000000007</v>
      </c>
    </row>
    <row r="10" spans="2:11" x14ac:dyDescent="0.3">
      <c r="B10" s="2">
        <v>148</v>
      </c>
      <c r="C10" s="13">
        <v>2.5119999999999996</v>
      </c>
      <c r="D10" s="14"/>
      <c r="E10" s="5">
        <v>0.374</v>
      </c>
      <c r="F10" s="14"/>
      <c r="I10" s="18">
        <v>26.048000000000002</v>
      </c>
    </row>
    <row r="11" spans="2:11" x14ac:dyDescent="0.3">
      <c r="B11" s="2">
        <v>152</v>
      </c>
      <c r="C11" s="13"/>
      <c r="D11" s="14"/>
      <c r="E11" s="4">
        <v>0.10800000000000001</v>
      </c>
      <c r="F11" s="14"/>
      <c r="I11" s="18">
        <v>41.148000000000003</v>
      </c>
    </row>
    <row r="12" spans="2:11" x14ac:dyDescent="0.3">
      <c r="B12" s="6">
        <v>155</v>
      </c>
      <c r="C12" s="13">
        <v>10.761666666666668</v>
      </c>
      <c r="D12" s="15"/>
      <c r="E12" s="4">
        <v>0</v>
      </c>
      <c r="F12" s="4">
        <v>3.2583333333333329</v>
      </c>
      <c r="I12" s="18">
        <v>17.689999999999998</v>
      </c>
    </row>
    <row r="13" spans="2:11" x14ac:dyDescent="0.3">
      <c r="B13" s="6">
        <v>156</v>
      </c>
      <c r="C13" s="13"/>
      <c r="D13" s="15"/>
      <c r="E13" s="4"/>
      <c r="F13" s="4"/>
      <c r="I13" s="18"/>
      <c r="J13">
        <v>0.98</v>
      </c>
    </row>
    <row r="14" spans="2:11" x14ac:dyDescent="0.3">
      <c r="B14" s="6">
        <v>162</v>
      </c>
      <c r="C14" s="13">
        <v>2.6350000000000002</v>
      </c>
      <c r="D14" s="15"/>
      <c r="E14" s="15"/>
      <c r="F14" s="4"/>
      <c r="I14" s="18">
        <v>46.822000000000003</v>
      </c>
      <c r="J14">
        <v>0</v>
      </c>
    </row>
    <row r="15" spans="2:11" x14ac:dyDescent="0.3">
      <c r="B15" s="6">
        <v>163</v>
      </c>
      <c r="C15" s="15"/>
      <c r="D15" s="15"/>
      <c r="E15" s="15"/>
      <c r="F15" s="4">
        <v>61.861666666666672</v>
      </c>
    </row>
    <row r="16" spans="2:11" x14ac:dyDescent="0.3">
      <c r="B16" s="6">
        <v>164</v>
      </c>
      <c r="C16" s="15"/>
      <c r="D16" s="15"/>
      <c r="E16" s="5">
        <v>0.45400000000000001</v>
      </c>
      <c r="F16" s="4"/>
    </row>
    <row r="17" spans="2:10" x14ac:dyDescent="0.3">
      <c r="B17" s="6">
        <v>165</v>
      </c>
      <c r="C17" s="15"/>
      <c r="D17" s="15"/>
      <c r="E17" s="15"/>
      <c r="F17" s="4">
        <v>21.096666666666668</v>
      </c>
    </row>
    <row r="18" spans="2:10" x14ac:dyDescent="0.3">
      <c r="B18" s="6">
        <v>166</v>
      </c>
      <c r="C18" s="15"/>
      <c r="D18" s="15"/>
      <c r="E18" s="15"/>
      <c r="F18" s="4"/>
      <c r="J18">
        <v>0.38</v>
      </c>
    </row>
    <row r="19" spans="2:10" x14ac:dyDescent="0.3">
      <c r="B19" s="6">
        <v>169</v>
      </c>
      <c r="C19" s="15"/>
      <c r="D19" s="15"/>
      <c r="E19" s="15"/>
      <c r="F19" s="4"/>
      <c r="I19">
        <v>19.420000000000002</v>
      </c>
    </row>
    <row r="20" spans="2:10" x14ac:dyDescent="0.3">
      <c r="B20" s="6">
        <v>170</v>
      </c>
      <c r="C20" s="13">
        <v>3.6283333333333334</v>
      </c>
      <c r="D20" s="15"/>
      <c r="E20" s="15"/>
      <c r="F20" s="4"/>
    </row>
    <row r="21" spans="2:10" x14ac:dyDescent="0.3">
      <c r="B21" s="6">
        <v>171</v>
      </c>
      <c r="C21" s="15"/>
      <c r="D21" s="8">
        <v>0.48166666666666669</v>
      </c>
      <c r="E21" s="15"/>
      <c r="F21" s="4">
        <v>58.134999999999998</v>
      </c>
    </row>
    <row r="22" spans="2:10" x14ac:dyDescent="0.3">
      <c r="B22" s="6">
        <v>172</v>
      </c>
      <c r="C22" s="15"/>
      <c r="D22" s="8"/>
      <c r="E22" s="15"/>
      <c r="F22" s="4"/>
      <c r="J22">
        <v>0.03</v>
      </c>
    </row>
    <row r="23" spans="2:10" x14ac:dyDescent="0.3">
      <c r="B23" s="6">
        <v>173</v>
      </c>
      <c r="C23" s="15"/>
      <c r="D23" s="15"/>
      <c r="E23" s="15"/>
      <c r="F23" s="4">
        <v>52.041666666666664</v>
      </c>
    </row>
    <row r="24" spans="2:10" x14ac:dyDescent="0.3">
      <c r="B24" s="6">
        <v>178</v>
      </c>
      <c r="C24" s="15"/>
      <c r="D24" s="15"/>
      <c r="E24" s="5">
        <v>1.304</v>
      </c>
      <c r="F24" s="4"/>
    </row>
    <row r="25" spans="2:10" x14ac:dyDescent="0.3">
      <c r="B25" s="6">
        <v>179</v>
      </c>
      <c r="C25" s="15"/>
      <c r="D25" s="8">
        <v>58.958333333333336</v>
      </c>
      <c r="E25" s="15"/>
      <c r="F25" s="4">
        <v>5.45</v>
      </c>
    </row>
    <row r="26" spans="2:10" x14ac:dyDescent="0.3">
      <c r="B26" s="6">
        <v>180</v>
      </c>
      <c r="C26" s="15"/>
      <c r="D26" s="8"/>
      <c r="E26" s="15"/>
      <c r="F26" s="4"/>
      <c r="J26">
        <v>0</v>
      </c>
    </row>
    <row r="27" spans="2:10" x14ac:dyDescent="0.3">
      <c r="B27" s="6">
        <v>181</v>
      </c>
      <c r="C27" s="13">
        <v>0.30833333333333335</v>
      </c>
      <c r="D27" s="15"/>
      <c r="E27" s="15"/>
      <c r="F27" s="4"/>
    </row>
    <row r="28" spans="2:10" x14ac:dyDescent="0.3">
      <c r="B28" s="6">
        <v>183</v>
      </c>
      <c r="C28" s="13"/>
      <c r="D28" s="15"/>
      <c r="E28" s="15"/>
      <c r="F28" s="4"/>
      <c r="I28">
        <v>2.36</v>
      </c>
    </row>
    <row r="29" spans="2:10" x14ac:dyDescent="0.3">
      <c r="B29" s="6">
        <v>185</v>
      </c>
      <c r="C29" s="13"/>
      <c r="D29" s="8">
        <v>5.16</v>
      </c>
      <c r="E29" s="15"/>
      <c r="F29" s="4"/>
    </row>
    <row r="30" spans="2:10" x14ac:dyDescent="0.3">
      <c r="B30" s="6">
        <v>186</v>
      </c>
      <c r="C30" s="15"/>
      <c r="D30" s="15"/>
      <c r="E30" s="5">
        <v>0.54200000000000004</v>
      </c>
      <c r="F30" s="4">
        <v>18.311666666666667</v>
      </c>
    </row>
    <row r="31" spans="2:10" x14ac:dyDescent="0.3">
      <c r="B31" s="6">
        <v>187</v>
      </c>
      <c r="C31" s="15"/>
      <c r="D31" s="15"/>
      <c r="E31" s="5"/>
      <c r="F31" s="4"/>
      <c r="J31">
        <v>0.03</v>
      </c>
    </row>
    <row r="32" spans="2:10" x14ac:dyDescent="0.3">
      <c r="B32" s="6">
        <v>192</v>
      </c>
      <c r="C32" s="15"/>
      <c r="D32" s="8">
        <v>5.16</v>
      </c>
      <c r="E32" s="15"/>
      <c r="F32" s="4"/>
    </row>
    <row r="33" spans="2:10" x14ac:dyDescent="0.3">
      <c r="B33" s="6">
        <v>193</v>
      </c>
      <c r="C33" s="15"/>
      <c r="D33" s="15"/>
      <c r="E33" s="5">
        <v>0</v>
      </c>
      <c r="F33" s="4">
        <v>11.758333333333333</v>
      </c>
    </row>
    <row r="34" spans="2:10" x14ac:dyDescent="0.3">
      <c r="B34" s="6">
        <v>194</v>
      </c>
      <c r="C34" s="15"/>
      <c r="D34" s="15"/>
      <c r="E34" s="5"/>
      <c r="F34" s="4"/>
      <c r="J34">
        <v>0.03</v>
      </c>
    </row>
    <row r="35" spans="2:10" x14ac:dyDescent="0.3">
      <c r="B35" s="6">
        <v>195</v>
      </c>
      <c r="C35" s="13">
        <v>1.6283333333333336</v>
      </c>
      <c r="D35" s="15"/>
      <c r="E35" s="15"/>
      <c r="F35" s="4"/>
    </row>
    <row r="36" spans="2:10" x14ac:dyDescent="0.3">
      <c r="B36" s="6">
        <v>197</v>
      </c>
      <c r="C36" s="13"/>
      <c r="D36" s="15"/>
      <c r="E36" s="15"/>
      <c r="F36" s="4"/>
      <c r="I36">
        <v>0.06</v>
      </c>
    </row>
    <row r="37" spans="2:10" x14ac:dyDescent="0.3">
      <c r="B37" s="6">
        <v>200</v>
      </c>
      <c r="C37" s="15"/>
      <c r="D37" s="15"/>
      <c r="E37" s="4">
        <v>0</v>
      </c>
      <c r="F37" s="4">
        <v>12.61</v>
      </c>
    </row>
    <row r="38" spans="2:10" x14ac:dyDescent="0.3">
      <c r="B38" s="6">
        <v>207</v>
      </c>
      <c r="C38" s="15"/>
      <c r="D38" s="8">
        <v>4.7281573499164349</v>
      </c>
      <c r="E38" s="5">
        <v>0.06</v>
      </c>
      <c r="F38" s="4">
        <v>5.4766666666666666</v>
      </c>
    </row>
    <row r="39" spans="2:10" x14ac:dyDescent="0.3">
      <c r="B39" s="6">
        <v>208</v>
      </c>
      <c r="C39" s="15"/>
      <c r="D39" s="8"/>
      <c r="E39" s="5"/>
      <c r="F39" s="4"/>
      <c r="J39">
        <v>0</v>
      </c>
    </row>
    <row r="40" spans="2:10" x14ac:dyDescent="0.3">
      <c r="B40" s="6">
        <v>210</v>
      </c>
      <c r="C40" s="13">
        <v>11.531666666666666</v>
      </c>
      <c r="D40" s="15"/>
      <c r="E40" s="15"/>
      <c r="F40" s="4"/>
    </row>
    <row r="41" spans="2:10" x14ac:dyDescent="0.3">
      <c r="B41" s="6">
        <v>214</v>
      </c>
      <c r="C41" s="15"/>
      <c r="D41" s="15"/>
      <c r="E41" s="15"/>
      <c r="F41" s="4">
        <v>15.268333333333333</v>
      </c>
    </row>
    <row r="42" spans="2:10" x14ac:dyDescent="0.3">
      <c r="B42" s="6">
        <v>220</v>
      </c>
      <c r="C42" s="15"/>
      <c r="D42" s="9">
        <v>3.6707802475739801</v>
      </c>
      <c r="E42" s="15"/>
      <c r="F42" s="4"/>
    </row>
    <row r="43" spans="2:10" x14ac:dyDescent="0.3">
      <c r="B43" s="6">
        <v>221</v>
      </c>
      <c r="C43" s="15"/>
      <c r="D43" s="15"/>
      <c r="E43" s="5">
        <v>0</v>
      </c>
      <c r="F43" s="4">
        <v>26.403333333333336</v>
      </c>
    </row>
    <row r="44" spans="2:10" x14ac:dyDescent="0.3">
      <c r="B44" s="6">
        <v>222</v>
      </c>
      <c r="C44" s="15"/>
      <c r="D44" s="15"/>
      <c r="E44" s="5"/>
      <c r="F44" s="4"/>
      <c r="J44">
        <v>0</v>
      </c>
    </row>
    <row r="45" spans="2:10" x14ac:dyDescent="0.3">
      <c r="B45" s="6">
        <v>224</v>
      </c>
      <c r="C45" s="16">
        <v>61.01</v>
      </c>
      <c r="D45" s="15"/>
      <c r="E45" s="15"/>
      <c r="F45" s="4"/>
    </row>
    <row r="46" spans="2:10" x14ac:dyDescent="0.3">
      <c r="B46" s="6">
        <v>225</v>
      </c>
      <c r="C46" s="16"/>
      <c r="D46" s="15"/>
      <c r="E46" s="15"/>
      <c r="F46" s="4"/>
      <c r="I46">
        <v>0.03</v>
      </c>
    </row>
    <row r="47" spans="2:10" x14ac:dyDescent="0.3">
      <c r="B47" s="6">
        <v>228</v>
      </c>
      <c r="C47" s="15"/>
      <c r="D47" s="15"/>
      <c r="E47" s="15"/>
      <c r="F47" s="4">
        <v>80.304999999999993</v>
      </c>
    </row>
    <row r="48" spans="2:10" x14ac:dyDescent="0.3">
      <c r="B48" s="6">
        <v>234</v>
      </c>
      <c r="C48" s="15"/>
      <c r="D48" s="9">
        <v>3.3433333333333337</v>
      </c>
      <c r="E48" s="15"/>
      <c r="F48" s="4"/>
    </row>
    <row r="49" spans="2:10" x14ac:dyDescent="0.3">
      <c r="B49" s="6">
        <v>235</v>
      </c>
      <c r="C49" s="15"/>
      <c r="D49" s="15"/>
      <c r="E49" s="16">
        <v>0</v>
      </c>
      <c r="F49" s="4">
        <v>46.476666666666667</v>
      </c>
    </row>
    <row r="50" spans="2:10" x14ac:dyDescent="0.3">
      <c r="B50" s="6">
        <v>236</v>
      </c>
      <c r="C50" s="15"/>
      <c r="D50" s="15"/>
      <c r="E50" s="16"/>
      <c r="F50" s="4"/>
      <c r="J50">
        <v>0</v>
      </c>
    </row>
    <row r="51" spans="2:10" x14ac:dyDescent="0.3">
      <c r="B51" s="6">
        <v>241</v>
      </c>
      <c r="C51" s="15"/>
      <c r="D51" s="15"/>
      <c r="E51" s="15"/>
      <c r="F51" s="4">
        <v>4.5866666666666669</v>
      </c>
    </row>
    <row r="52" spans="2:10" x14ac:dyDescent="0.3">
      <c r="B52" s="11">
        <v>249</v>
      </c>
      <c r="C52" s="15"/>
      <c r="D52" s="15"/>
      <c r="E52" s="15"/>
      <c r="F52" s="16">
        <v>12.008333333333333</v>
      </c>
    </row>
    <row r="53" spans="2:10" x14ac:dyDescent="0.3">
      <c r="B53" s="11">
        <v>250</v>
      </c>
      <c r="C53" s="15"/>
      <c r="D53" s="15"/>
      <c r="E53" s="15"/>
      <c r="F53" s="16"/>
      <c r="J53">
        <v>0</v>
      </c>
    </row>
    <row r="54" spans="2:10" x14ac:dyDescent="0.3">
      <c r="B54" s="12">
        <v>251</v>
      </c>
      <c r="C54" s="15"/>
      <c r="D54" s="9">
        <v>1.3983333333333334</v>
      </c>
      <c r="E54" s="15"/>
      <c r="F54" s="15"/>
    </row>
    <row r="55" spans="2:10" x14ac:dyDescent="0.3">
      <c r="B55" s="12">
        <v>262</v>
      </c>
      <c r="C55" s="15"/>
      <c r="D55" s="16">
        <v>4.8683333333333296</v>
      </c>
      <c r="E55" s="15"/>
      <c r="F55" s="15"/>
    </row>
    <row r="57" spans="2:10" x14ac:dyDescent="0.3">
      <c r="B57" t="s">
        <v>6</v>
      </c>
      <c r="C57" s="18">
        <f>AVERAGE(C5:C55)</f>
        <v>11.274699999999999</v>
      </c>
      <c r="D57" s="18">
        <f t="shared" ref="D57:F57" si="0">AVERAGE(D5:D55)</f>
        <v>9.7521041774989357</v>
      </c>
      <c r="E57" s="18">
        <f t="shared" si="0"/>
        <v>0.24133333333333337</v>
      </c>
      <c r="F57" s="18">
        <f t="shared" si="0"/>
        <v>27.190520833333331</v>
      </c>
      <c r="I57" s="18">
        <f t="shared" ref="I57:J57" si="1">AVERAGE(I5:I55)</f>
        <v>33.591999999999999</v>
      </c>
      <c r="J57" s="18">
        <f t="shared" si="1"/>
        <v>0.13181818181818181</v>
      </c>
    </row>
    <row r="58" spans="2:10" x14ac:dyDescent="0.3">
      <c r="B58" t="s">
        <v>7</v>
      </c>
      <c r="C58" s="18">
        <f>MIN(C5:C55)</f>
        <v>0.30833333333333335</v>
      </c>
      <c r="D58" s="18">
        <f t="shared" ref="D58:F58" si="2">MIN(D5:D55)</f>
        <v>0.48166666666666669</v>
      </c>
      <c r="E58" s="18">
        <f t="shared" si="2"/>
        <v>0</v>
      </c>
      <c r="F58" s="18">
        <f t="shared" si="2"/>
        <v>3.2583333333333329</v>
      </c>
      <c r="I58" s="18">
        <f t="shared" ref="I58:J58" si="3">MIN(I5:I55)</f>
        <v>0.03</v>
      </c>
      <c r="J58" s="18">
        <f t="shared" si="3"/>
        <v>0</v>
      </c>
    </row>
    <row r="59" spans="2:10" x14ac:dyDescent="0.3">
      <c r="B59" t="s">
        <v>8</v>
      </c>
      <c r="C59" s="18">
        <f>MAX(C5:C55)</f>
        <v>61.01</v>
      </c>
      <c r="D59" s="18">
        <f t="shared" ref="D59:F59" si="4">MAX(D5:D55)</f>
        <v>58.958333333333336</v>
      </c>
      <c r="E59" s="18">
        <f t="shared" si="4"/>
        <v>1.304</v>
      </c>
      <c r="F59" s="18">
        <f t="shared" si="4"/>
        <v>80.304999999999993</v>
      </c>
      <c r="I59" s="18">
        <f t="shared" ref="I59:J59" si="5">MAX(I5:I55)</f>
        <v>92.820000000000007</v>
      </c>
      <c r="J59" s="18">
        <f t="shared" si="5"/>
        <v>0.98</v>
      </c>
    </row>
  </sheetData>
  <mergeCells count="1">
    <mergeCell ref="C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Daphnia longispina</vt:lpstr>
      <vt:lpstr>Daphnia spp</vt:lpstr>
      <vt:lpstr>Chydorus sph.</vt:lpstr>
      <vt:lpstr>Cyclopoids</vt:lpstr>
      <vt:lpstr>Hexartha spp</vt:lpstr>
      <vt:lpstr>Keratella</vt:lpstr>
      <vt:lpstr>Nauplii</vt:lpstr>
      <vt:lpstr>Polyartha</vt:lpstr>
      <vt:lpstr>Simocephalus spp</vt:lpstr>
      <vt:lpstr>Synchaeta 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Bartell</dc:creator>
  <cp:lastModifiedBy>Steve</cp:lastModifiedBy>
  <dcterms:created xsi:type="dcterms:W3CDTF">2021-11-19T15:01:04Z</dcterms:created>
  <dcterms:modified xsi:type="dcterms:W3CDTF">2022-06-07T20:51:55Z</dcterms:modified>
</cp:coreProperties>
</file>