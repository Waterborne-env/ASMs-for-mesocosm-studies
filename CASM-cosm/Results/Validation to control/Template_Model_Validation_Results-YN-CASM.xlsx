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Validation-ASM\"/>
    </mc:Choice>
  </mc:AlternateContent>
  <xr:revisionPtr revIDLastSave="0" documentId="13_ncr:1_{E5A01ACB-9639-4B62-A455-5073E8C2E2F8}" xr6:coauthVersionLast="47" xr6:coauthVersionMax="47" xr10:uidLastSave="{00000000-0000-0000-0000-000000000000}"/>
  <bookViews>
    <workbookView xWindow="35115" yWindow="2850" windowWidth="20850" windowHeight="10920" activeTab="2" xr2:uid="{25742E95-71A2-47F4-BADB-F3B141FE90A1}"/>
  </bookViews>
  <sheets>
    <sheet name="Macroinvertebrates" sheetId="1" r:id="rId1"/>
    <sheet name="Zooplankton" sheetId="2" r:id="rId2"/>
    <sheet name="Phytoplankton" sheetId="3" r:id="rId3"/>
    <sheet name="Periphyt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H7" i="4"/>
  <c r="H8" i="4" s="1"/>
  <c r="G3" i="4" s="1"/>
  <c r="H7" i="3"/>
  <c r="H8" i="3" s="1"/>
  <c r="G3" i="3" s="1"/>
  <c r="M7" i="1"/>
  <c r="M8" i="1" s="1"/>
  <c r="M7" i="2"/>
  <c r="M8" i="2"/>
  <c r="K3" i="2" s="1"/>
</calcChain>
</file>

<file path=xl/sharedStrings.xml><?xml version="1.0" encoding="utf-8"?>
<sst xmlns="http://schemas.openxmlformats.org/spreadsheetml/2006/main" count="222" uniqueCount="60">
  <si>
    <t>Species group</t>
  </si>
  <si>
    <t xml:space="preserve">Earliest peak date </t>
  </si>
  <si>
    <t>Latest peak date</t>
  </si>
  <si>
    <t>Minimum peak abundance (ind/sample)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</si>
  <si>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</si>
  <si>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</si>
  <si>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</si>
  <si>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</si>
  <si>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</si>
  <si>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</si>
  <si>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</si>
  <si>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</si>
  <si>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</si>
  <si>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</si>
  <si>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</si>
  <si>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</si>
  <si>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</si>
  <si>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</si>
  <si>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</si>
  <si>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</si>
  <si>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</si>
  <si>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</si>
  <si>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</si>
  <si>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</si>
  <si>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</si>
  <si>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</si>
  <si>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</si>
  <si>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</si>
  <si>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</si>
  <si>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</si>
  <si>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</si>
  <si>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</si>
  <si>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</si>
  <si>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</si>
  <si>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</si>
  <si>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</si>
  <si>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</si>
  <si>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</si>
  <si>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</si>
  <si>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</si>
  <si>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</si>
  <si>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CALIBRATION CRITERIA</t>
  </si>
  <si>
    <t>Maximum peak abundance (ind/sample)</t>
  </si>
  <si>
    <t>Minimum abundance (ind/sample)</t>
  </si>
  <si>
    <t>Maximum abundance (ind/sample)</t>
  </si>
  <si>
    <t>Minimum abundance  (ind/sample)</t>
  </si>
  <si>
    <t>ARE THE CRITERIA FULFILLED?</t>
  </si>
  <si>
    <t>Y</t>
  </si>
  <si>
    <t>N</t>
  </si>
  <si>
    <t xml:space="preserve"> Peak date and abundance</t>
  </si>
  <si>
    <t>ARE THE CRITERIA FULFILLED? (Y/N)</t>
  </si>
  <si>
    <t>% study within the range</t>
  </si>
  <si>
    <t>Summary of CASM Results</t>
  </si>
  <si>
    <t>green+yellow:19b</t>
  </si>
  <si>
    <t>total comparisons</t>
  </si>
  <si>
    <t>% in range</t>
  </si>
  <si>
    <t>green+yellow:18a</t>
  </si>
  <si>
    <t>green+yellow:18b</t>
  </si>
  <si>
    <t>green+yellow:19a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</si>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</sst>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2" borderId="7" xfId="0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right" vertical="center" wrapText="1"/>
    </xf>
    <xf numFmtId="16" fontId="2" fillId="0" borderId="7" xfId="0" applyNumberFormat="1" applyFont="1" applyFill="1" applyBorder="1" applyAlignment="1">
      <alignment horizontal="right" vertical="center" wrapText="1"/>
    </xf>
    <xf numFmtId="16" fontId="0" fillId="0" borderId="3" xfId="0" applyNumberFormat="1" applyBorder="1" applyAlignment="1">
      <alignment horizontal="right" vertical="center" wrapText="1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0" fillId="0" borderId="3" xfId="0" applyBorder="1"/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  <xf numFmtId="16" fontId="0" fillId="0" borderId="7" xfId="0" applyNumberForma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AD14"/>
  <sheetViews>
    <sheetView workbookViewId="0">
      <pane ySplit="2" topLeftCell="A7" activePane="bottomLeft" state="frozen"/>
      <selection pane="bottomLeft" sqref="A1:J13"/>
    </sheetView>
  </sheetViews>
  <sheetFormatPr defaultColWidth="14.6640625" defaultRowHeight="14.4" x14ac:dyDescent="0.3"/>
  <cols>
    <col min="11" max="13" width="14.6640625" style="9"/>
    <col min="14" max="14" width="20.33203125" style="9" customWidth="1"/>
    <col min="15" max="26" width="14.6640625" style="9"/>
  </cols>
  <sheetData>
    <row r="1" spans="1:30" s="14" customFormat="1" ht="24.9" customHeight="1" thickBot="1" x14ac:dyDescent="0.35">
      <c r="B1" s="35" t="s">
        <v>41</v>
      </c>
      <c r="C1" s="36"/>
      <c r="D1" s="36"/>
      <c r="E1" s="36"/>
      <c r="F1" s="36"/>
      <c r="G1" s="37"/>
      <c r="H1" s="35" t="s">
        <v>46</v>
      </c>
      <c r="I1" s="36"/>
      <c r="J1" s="37"/>
      <c r="K1" s="13"/>
      <c r="L1" s="13"/>
      <c r="M1" s="13"/>
      <c r="N1" s="13"/>
      <c r="O1" s="13"/>
      <c r="P1" s="34"/>
      <c r="Q1" s="34"/>
      <c r="R1" s="34"/>
      <c r="S1" s="34"/>
      <c r="T1" s="34"/>
      <c r="U1" s="34"/>
      <c r="V1" s="34"/>
      <c r="W1" s="34"/>
      <c r="X1" s="34"/>
      <c r="Y1" s="34"/>
      <c r="Z1" s="13"/>
    </row>
    <row r="2" spans="1:30" s="1" customFormat="1" ht="66" customHeight="1" thickBot="1" x14ac:dyDescent="0.35">
      <c r="A2" s="10" t="s">
        <v>0</v>
      </c>
      <c r="B2" s="5" t="s">
        <v>1</v>
      </c>
      <c r="C2" s="6" t="s">
        <v>2</v>
      </c>
      <c r="D2" s="6" t="s">
        <v>3</v>
      </c>
      <c r="E2" s="6" t="s">
        <v>42</v>
      </c>
      <c r="F2" s="6" t="s">
        <v>43</v>
      </c>
      <c r="G2" s="7" t="s">
        <v>44</v>
      </c>
      <c r="H2" s="5" t="s">
        <v>49</v>
      </c>
      <c r="I2" s="6" t="s">
        <v>45</v>
      </c>
      <c r="J2" s="7" t="s">
        <v>44</v>
      </c>
      <c r="K2" s="7" t="s">
        <v>51</v>
      </c>
      <c r="L2" s="3"/>
      <c r="M2" s="44"/>
      <c r="N2" s="44" t="s">
        <v>52</v>
      </c>
      <c r="O2" s="12"/>
      <c r="P2" s="3"/>
      <c r="Q2" s="3"/>
      <c r="R2" s="3"/>
      <c r="S2" s="3"/>
      <c r="T2" s="12"/>
      <c r="U2" s="3"/>
      <c r="V2" s="3"/>
      <c r="W2" s="3"/>
      <c r="X2" s="3"/>
      <c r="Y2" s="12"/>
      <c r="Z2" s="4"/>
    </row>
    <row r="3" spans="1:30" ht="30" customHeight="1" x14ac:dyDescent="0.3">
      <c r="A3" s="11" t="s">
        <v>4</v>
      </c>
      <c r="B3" s="19" t="s">
        <v>5</v>
      </c>
      <c r="C3" s="19" t="s">
        <v>5</v>
      </c>
      <c r="D3" s="19" t="s">
        <v>5</v>
      </c>
      <c r="E3" s="19" t="s">
        <v>5</v>
      </c>
      <c r="F3" s="19">
        <v>0.8</v>
      </c>
      <c r="G3" s="19">
        <v>121.9</v>
      </c>
      <c r="H3" s="20"/>
      <c r="I3" s="50" t="s">
        <v>59</v>
      </c>
      <c r="J3" s="50" t="s">
        <v>59</v>
      </c>
      <c r="K3" s="48">
        <f>M8</f>
        <v>0</v>
      </c>
      <c r="M3" s="45"/>
      <c r="N3" s="46" t="s">
        <v>56</v>
      </c>
    </row>
    <row r="4" spans="1:30" ht="30" customHeight="1" x14ac:dyDescent="0.3">
      <c r="A4" s="21" t="s">
        <v>6</v>
      </c>
      <c r="B4" s="22" t="s">
        <v>7</v>
      </c>
      <c r="C4" s="23">
        <v>44773</v>
      </c>
      <c r="D4" s="22">
        <v>88.3</v>
      </c>
      <c r="E4" s="22">
        <v>184.2</v>
      </c>
      <c r="F4" s="22">
        <v>10.6</v>
      </c>
      <c r="G4" s="22">
        <v>167</v>
      </c>
      <c r="H4" s="49" t="s">
        <v>48</v>
      </c>
      <c r="I4" s="50" t="s">
        <v>59</v>
      </c>
      <c r="J4" s="50" t="s">
        <v>59</v>
      </c>
      <c r="K4" s="8"/>
      <c r="M4" s="45"/>
      <c r="N4" s="46" t="s">
        <v>57</v>
      </c>
      <c r="AA4" s="9"/>
      <c r="AB4" s="9"/>
      <c r="AC4" s="9"/>
      <c r="AD4" s="9"/>
    </row>
    <row r="5" spans="1:30" ht="30" customHeight="1" x14ac:dyDescent="0.3">
      <c r="A5" s="17" t="s">
        <v>8</v>
      </c>
      <c r="B5" s="18" t="s">
        <v>5</v>
      </c>
      <c r="C5" s="18" t="s">
        <v>5</v>
      </c>
      <c r="D5" s="18" t="s">
        <v>5</v>
      </c>
      <c r="E5" s="18" t="s">
        <v>5</v>
      </c>
      <c r="F5" s="18">
        <v>0</v>
      </c>
      <c r="G5" s="18">
        <v>11.1</v>
      </c>
      <c r="H5" s="25"/>
      <c r="I5" s="49" t="s">
        <v>48</v>
      </c>
      <c r="J5" s="49" t="s">
        <v>48</v>
      </c>
      <c r="M5" s="45"/>
      <c r="N5" s="46" t="s">
        <v>58</v>
      </c>
    </row>
    <row r="6" spans="1:30" ht="30" customHeight="1" x14ac:dyDescent="0.3">
      <c r="A6" s="17" t="s">
        <v>9</v>
      </c>
      <c r="B6" s="18" t="s">
        <v>5</v>
      </c>
      <c r="C6" s="18" t="s">
        <v>5</v>
      </c>
      <c r="D6" s="18" t="s">
        <v>5</v>
      </c>
      <c r="E6" s="18" t="s">
        <v>5</v>
      </c>
      <c r="F6" s="18">
        <v>1</v>
      </c>
      <c r="G6" s="18">
        <v>82.4</v>
      </c>
      <c r="H6" s="25"/>
      <c r="I6" s="50" t="s">
        <v>59</v>
      </c>
      <c r="J6" s="49" t="s">
        <v>48</v>
      </c>
      <c r="M6" s="45"/>
      <c r="N6" s="46"/>
    </row>
    <row r="7" spans="1:30" ht="30" customHeight="1" x14ac:dyDescent="0.3">
      <c r="A7" s="17" t="s">
        <v>10</v>
      </c>
      <c r="B7" s="18" t="s">
        <v>11</v>
      </c>
      <c r="C7" s="24">
        <v>44769</v>
      </c>
      <c r="D7" s="18">
        <v>2.8</v>
      </c>
      <c r="E7" s="18">
        <v>15.6</v>
      </c>
      <c r="F7" s="18">
        <v>0</v>
      </c>
      <c r="G7" s="18">
        <v>15.1</v>
      </c>
      <c r="H7" s="49" t="s">
        <v>48</v>
      </c>
      <c r="I7" s="49" t="s">
        <v>48</v>
      </c>
      <c r="J7" s="49" t="s">
        <v>48</v>
      </c>
      <c r="M7" s="45">
        <f>36*3</f>
        <v>108</v>
      </c>
      <c r="N7" s="46" t="s">
        <v>54</v>
      </c>
    </row>
    <row r="8" spans="1:30" ht="30" customHeight="1" x14ac:dyDescent="0.3">
      <c r="A8" s="17" t="s">
        <v>12</v>
      </c>
      <c r="B8" s="18" t="s">
        <v>5</v>
      </c>
      <c r="C8" s="18" t="s">
        <v>5</v>
      </c>
      <c r="D8" s="18" t="s">
        <v>5</v>
      </c>
      <c r="E8" s="18" t="s">
        <v>5</v>
      </c>
      <c r="F8" s="18">
        <v>7.9</v>
      </c>
      <c r="G8" s="18">
        <v>107.4</v>
      </c>
      <c r="H8" s="25"/>
      <c r="I8" s="50" t="s">
        <v>59</v>
      </c>
      <c r="J8" s="50" t="s">
        <v>59</v>
      </c>
      <c r="M8" s="47">
        <f>SUM(M3:M6)/M7*100</f>
        <v>0</v>
      </c>
      <c r="N8" s="46" t="s">
        <v>55</v>
      </c>
    </row>
    <row r="9" spans="1:30" ht="30" customHeight="1" x14ac:dyDescent="0.3">
      <c r="A9" s="17" t="s">
        <v>13</v>
      </c>
      <c r="B9" s="18" t="s">
        <v>5</v>
      </c>
      <c r="C9" s="18" t="s">
        <v>5</v>
      </c>
      <c r="D9" s="18" t="s">
        <v>5</v>
      </c>
      <c r="E9" s="18" t="s">
        <v>5</v>
      </c>
      <c r="F9" s="18">
        <v>0</v>
      </c>
      <c r="G9" s="18">
        <v>12</v>
      </c>
      <c r="H9" s="25"/>
      <c r="I9" s="51" t="s">
        <v>47</v>
      </c>
      <c r="J9" s="51" t="s">
        <v>47</v>
      </c>
    </row>
    <row r="10" spans="1:30" ht="30" customHeight="1" x14ac:dyDescent="0.3">
      <c r="A10" s="17" t="s">
        <v>14</v>
      </c>
      <c r="B10" s="18" t="s">
        <v>5</v>
      </c>
      <c r="C10" s="18" t="s">
        <v>5</v>
      </c>
      <c r="D10" s="18" t="s">
        <v>5</v>
      </c>
      <c r="E10" s="18" t="s">
        <v>5</v>
      </c>
      <c r="F10" s="18">
        <v>0.2</v>
      </c>
      <c r="G10" s="18">
        <v>4</v>
      </c>
      <c r="H10" s="25"/>
      <c r="I10" s="25"/>
      <c r="J10" s="25"/>
    </row>
    <row r="11" spans="1:30" ht="30" customHeight="1" x14ac:dyDescent="0.3">
      <c r="A11" s="17" t="s">
        <v>15</v>
      </c>
      <c r="B11" s="18" t="s">
        <v>5</v>
      </c>
      <c r="C11" s="18" t="s">
        <v>5</v>
      </c>
      <c r="D11" s="18" t="s">
        <v>5</v>
      </c>
      <c r="E11" s="18" t="s">
        <v>5</v>
      </c>
      <c r="F11" s="18">
        <v>1</v>
      </c>
      <c r="G11" s="18">
        <v>28.2</v>
      </c>
      <c r="H11" s="25"/>
      <c r="I11" s="51" t="s">
        <v>47</v>
      </c>
      <c r="J11" s="50" t="s">
        <v>59</v>
      </c>
    </row>
    <row r="12" spans="1:30" ht="30" customHeight="1" x14ac:dyDescent="0.3">
      <c r="A12" s="17" t="s">
        <v>16</v>
      </c>
      <c r="B12" s="18" t="s">
        <v>5</v>
      </c>
      <c r="C12" s="18" t="s">
        <v>5</v>
      </c>
      <c r="D12" s="18" t="s">
        <v>5</v>
      </c>
      <c r="E12" s="18" t="s">
        <v>5</v>
      </c>
      <c r="F12" s="18">
        <v>0.6</v>
      </c>
      <c r="G12" s="18">
        <v>36.1</v>
      </c>
      <c r="H12" s="25"/>
      <c r="I12" s="49" t="s">
        <v>48</v>
      </c>
      <c r="J12" s="49" t="s">
        <v>48</v>
      </c>
    </row>
    <row r="13" spans="1:30" ht="30" customHeight="1" x14ac:dyDescent="0.3">
      <c r="A13" s="17" t="s">
        <v>17</v>
      </c>
      <c r="B13" s="18" t="s">
        <v>11</v>
      </c>
      <c r="C13" s="24">
        <v>44753</v>
      </c>
      <c r="D13" s="18">
        <v>1.4</v>
      </c>
      <c r="E13" s="18">
        <v>15</v>
      </c>
      <c r="F13" s="18">
        <v>0</v>
      </c>
      <c r="G13" s="18">
        <v>14.5</v>
      </c>
      <c r="H13" s="49" t="s">
        <v>48</v>
      </c>
      <c r="I13" s="50" t="s">
        <v>59</v>
      </c>
      <c r="J13" s="50" t="s">
        <v>59</v>
      </c>
    </row>
    <row r="14" spans="1:30" x14ac:dyDescent="0.3">
      <c r="H14" s="14"/>
      <c r="I14" s="14"/>
      <c r="J14" s="14"/>
    </row>
  </sheetData>
  <mergeCells count="4">
    <mergeCell ref="P1:T1"/>
    <mergeCell ref="U1:Y1"/>
    <mergeCell ref="B1:G1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AD11"/>
  <sheetViews>
    <sheetView workbookViewId="0">
      <selection sqref="A1:J11"/>
    </sheetView>
  </sheetViews>
  <sheetFormatPr defaultColWidth="14.6640625" defaultRowHeight="14.4" x14ac:dyDescent="0.3"/>
  <cols>
    <col min="1" max="1" width="22.5546875" customWidth="1"/>
    <col min="14" max="14" width="19.77734375" customWidth="1"/>
  </cols>
  <sheetData>
    <row r="1" spans="1:30" s="14" customFormat="1" ht="24.9" customHeight="1" thickBot="1" x14ac:dyDescent="0.35">
      <c r="B1" s="35" t="s">
        <v>41</v>
      </c>
      <c r="C1" s="36"/>
      <c r="D1" s="36"/>
      <c r="E1" s="36"/>
      <c r="F1" s="36"/>
      <c r="G1" s="37"/>
      <c r="H1" s="38" t="s">
        <v>50</v>
      </c>
      <c r="I1" s="39"/>
      <c r="J1" s="40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66" customHeight="1" thickBot="1" x14ac:dyDescent="0.35">
      <c r="A2" s="16" t="s">
        <v>0</v>
      </c>
      <c r="B2" s="5" t="s">
        <v>1</v>
      </c>
      <c r="C2" s="6" t="s">
        <v>2</v>
      </c>
      <c r="D2" s="6" t="s">
        <v>3</v>
      </c>
      <c r="E2" s="6" t="s">
        <v>42</v>
      </c>
      <c r="F2" s="6" t="s">
        <v>43</v>
      </c>
      <c r="G2" s="6" t="s">
        <v>44</v>
      </c>
      <c r="H2" s="5" t="s">
        <v>49</v>
      </c>
      <c r="I2" s="6" t="s">
        <v>45</v>
      </c>
      <c r="J2" s="7" t="s">
        <v>44</v>
      </c>
      <c r="K2" s="7" t="s">
        <v>51</v>
      </c>
      <c r="L2" s="12"/>
      <c r="M2" s="44"/>
      <c r="N2" s="44" t="s">
        <v>52</v>
      </c>
      <c r="O2" s="3"/>
      <c r="P2" s="3"/>
      <c r="Q2" s="12"/>
      <c r="R2" s="3"/>
      <c r="S2" s="3"/>
      <c r="T2" s="3"/>
      <c r="U2" s="3"/>
      <c r="V2" s="12"/>
      <c r="W2" s="3"/>
      <c r="X2" s="3"/>
      <c r="Y2" s="3"/>
      <c r="Z2" s="3"/>
      <c r="AA2" s="12"/>
      <c r="AB2" s="9"/>
      <c r="AC2" s="9"/>
      <c r="AD2" s="9"/>
    </row>
    <row r="3" spans="1:30" ht="30" customHeight="1" x14ac:dyDescent="0.3">
      <c r="A3" s="17" t="s">
        <v>31</v>
      </c>
      <c r="B3" s="32">
        <v>44761</v>
      </c>
      <c r="C3" s="19" t="s">
        <v>32</v>
      </c>
      <c r="D3" s="19">
        <v>0.3</v>
      </c>
      <c r="E3" s="19">
        <v>27.5</v>
      </c>
      <c r="F3" s="30">
        <v>0</v>
      </c>
      <c r="G3" s="30">
        <v>24.2</v>
      </c>
      <c r="H3" s="51" t="s">
        <v>47</v>
      </c>
      <c r="I3" s="49" t="s">
        <v>48</v>
      </c>
      <c r="J3" s="49" t="s">
        <v>48</v>
      </c>
      <c r="K3" s="48">
        <f>M8</f>
        <v>0</v>
      </c>
      <c r="L3" s="9"/>
      <c r="M3" s="45"/>
      <c r="N3" s="46" t="s">
        <v>56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30" customHeight="1" x14ac:dyDescent="0.3">
      <c r="A4" s="17" t="s">
        <v>33</v>
      </c>
      <c r="B4" s="18" t="s">
        <v>5</v>
      </c>
      <c r="C4" s="18" t="s">
        <v>5</v>
      </c>
      <c r="D4" s="18" t="s">
        <v>5</v>
      </c>
      <c r="E4" s="18" t="s">
        <v>5</v>
      </c>
      <c r="F4" s="26">
        <v>0</v>
      </c>
      <c r="G4" s="26">
        <v>83.4</v>
      </c>
      <c r="H4" s="27"/>
      <c r="I4" s="49" t="s">
        <v>48</v>
      </c>
      <c r="J4" s="49" t="s">
        <v>48</v>
      </c>
      <c r="K4" s="9"/>
      <c r="L4" s="9"/>
      <c r="M4" s="45"/>
      <c r="N4" s="46" t="s">
        <v>57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30" customHeight="1" x14ac:dyDescent="0.3">
      <c r="A5" s="17" t="s">
        <v>34</v>
      </c>
      <c r="B5" s="18" t="s">
        <v>5</v>
      </c>
      <c r="C5" s="18" t="s">
        <v>5</v>
      </c>
      <c r="D5" s="18" t="s">
        <v>5</v>
      </c>
      <c r="E5" s="18" t="s">
        <v>5</v>
      </c>
      <c r="F5" s="26">
        <v>0</v>
      </c>
      <c r="G5" s="26">
        <v>13.8</v>
      </c>
      <c r="H5" s="27"/>
      <c r="I5" s="49" t="s">
        <v>48</v>
      </c>
      <c r="J5" s="49" t="s">
        <v>48</v>
      </c>
      <c r="K5" s="9"/>
      <c r="L5" s="9"/>
      <c r="M5" s="45"/>
      <c r="N5" s="46" t="s">
        <v>58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30" customHeight="1" x14ac:dyDescent="0.3">
      <c r="A6" s="17" t="s">
        <v>35</v>
      </c>
      <c r="B6" s="18" t="s">
        <v>5</v>
      </c>
      <c r="C6" s="18" t="s">
        <v>5</v>
      </c>
      <c r="D6" s="18" t="s">
        <v>5</v>
      </c>
      <c r="E6" s="18" t="s">
        <v>5</v>
      </c>
      <c r="F6" s="26">
        <v>6.5</v>
      </c>
      <c r="G6" s="26">
        <v>143.1</v>
      </c>
      <c r="H6" s="27"/>
      <c r="I6" s="50" t="s">
        <v>59</v>
      </c>
      <c r="J6" s="50" t="s">
        <v>59</v>
      </c>
      <c r="K6" s="9"/>
      <c r="L6" s="9"/>
      <c r="M6" s="45"/>
      <c r="N6" s="46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30" customHeight="1" x14ac:dyDescent="0.3">
      <c r="A7" s="17" t="s">
        <v>36</v>
      </c>
      <c r="B7" s="24">
        <v>44754</v>
      </c>
      <c r="C7" s="18" t="s">
        <v>32</v>
      </c>
      <c r="D7" s="18">
        <v>6</v>
      </c>
      <c r="E7" s="18">
        <v>55.3</v>
      </c>
      <c r="F7" s="26">
        <v>0</v>
      </c>
      <c r="G7" s="26">
        <v>45.1</v>
      </c>
      <c r="H7" s="51" t="s">
        <v>47</v>
      </c>
      <c r="I7" s="50" t="s">
        <v>59</v>
      </c>
      <c r="J7" s="50" t="s">
        <v>59</v>
      </c>
      <c r="K7" s="9"/>
      <c r="L7" s="9"/>
      <c r="M7" s="45">
        <f>33*3</f>
        <v>99</v>
      </c>
      <c r="N7" s="46" t="s">
        <v>54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30" customHeight="1" x14ac:dyDescent="0.3">
      <c r="A8" s="17" t="s">
        <v>37</v>
      </c>
      <c r="B8" s="18" t="s">
        <v>5</v>
      </c>
      <c r="C8" s="18" t="s">
        <v>5</v>
      </c>
      <c r="D8" s="18" t="s">
        <v>5</v>
      </c>
      <c r="E8" s="18" t="s">
        <v>5</v>
      </c>
      <c r="F8" s="26">
        <v>17.7</v>
      </c>
      <c r="G8" s="26">
        <v>700.7</v>
      </c>
      <c r="H8" s="27"/>
      <c r="I8" s="50" t="s">
        <v>59</v>
      </c>
      <c r="J8" s="50" t="s">
        <v>59</v>
      </c>
      <c r="K8" s="9"/>
      <c r="L8" s="9"/>
      <c r="M8" s="47">
        <f>SUM(M3:M6)/M7*100</f>
        <v>0</v>
      </c>
      <c r="N8" s="46" t="s">
        <v>55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30" customHeight="1" x14ac:dyDescent="0.3">
      <c r="A9" s="17" t="s">
        <v>38</v>
      </c>
      <c r="B9" s="18" t="s">
        <v>5</v>
      </c>
      <c r="C9" s="18" t="s">
        <v>5</v>
      </c>
      <c r="D9" s="18" t="s">
        <v>5</v>
      </c>
      <c r="E9" s="18" t="s">
        <v>5</v>
      </c>
      <c r="F9" s="26">
        <v>1.2</v>
      </c>
      <c r="G9" s="26">
        <v>634.9</v>
      </c>
      <c r="H9" s="27"/>
      <c r="I9" s="50" t="s">
        <v>59</v>
      </c>
      <c r="J9" s="50" t="s">
        <v>59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30" customHeight="1" x14ac:dyDescent="0.3">
      <c r="A10" s="17" t="s">
        <v>39</v>
      </c>
      <c r="B10" s="18" t="s">
        <v>11</v>
      </c>
      <c r="C10" s="24">
        <v>44746</v>
      </c>
      <c r="D10" s="18">
        <v>96.6</v>
      </c>
      <c r="E10" s="18">
        <v>1902.2</v>
      </c>
      <c r="F10" s="26">
        <v>7.5</v>
      </c>
      <c r="G10" s="26">
        <v>1484.9</v>
      </c>
      <c r="H10" s="49" t="s">
        <v>48</v>
      </c>
      <c r="I10" s="50" t="s">
        <v>59</v>
      </c>
      <c r="J10" s="50" t="s">
        <v>59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30" customHeight="1" x14ac:dyDescent="0.3">
      <c r="A11" s="17" t="s">
        <v>40</v>
      </c>
      <c r="B11" s="18" t="s">
        <v>5</v>
      </c>
      <c r="C11" s="18" t="s">
        <v>5</v>
      </c>
      <c r="D11" s="18" t="s">
        <v>5</v>
      </c>
      <c r="E11" s="18" t="s">
        <v>5</v>
      </c>
      <c r="F11" s="26">
        <v>0.1</v>
      </c>
      <c r="G11" s="26">
        <v>16.2</v>
      </c>
      <c r="H11" s="27"/>
      <c r="I11" s="50" t="s">
        <v>59</v>
      </c>
      <c r="J11" s="50" t="s">
        <v>59</v>
      </c>
      <c r="K11" s="9"/>
    </row>
  </sheetData>
  <mergeCells count="2">
    <mergeCell ref="B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K8"/>
  <sheetViews>
    <sheetView tabSelected="1" workbookViewId="0">
      <selection activeCell="K2" sqref="K2"/>
    </sheetView>
  </sheetViews>
  <sheetFormatPr defaultColWidth="14.6640625" defaultRowHeight="14.4" x14ac:dyDescent="0.3"/>
  <cols>
    <col min="1" max="1" width="28.109375" customWidth="1"/>
    <col min="9" max="9" width="19.77734375" customWidth="1"/>
  </cols>
  <sheetData>
    <row r="1" spans="1:11" s="28" customFormat="1" ht="24.9" customHeight="1" thickBot="1" x14ac:dyDescent="0.35">
      <c r="B1" s="41" t="s">
        <v>41</v>
      </c>
      <c r="C1" s="42"/>
      <c r="D1" s="38" t="s">
        <v>50</v>
      </c>
      <c r="E1" s="39"/>
      <c r="F1" s="40"/>
      <c r="G1" s="31"/>
      <c r="H1" s="31"/>
      <c r="I1" s="31"/>
      <c r="J1" s="31"/>
      <c r="K1" s="31"/>
    </row>
    <row r="2" spans="1:11" ht="66" customHeight="1" thickBot="1" x14ac:dyDescent="0.35">
      <c r="A2" s="29" t="s">
        <v>0</v>
      </c>
      <c r="B2" s="33" t="s">
        <v>24</v>
      </c>
      <c r="C2" s="15" t="s">
        <v>25</v>
      </c>
      <c r="D2" s="5" t="s">
        <v>49</v>
      </c>
      <c r="E2" s="6" t="s">
        <v>45</v>
      </c>
      <c r="F2" s="7" t="s">
        <v>44</v>
      </c>
      <c r="G2" s="7" t="s">
        <v>51</v>
      </c>
      <c r="H2" s="44"/>
      <c r="I2" s="44" t="s">
        <v>52</v>
      </c>
      <c r="J2" s="2"/>
      <c r="K2" s="2"/>
    </row>
    <row r="3" spans="1:11" ht="30" customHeight="1" x14ac:dyDescent="0.3">
      <c r="A3" s="17" t="s">
        <v>26</v>
      </c>
      <c r="B3" s="30">
        <v>0.1</v>
      </c>
      <c r="C3" s="30">
        <v>5.88</v>
      </c>
      <c r="D3" s="52"/>
      <c r="E3" s="49" t="s">
        <v>48</v>
      </c>
      <c r="F3" s="49" t="s">
        <v>48</v>
      </c>
      <c r="G3" s="48">
        <f>H8</f>
        <v>40</v>
      </c>
      <c r="H3" s="45">
        <v>0</v>
      </c>
      <c r="I3" s="46" t="s">
        <v>56</v>
      </c>
      <c r="J3" s="9"/>
      <c r="K3" s="9"/>
    </row>
    <row r="4" spans="1:11" ht="30" customHeight="1" x14ac:dyDescent="0.3">
      <c r="A4" s="17" t="s">
        <v>27</v>
      </c>
      <c r="B4" s="26">
        <v>0</v>
      </c>
      <c r="C4" s="26">
        <v>22.35</v>
      </c>
      <c r="D4" s="53"/>
      <c r="E4" s="50" t="s">
        <v>59</v>
      </c>
      <c r="F4" s="50" t="s">
        <v>59</v>
      </c>
      <c r="H4" s="45">
        <v>6</v>
      </c>
      <c r="I4" s="46" t="s">
        <v>57</v>
      </c>
      <c r="J4" s="9"/>
      <c r="K4" s="9"/>
    </row>
    <row r="5" spans="1:11" ht="30" customHeight="1" x14ac:dyDescent="0.3">
      <c r="A5" s="17" t="s">
        <v>28</v>
      </c>
      <c r="B5" s="26">
        <v>0.49</v>
      </c>
      <c r="C5" s="18">
        <v>6.68</v>
      </c>
      <c r="D5" s="52"/>
      <c r="E5" s="49" t="s">
        <v>48</v>
      </c>
      <c r="F5" s="50" t="s">
        <v>59</v>
      </c>
      <c r="H5" s="45">
        <v>2</v>
      </c>
      <c r="I5" s="46" t="s">
        <v>58</v>
      </c>
      <c r="J5" s="9"/>
      <c r="K5" s="9"/>
    </row>
    <row r="6" spans="1:11" ht="30" customHeight="1" x14ac:dyDescent="0.3">
      <c r="A6" s="17" t="s">
        <v>29</v>
      </c>
      <c r="B6" s="26">
        <v>0.14000000000000001</v>
      </c>
      <c r="C6" s="26">
        <v>6.09</v>
      </c>
      <c r="D6" s="52"/>
      <c r="E6" s="50" t="s">
        <v>59</v>
      </c>
      <c r="F6" s="50" t="s">
        <v>59</v>
      </c>
      <c r="H6" s="45">
        <v>4</v>
      </c>
      <c r="I6" s="46"/>
      <c r="J6" s="9"/>
      <c r="K6" s="9"/>
    </row>
    <row r="7" spans="1:11" ht="30" customHeight="1" x14ac:dyDescent="0.3">
      <c r="A7" s="17" t="s">
        <v>30</v>
      </c>
      <c r="B7" s="26">
        <v>0.73</v>
      </c>
      <c r="C7" s="26">
        <v>41</v>
      </c>
      <c r="D7" s="54"/>
      <c r="E7" s="49" t="s">
        <v>48</v>
      </c>
      <c r="F7" s="49" t="s">
        <v>48</v>
      </c>
      <c r="H7" s="45">
        <f>10*3</f>
        <v>30</v>
      </c>
      <c r="I7" s="46" t="s">
        <v>54</v>
      </c>
      <c r="J7" s="9"/>
      <c r="K7" s="9"/>
    </row>
    <row r="8" spans="1:11" x14ac:dyDescent="0.3">
      <c r="H8" s="47">
        <f>SUM(H3:H6)/H7*100</f>
        <v>40</v>
      </c>
      <c r="I8" s="46" t="s">
        <v>55</v>
      </c>
    </row>
  </sheetData>
  <mergeCells count="2"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M8"/>
  <sheetViews>
    <sheetView workbookViewId="0">
      <selection sqref="A1:G6"/>
    </sheetView>
  </sheetViews>
  <sheetFormatPr defaultColWidth="14.6640625" defaultRowHeight="14.4" x14ac:dyDescent="0.3"/>
  <cols>
    <col min="1" max="1" width="24" customWidth="1"/>
    <col min="9" max="9" width="18.5546875" customWidth="1"/>
  </cols>
  <sheetData>
    <row r="1" spans="1:13" s="14" customFormat="1" ht="24.9" customHeight="1" thickBot="1" x14ac:dyDescent="0.35">
      <c r="A1" s="28"/>
      <c r="B1" s="41" t="s">
        <v>41</v>
      </c>
      <c r="C1" s="42"/>
      <c r="D1" s="38" t="s">
        <v>50</v>
      </c>
      <c r="E1" s="39"/>
      <c r="F1" s="40"/>
      <c r="G1" s="13"/>
      <c r="H1" s="43"/>
      <c r="I1" s="43"/>
      <c r="J1" s="43"/>
      <c r="K1" s="43"/>
      <c r="L1" s="34"/>
      <c r="M1" s="34"/>
    </row>
    <row r="2" spans="1:13" ht="66" customHeight="1" thickBot="1" x14ac:dyDescent="0.35">
      <c r="A2" s="29" t="s">
        <v>0</v>
      </c>
      <c r="B2" s="33" t="s">
        <v>18</v>
      </c>
      <c r="C2" s="15" t="s">
        <v>19</v>
      </c>
      <c r="D2" s="5" t="s">
        <v>49</v>
      </c>
      <c r="E2" s="6" t="s">
        <v>45</v>
      </c>
      <c r="F2" s="7" t="s">
        <v>44</v>
      </c>
      <c r="G2" s="7" t="s">
        <v>51</v>
      </c>
      <c r="H2" s="44"/>
      <c r="I2" s="44" t="s">
        <v>52</v>
      </c>
      <c r="J2" s="2"/>
      <c r="K2" s="2"/>
      <c r="L2" s="2"/>
      <c r="M2" s="2"/>
    </row>
    <row r="3" spans="1:13" ht="30" customHeight="1" x14ac:dyDescent="0.3">
      <c r="A3" s="17" t="s">
        <v>20</v>
      </c>
      <c r="B3" s="19">
        <v>0.12</v>
      </c>
      <c r="C3" s="19">
        <v>14.82</v>
      </c>
      <c r="D3" s="52"/>
      <c r="E3" s="49" t="s">
        <v>48</v>
      </c>
      <c r="F3" s="49" t="s">
        <v>48</v>
      </c>
      <c r="G3" s="48">
        <f>H8</f>
        <v>0</v>
      </c>
      <c r="H3" s="45">
        <v>0</v>
      </c>
      <c r="I3" s="46" t="s">
        <v>56</v>
      </c>
      <c r="J3" s="9"/>
      <c r="K3" s="9"/>
    </row>
    <row r="4" spans="1:13" ht="30" customHeight="1" x14ac:dyDescent="0.3">
      <c r="A4" s="17" t="s">
        <v>21</v>
      </c>
      <c r="B4" s="18">
        <v>0.41</v>
      </c>
      <c r="C4" s="18">
        <v>20.81</v>
      </c>
      <c r="D4" s="52"/>
      <c r="E4" s="49" t="s">
        <v>48</v>
      </c>
      <c r="F4" s="49" t="s">
        <v>48</v>
      </c>
      <c r="H4" s="45">
        <v>0</v>
      </c>
      <c r="I4" s="46" t="s">
        <v>57</v>
      </c>
      <c r="J4" s="9"/>
      <c r="K4" s="9"/>
    </row>
    <row r="5" spans="1:13" ht="30" customHeight="1" x14ac:dyDescent="0.3">
      <c r="A5" s="17" t="s">
        <v>22</v>
      </c>
      <c r="B5" s="18">
        <v>0.24</v>
      </c>
      <c r="C5" s="18">
        <v>9.43</v>
      </c>
      <c r="D5" s="52"/>
      <c r="E5" s="49" t="s">
        <v>48</v>
      </c>
      <c r="F5" s="49" t="s">
        <v>48</v>
      </c>
      <c r="H5" s="45">
        <v>0</v>
      </c>
      <c r="I5" s="46" t="s">
        <v>58</v>
      </c>
      <c r="J5" s="9"/>
      <c r="K5" s="9"/>
    </row>
    <row r="6" spans="1:13" ht="30" customHeight="1" x14ac:dyDescent="0.3">
      <c r="A6" s="17" t="s">
        <v>23</v>
      </c>
      <c r="B6" s="18">
        <v>0.77</v>
      </c>
      <c r="C6" s="18">
        <v>45.06</v>
      </c>
      <c r="D6" s="52"/>
      <c r="E6" s="49" t="s">
        <v>48</v>
      </c>
      <c r="F6" s="49" t="s">
        <v>48</v>
      </c>
      <c r="H6" s="45">
        <v>0</v>
      </c>
      <c r="I6" s="46" t="s">
        <v>53</v>
      </c>
      <c r="J6" s="9"/>
      <c r="K6" s="9"/>
    </row>
    <row r="7" spans="1:13" x14ac:dyDescent="0.3">
      <c r="H7" s="45">
        <f>8*3</f>
        <v>24</v>
      </c>
      <c r="I7" s="46" t="s">
        <v>54</v>
      </c>
    </row>
    <row r="8" spans="1:13" x14ac:dyDescent="0.3">
      <c r="H8" s="47">
        <f>SUM(H3:H6)/H7*100</f>
        <v>0</v>
      </c>
      <c r="I8" s="46" t="s">
        <v>55</v>
      </c>
    </row>
  </sheetData>
  <mergeCells count="5">
    <mergeCell ref="L1:M1"/>
    <mergeCell ref="B1:C1"/>
    <mergeCell ref="H1:I1"/>
    <mergeCell ref="J1:K1"/>
    <mergeCell ref="D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9" ma:contentTypeDescription="Create a new document." ma:contentTypeScope="" ma:versionID="e70be3d8be502fb3e557a9cf2fa9255a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4202574f86a96e2ffc201694441f954d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8ECC0C-6D6F-4795-BBC9-4AFB4797681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E224B2F-0347-4590-8653-688D75D49A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D6A604-627A-4FD6-A29B-D0E55074D2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Macroinvertebrates</vt:lpstr>
      <vt:lpstr>Zooplankton</vt:lpstr>
      <vt:lpstr>Phytoplankton</vt:lpstr>
      <vt:lpstr>Periphyton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Steve</cp:lastModifiedBy>
  <dcterms:created xsi:type="dcterms:W3CDTF">2022-02-02T18:59:30Z</dcterms:created>
  <dcterms:modified xsi:type="dcterms:W3CDTF">2022-06-27T12:57:17Z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