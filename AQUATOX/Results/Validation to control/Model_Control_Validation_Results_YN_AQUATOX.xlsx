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dborg36\Desktop\For Plane\01_Model_Validation\2021_Validation\Aquatox_Results_Validation_2021\Output\"/>
    </mc:Choice>
  </mc:AlternateContent>
  <xr:revisionPtr revIDLastSave="0" documentId="13_ncr:1_{C7E2FB9E-BF3C-456B-A353-2EBF8C785E00}" xr6:coauthVersionLast="47" xr6:coauthVersionMax="47" xr10:uidLastSave="{00000000-0000-0000-0000-000000000000}"/>
  <bookViews>
    <workbookView xWindow="1560" yWindow="1560" windowWidth="15825" windowHeight="13860" xr2:uid="{25742E95-71A2-47F4-BADB-F3B141FE90A1}"/>
  </bookViews>
  <sheets>
    <sheet name="Overall_Results" sheetId="6" r:id="rId1"/>
    <sheet name="Macroinvertebrates" sheetId="1" r:id="rId2"/>
    <sheet name="Zooplankton" sheetId="2" r:id="rId3"/>
    <sheet name="Phytoplankton" sheetId="3" r:id="rId4"/>
    <sheet name="Periphyton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<sst xmlns="http://schemas.openxmlformats.org/spreadsheetml/2006/main" count="162" uniqueCount="46">
  <si>
    <t>CALIBRATION CRITERIA</t>
  </si>
  <si>
    <t>ARE THE CRITERIA FULFILLED? (Y/N)</t>
  </si>
  <si>
    <t>Species group</t>
  </si>
  <si>
    <t xml:space="preserve">Earliest peak date </t>
  </si>
  <si>
    <t>Latest peak date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</si>
  <si>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</si>
  <si>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</si>
  <si>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</si>
  <si>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</si>
  <si>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</si>
  <si>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</si>
  <si>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</si>
  <si>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</si>
  <si>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</si>
  <si>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</si>
  <si>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</si>
  <si>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Oligochaeta</t>
  </si>
  <si>
    <t>Tanypodinae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</si>
  <si>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</si>
  <si>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</si>
  <si>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</si>
  <si>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</si>
  <si>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</si>
  <si>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</si>
  <si>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Rotifera_herbivorous1</t>
  </si>
  <si>
    <t>Rotifera_herbivorous2</t>
  </si>
  <si>
    <t>Simocephalus</t>
  </si>
  <si>
    <t>Odonata (Total)</t>
  </si>
  <si>
    <t>Y</t>
  </si>
  <si>
    <t>N</t>
  </si>
  <si>
    <t>Percent Criteria Met (all studies/groups)</t>
  </si>
  <si>
    <t>Percent Criteria Met (EXCLUDE PEAKS)</t>
  </si>
  <si>
    <t>Minimum peak biomass</t>
  </si>
  <si>
    <t>Maximum peak biomass</t>
  </si>
  <si>
    <t>Minimum biomass</t>
  </si>
  <si>
    <t>Maximum biomass</t>
  </si>
  <si>
    <t xml:space="preserve"> Peak date and biomass</t>
  </si>
  <si>
    <t>Blue Greens</t>
  </si>
  <si>
    <t>Cryptophytes</t>
  </si>
  <si>
    <t>Diatoms</t>
  </si>
  <si>
    <t>Greens</t>
  </si>
  <si>
    <t>Total Phytoplankton</t>
  </si>
  <si>
    <t>Minimum Chlorophyll a (mg/L dry)</t>
  </si>
  <si>
    <t xml:space="preserve">Maximum Chlorophyll a (mg/L dry) </t>
  </si>
  <si>
    <t>Maximum Chlorophyll a (mg/L dry)</t>
  </si>
  <si>
    <t>Total Periphyton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</si>
</sst>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5" xfId="0" applyBorder="1"/>
    <xf numFmtId="0" fontId="2" fillId="0" borderId="5" xfId="0" applyFont="1" applyBorder="1" applyAlignment="1">
      <alignment horizontal="right" vertical="center" wrapText="1"/>
    </xf>
    <xf numFmtId="16" fontId="0" fillId="0" borderId="5" xfId="0" applyNumberForma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16" fontId="2" fillId="0" borderId="5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16" fontId="0" fillId="0" borderId="4" xfId="0" applyNumberForma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22"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254A-B451-4CED-8975-54A86735A0CB}">
  <dimension ref="B2:C3"/>
  <sheetViews>
    <sheetView tabSelected="1" workbookViewId="0">
      <selection activeCell="C9" sqref="C9"/>
    </sheetView>
  </sheetViews>
  <sheetFormatPr defaultRowHeight="15" x14ac:dyDescent="0.25"/>
  <cols>
    <col min="2" max="2" width="40.7109375" customWidth="1"/>
    <col min="3" max="3" width="35.28515625" customWidth="1"/>
  </cols>
  <sheetData>
    <row r="2" spans="2:3" x14ac:dyDescent="0.25">
      <c r="B2" t="s">
        <v>30</v>
      </c>
      <c r="C2" t="s">
        <v>31</v>
      </c>
    </row>
    <row r="3" spans="2:3" x14ac:dyDescent="0.25">
      <c r="B3">
        <v>93.548387096774206</v>
      </c>
      <c r="C3">
        <v>98.214285714285694</v>
      </c>
    </row>
  </sheetData>
  <conditionalFormatting sqref="B3:C3">
    <cfRule type="expression" dxfId="21" priority="1">
      <formula>B3&lt;90</formula>
    </cfRule>
    <cfRule type="expression" dxfId="20" priority="2">
      <formula>B3&gt;=90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Y14"/>
  <sheetViews>
    <sheetView workbookViewId="0">
      <pane ySplit="1" topLeftCell="A2" activePane="bottomLeft" state="frozen"/>
      <selection pane="bottomLeft" activeCell="A2" sqref="A2:J2"/>
    </sheetView>
  </sheetViews>
  <sheetFormatPr defaultColWidth="14.7109375" defaultRowHeight="15" x14ac:dyDescent="0.25"/>
  <sheetData>
    <row r="1" spans="1:25" s="7" customFormat="1" ht="24.95" customHeight="1" thickBot="1" x14ac:dyDescent="0.3">
      <c r="B1" s="21" t="s">
        <v>0</v>
      </c>
      <c r="C1" s="22"/>
      <c r="D1" s="22"/>
      <c r="E1" s="22"/>
      <c r="F1" s="22"/>
      <c r="G1" s="23"/>
      <c r="H1" s="21" t="s">
        <v>1</v>
      </c>
      <c r="I1" s="22"/>
      <c r="J1" s="23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s="1" customFormat="1" ht="66" customHeight="1" thickBot="1" x14ac:dyDescent="0.3">
      <c r="A2" s="9" t="s">
        <v>2</v>
      </c>
      <c r="B2" s="4" t="s">
        <v>3</v>
      </c>
      <c r="C2" s="5" t="s">
        <v>4</v>
      </c>
      <c r="D2" s="29" t="s">
        <v>32</v>
      </c>
      <c r="E2" s="29" t="s">
        <v>33</v>
      </c>
      <c r="F2" s="29" t="s">
        <v>34</v>
      </c>
      <c r="G2" s="10" t="s">
        <v>35</v>
      </c>
      <c r="H2" s="9" t="s">
        <v>36</v>
      </c>
      <c r="I2" s="9" t="s">
        <v>34</v>
      </c>
      <c r="J2" s="10" t="s">
        <v>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0" customHeight="1" x14ac:dyDescent="0.25">
      <c r="A3" s="11" t="s">
        <v>5</v>
      </c>
      <c r="B3" s="18" t="s">
        <v>6</v>
      </c>
      <c r="C3" s="18" t="s">
        <v>6</v>
      </c>
      <c r="D3" s="13"/>
      <c r="E3" s="13"/>
      <c r="F3" s="13">
        <v>1.6999999999999999E-3</v>
      </c>
      <c r="G3" s="13">
        <v>0.26</v>
      </c>
      <c r="H3" s="13"/>
      <c r="I3" s="13" t="s">
        <v>28</v>
      </c>
      <c r="J3" s="13" t="s">
        <v>28</v>
      </c>
    </row>
    <row r="4" spans="1:25" ht="30" customHeight="1" x14ac:dyDescent="0.25">
      <c r="A4" s="16" t="s">
        <v>7</v>
      </c>
      <c r="B4" s="14" t="s">
        <v>8</v>
      </c>
      <c r="C4" s="17">
        <v>44773</v>
      </c>
      <c r="D4" s="13">
        <v>0.28000000000000003</v>
      </c>
      <c r="E4" s="13">
        <v>0.59</v>
      </c>
      <c r="F4" s="13">
        <v>3.4000000000000002E-2</v>
      </c>
      <c r="G4" s="13">
        <v>0.53</v>
      </c>
      <c r="H4" s="13" t="s">
        <v>29</v>
      </c>
      <c r="I4" s="13" t="s">
        <v>28</v>
      </c>
      <c r="J4" s="13" t="s">
        <v>28</v>
      </c>
    </row>
    <row r="5" spans="1:25" ht="30" customHeight="1" x14ac:dyDescent="0.25">
      <c r="A5" s="11" t="s">
        <v>9</v>
      </c>
      <c r="B5" s="12" t="s">
        <v>6</v>
      </c>
      <c r="C5" s="12" t="s">
        <v>6</v>
      </c>
      <c r="D5" s="13"/>
      <c r="E5" s="13"/>
      <c r="F5" s="13">
        <v>0</v>
      </c>
      <c r="G5" s="13">
        <v>0.18</v>
      </c>
      <c r="H5" s="13"/>
      <c r="I5" s="13" t="s">
        <v>28</v>
      </c>
      <c r="J5" s="13" t="s">
        <v>28</v>
      </c>
    </row>
    <row r="6" spans="1:25" ht="30" customHeight="1" x14ac:dyDescent="0.25">
      <c r="A6" s="11" t="s">
        <v>10</v>
      </c>
      <c r="B6" s="12" t="s">
        <v>6</v>
      </c>
      <c r="C6" s="12" t="s">
        <v>6</v>
      </c>
      <c r="D6" s="13"/>
      <c r="E6" s="13"/>
      <c r="F6" s="13">
        <v>7.5000000000000002E-4</v>
      </c>
      <c r="G6" s="13">
        <v>6.2E-2</v>
      </c>
      <c r="H6" s="13"/>
      <c r="I6" s="13" t="s">
        <v>28</v>
      </c>
      <c r="J6" s="13" t="s">
        <v>28</v>
      </c>
    </row>
    <row r="7" spans="1:25" ht="30" customHeight="1" x14ac:dyDescent="0.25">
      <c r="A7" s="11" t="s">
        <v>11</v>
      </c>
      <c r="B7" s="12" t="s">
        <v>12</v>
      </c>
      <c r="C7" s="15">
        <v>44769</v>
      </c>
      <c r="D7" s="13">
        <v>9.2999999999999992E-3</v>
      </c>
      <c r="E7" s="13">
        <v>5.1999999999999998E-2</v>
      </c>
      <c r="F7" s="13">
        <v>0</v>
      </c>
      <c r="G7" s="13">
        <v>0.05</v>
      </c>
      <c r="H7" s="13" t="s">
        <v>28</v>
      </c>
      <c r="I7" s="13" t="s">
        <v>28</v>
      </c>
      <c r="J7" s="13" t="s">
        <v>28</v>
      </c>
    </row>
    <row r="8" spans="1:25" ht="30" customHeight="1" x14ac:dyDescent="0.25">
      <c r="A8" s="11" t="s">
        <v>13</v>
      </c>
      <c r="B8" s="12" t="s">
        <v>6</v>
      </c>
      <c r="C8" s="12" t="s">
        <v>6</v>
      </c>
      <c r="D8" s="13"/>
      <c r="E8" s="13"/>
      <c r="F8" s="13">
        <v>0.85</v>
      </c>
      <c r="G8" s="13">
        <v>11</v>
      </c>
      <c r="H8" s="13"/>
      <c r="I8" s="13" t="s">
        <v>28</v>
      </c>
      <c r="J8" s="13" t="s">
        <v>28</v>
      </c>
    </row>
    <row r="9" spans="1:25" ht="30" customHeight="1" x14ac:dyDescent="0.25">
      <c r="A9" s="11" t="s">
        <v>14</v>
      </c>
      <c r="B9" s="12" t="s">
        <v>6</v>
      </c>
      <c r="C9" s="12" t="s">
        <v>6</v>
      </c>
      <c r="D9" s="13"/>
      <c r="E9" s="13"/>
      <c r="F9" s="13">
        <v>0</v>
      </c>
      <c r="G9" s="13">
        <v>0.89</v>
      </c>
      <c r="H9" s="13"/>
      <c r="I9" s="13" t="s">
        <v>28</v>
      </c>
      <c r="J9" s="13" t="s">
        <v>28</v>
      </c>
    </row>
    <row r="10" spans="1:25" ht="30" customHeight="1" x14ac:dyDescent="0.25">
      <c r="A10" s="11" t="s">
        <v>15</v>
      </c>
      <c r="B10" s="12" t="s">
        <v>6</v>
      </c>
      <c r="C10" s="12" t="s">
        <v>6</v>
      </c>
      <c r="D10" s="13"/>
      <c r="E10" s="13"/>
      <c r="F10" s="13">
        <v>4.3E-3</v>
      </c>
      <c r="G10" s="13">
        <v>8.5999999999999993E-2</v>
      </c>
      <c r="H10" s="13"/>
      <c r="I10" s="13" t="s">
        <v>28</v>
      </c>
      <c r="J10" s="13" t="s">
        <v>28</v>
      </c>
    </row>
    <row r="11" spans="1:25" ht="30" customHeight="1" x14ac:dyDescent="0.25">
      <c r="A11" s="11" t="s">
        <v>27</v>
      </c>
      <c r="B11" s="12" t="s">
        <v>6</v>
      </c>
      <c r="C11" s="12" t="s">
        <v>6</v>
      </c>
      <c r="D11" s="13"/>
      <c r="E11" s="13"/>
      <c r="F11" s="13">
        <v>1.6E-2</v>
      </c>
      <c r="G11" s="13">
        <v>0.46</v>
      </c>
      <c r="H11" s="13"/>
      <c r="I11" s="13" t="s">
        <v>28</v>
      </c>
      <c r="J11" s="13" t="s">
        <v>28</v>
      </c>
    </row>
    <row r="12" spans="1:25" ht="30" customHeight="1" x14ac:dyDescent="0.25">
      <c r="A12" s="11" t="s">
        <v>16</v>
      </c>
      <c r="B12" s="12" t="s">
        <v>6</v>
      </c>
      <c r="C12" s="12" t="s">
        <v>6</v>
      </c>
      <c r="D12" s="13"/>
      <c r="E12" s="13"/>
      <c r="F12" s="13">
        <v>7.4999999999999997E-3</v>
      </c>
      <c r="G12" s="13">
        <v>0.45</v>
      </c>
      <c r="H12" s="13"/>
      <c r="I12" s="13" t="s">
        <v>28</v>
      </c>
      <c r="J12" s="13" t="s">
        <v>28</v>
      </c>
    </row>
    <row r="13" spans="1:25" ht="30" customHeight="1" x14ac:dyDescent="0.25">
      <c r="A13" s="11" t="s">
        <v>17</v>
      </c>
      <c r="B13" s="12" t="s">
        <v>12</v>
      </c>
      <c r="C13" s="15">
        <v>44753</v>
      </c>
      <c r="D13" s="13">
        <v>6.8999999999999999E-3</v>
      </c>
      <c r="E13" s="13">
        <v>7.3999999999999996E-2</v>
      </c>
      <c r="F13" s="13">
        <v>0</v>
      </c>
      <c r="G13" s="13">
        <v>7.1999999999999995E-2</v>
      </c>
      <c r="H13" s="13" t="s">
        <v>29</v>
      </c>
      <c r="I13" s="13" t="s">
        <v>28</v>
      </c>
      <c r="J13" s="13" t="s">
        <v>28</v>
      </c>
    </row>
    <row r="14" spans="1:25" x14ac:dyDescent="0.25">
      <c r="H14" s="7"/>
      <c r="I14" s="7"/>
      <c r="J14" s="7"/>
    </row>
  </sheetData>
  <mergeCells count="5">
    <mergeCell ref="P1:T1"/>
    <mergeCell ref="U1:Y1"/>
    <mergeCell ref="B1:G1"/>
    <mergeCell ref="H1:J1"/>
    <mergeCell ref="K1:O1"/>
  </mergeCells>
  <conditionalFormatting sqref="H3:J10">
    <cfRule type="expression" dxfId="19" priority="7">
      <formula>H3="N"</formula>
    </cfRule>
    <cfRule type="expression" dxfId="18" priority="8">
      <formula>H3="Y"</formula>
    </cfRule>
  </conditionalFormatting>
  <conditionalFormatting sqref="H11:J13">
    <cfRule type="expression" dxfId="17" priority="5">
      <formula>H11="N"</formula>
    </cfRule>
    <cfRule type="expression" dxfId="16" priority="6">
      <formula>H11="Y"</formula>
    </cfRule>
  </conditionalFormatting>
  <conditionalFormatting sqref="D3:G11">
    <cfRule type="expression" dxfId="15" priority="3">
      <formula>D3="N"</formula>
    </cfRule>
    <cfRule type="expression" dxfId="14" priority="4">
      <formula>D3="Y"</formula>
    </cfRule>
  </conditionalFormatting>
  <conditionalFormatting sqref="D12:G13">
    <cfRule type="expression" dxfId="13" priority="1">
      <formula>D12="N"</formula>
    </cfRule>
    <cfRule type="expression" dxfId="12" priority="2">
      <formula>D12="Y"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AA10"/>
  <sheetViews>
    <sheetView workbookViewId="0">
      <selection activeCell="A2" sqref="A2:J2"/>
    </sheetView>
  </sheetViews>
  <sheetFormatPr defaultColWidth="14.7109375" defaultRowHeight="15" x14ac:dyDescent="0.25"/>
  <cols>
    <col min="1" max="1" width="22.5703125" customWidth="1"/>
  </cols>
  <sheetData>
    <row r="1" spans="1:27" s="7" customFormat="1" ht="24.95" customHeight="1" thickBot="1" x14ac:dyDescent="0.3">
      <c r="B1" s="21" t="s">
        <v>0</v>
      </c>
      <c r="C1" s="22"/>
      <c r="D1" s="22"/>
      <c r="E1" s="22"/>
      <c r="F1" s="22"/>
      <c r="G1" s="23"/>
      <c r="H1" s="21" t="s">
        <v>1</v>
      </c>
      <c r="I1" s="22"/>
      <c r="J1" s="23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66" customHeight="1" thickBot="1" x14ac:dyDescent="0.3">
      <c r="A2" s="9" t="s">
        <v>2</v>
      </c>
      <c r="B2" s="4" t="s">
        <v>3</v>
      </c>
      <c r="C2" s="5" t="s">
        <v>4</v>
      </c>
      <c r="D2" s="29" t="s">
        <v>32</v>
      </c>
      <c r="E2" s="29" t="s">
        <v>33</v>
      </c>
      <c r="F2" s="29" t="s">
        <v>34</v>
      </c>
      <c r="G2" s="10" t="s">
        <v>35</v>
      </c>
      <c r="H2" s="9" t="s">
        <v>36</v>
      </c>
      <c r="I2" s="9" t="s">
        <v>34</v>
      </c>
      <c r="J2" s="10" t="s">
        <v>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0" customHeight="1" x14ac:dyDescent="0.25">
      <c r="A3" s="6" t="s">
        <v>18</v>
      </c>
      <c r="B3" s="19">
        <v>44761</v>
      </c>
      <c r="C3" s="18" t="s">
        <v>19</v>
      </c>
      <c r="D3" s="13">
        <v>8.8999999999999995E-5</v>
      </c>
      <c r="E3" s="13">
        <v>8.2000000000000007E-3</v>
      </c>
      <c r="F3" s="13">
        <v>0</v>
      </c>
      <c r="G3" s="13">
        <v>7.1999999999999998E-3</v>
      </c>
      <c r="H3" s="13" t="s">
        <v>28</v>
      </c>
      <c r="I3" s="13" t="s">
        <v>28</v>
      </c>
      <c r="J3" s="13" t="s">
        <v>28</v>
      </c>
    </row>
    <row r="4" spans="1:27" ht="30" customHeight="1" x14ac:dyDescent="0.25">
      <c r="A4" s="11" t="s">
        <v>20</v>
      </c>
      <c r="B4" s="12" t="s">
        <v>6</v>
      </c>
      <c r="C4" s="12" t="s">
        <v>6</v>
      </c>
      <c r="D4" s="13"/>
      <c r="E4" s="13"/>
      <c r="F4" s="13">
        <v>0</v>
      </c>
      <c r="G4" s="13">
        <v>0.28999999999999998</v>
      </c>
      <c r="H4" s="13"/>
      <c r="I4" s="13" t="s">
        <v>28</v>
      </c>
      <c r="J4" s="13" t="s">
        <v>28</v>
      </c>
    </row>
    <row r="5" spans="1:27" ht="30" customHeight="1" x14ac:dyDescent="0.25">
      <c r="A5" s="11" t="s">
        <v>21</v>
      </c>
      <c r="B5" s="12" t="s">
        <v>6</v>
      </c>
      <c r="C5" s="12" t="s">
        <v>6</v>
      </c>
      <c r="D5" s="13"/>
      <c r="E5" s="13"/>
      <c r="F5" s="13">
        <v>0</v>
      </c>
      <c r="G5" s="13">
        <v>0.13</v>
      </c>
      <c r="H5" s="13"/>
      <c r="I5" s="13" t="s">
        <v>28</v>
      </c>
      <c r="J5" s="13" t="s">
        <v>28</v>
      </c>
    </row>
    <row r="6" spans="1:27" ht="30" customHeight="1" x14ac:dyDescent="0.25">
      <c r="A6" s="11" t="s">
        <v>22</v>
      </c>
      <c r="B6" s="12" t="s">
        <v>6</v>
      </c>
      <c r="C6" s="12" t="s">
        <v>6</v>
      </c>
      <c r="D6" s="13"/>
      <c r="E6" s="13"/>
      <c r="F6" s="13">
        <v>0.2</v>
      </c>
      <c r="G6" s="13">
        <v>4.5</v>
      </c>
      <c r="H6" s="13"/>
      <c r="I6" s="13" t="s">
        <v>28</v>
      </c>
      <c r="J6" s="13" t="s">
        <v>28</v>
      </c>
    </row>
    <row r="7" spans="1:27" ht="30" customHeight="1" x14ac:dyDescent="0.25">
      <c r="A7" s="11" t="s">
        <v>23</v>
      </c>
      <c r="B7" s="15">
        <v>44754</v>
      </c>
      <c r="C7" s="12" t="s">
        <v>19</v>
      </c>
      <c r="D7" s="13">
        <v>0.42</v>
      </c>
      <c r="E7" s="13">
        <v>3.9</v>
      </c>
      <c r="F7" s="13">
        <v>0</v>
      </c>
      <c r="G7" s="13">
        <v>3.2</v>
      </c>
      <c r="H7" s="13" t="s">
        <v>28</v>
      </c>
      <c r="I7" s="13" t="s">
        <v>28</v>
      </c>
      <c r="J7" s="13" t="s">
        <v>28</v>
      </c>
    </row>
    <row r="8" spans="1:27" ht="30" customHeight="1" x14ac:dyDescent="0.25">
      <c r="A8" s="11" t="s">
        <v>24</v>
      </c>
      <c r="B8" s="12" t="s">
        <v>6</v>
      </c>
      <c r="C8" s="12" t="s">
        <v>6</v>
      </c>
      <c r="D8" s="13"/>
      <c r="E8" s="13"/>
      <c r="F8" s="13">
        <v>1E-4</v>
      </c>
      <c r="G8" s="13">
        <v>5.3999999999999999E-2</v>
      </c>
      <c r="H8" s="13"/>
      <c r="I8" s="13" t="s">
        <v>28</v>
      </c>
      <c r="J8" s="13" t="s">
        <v>28</v>
      </c>
    </row>
    <row r="9" spans="1:27" ht="30" customHeight="1" x14ac:dyDescent="0.25">
      <c r="A9" s="11" t="s">
        <v>25</v>
      </c>
      <c r="B9" s="12" t="s">
        <v>12</v>
      </c>
      <c r="C9" s="15">
        <v>44746</v>
      </c>
      <c r="D9" s="13">
        <v>7.9000000000000008E-3</v>
      </c>
      <c r="E9" s="13">
        <v>0.16</v>
      </c>
      <c r="F9" s="13">
        <v>6.0999999999999997E-4</v>
      </c>
      <c r="G9" s="13">
        <v>0.12</v>
      </c>
      <c r="H9" s="13" t="s">
        <v>29</v>
      </c>
      <c r="I9" s="13" t="s">
        <v>28</v>
      </c>
      <c r="J9" s="13" t="s">
        <v>28</v>
      </c>
    </row>
    <row r="10" spans="1:27" ht="30" customHeight="1" x14ac:dyDescent="0.25">
      <c r="A10" s="11" t="s">
        <v>26</v>
      </c>
      <c r="B10" s="12" t="s">
        <v>6</v>
      </c>
      <c r="C10" s="12" t="s">
        <v>6</v>
      </c>
      <c r="D10" s="13"/>
      <c r="E10" s="13"/>
      <c r="F10" s="13">
        <v>3.8E-3</v>
      </c>
      <c r="G10" s="13">
        <v>0.62</v>
      </c>
      <c r="H10" s="13"/>
      <c r="I10" s="13" t="s">
        <v>28</v>
      </c>
      <c r="J10" s="13" t="s">
        <v>28</v>
      </c>
    </row>
  </sheetData>
  <mergeCells count="5">
    <mergeCell ref="H1:J1"/>
    <mergeCell ref="B1:G1"/>
    <mergeCell ref="M1:Q1"/>
    <mergeCell ref="R1:V1"/>
    <mergeCell ref="W1:AA1"/>
  </mergeCells>
  <conditionalFormatting sqref="D3:J10">
    <cfRule type="expression" dxfId="11" priority="1">
      <formula>D3="N"</formula>
    </cfRule>
    <cfRule type="expression" dxfId="10" priority="2">
      <formula>D3="Y"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J7"/>
  <sheetViews>
    <sheetView workbookViewId="0">
      <selection activeCell="D2" sqref="D2:E2"/>
    </sheetView>
  </sheetViews>
  <sheetFormatPr defaultColWidth="14.7109375" defaultRowHeight="15" x14ac:dyDescent="0.25"/>
  <cols>
    <col min="1" max="1" width="33.5703125" customWidth="1"/>
    <col min="5" max="5" width="20.5703125" customWidth="1"/>
  </cols>
  <sheetData>
    <row r="1" spans="1:10" s="8" customFormat="1" ht="24.95" customHeight="1" thickBot="1" x14ac:dyDescent="0.3">
      <c r="B1" s="24" t="s">
        <v>0</v>
      </c>
      <c r="C1" s="25"/>
      <c r="D1" s="27" t="s">
        <v>1</v>
      </c>
      <c r="E1" s="28"/>
      <c r="G1" s="26"/>
      <c r="H1" s="26"/>
      <c r="I1" s="26"/>
      <c r="J1" s="26"/>
    </row>
    <row r="2" spans="1:10" ht="66" customHeight="1" x14ac:dyDescent="0.25">
      <c r="A2" s="30" t="s">
        <v>2</v>
      </c>
      <c r="B2" s="31" t="s">
        <v>42</v>
      </c>
      <c r="C2" s="32" t="s">
        <v>43</v>
      </c>
      <c r="D2" s="29" t="s">
        <v>34</v>
      </c>
      <c r="E2" s="10" t="s">
        <v>35</v>
      </c>
      <c r="F2" s="2"/>
      <c r="G2" s="2"/>
      <c r="H2" s="2"/>
      <c r="I2" s="2"/>
      <c r="J2" s="2"/>
    </row>
    <row r="3" spans="1:10" ht="30" customHeight="1" x14ac:dyDescent="0.25">
      <c r="A3" s="13" t="s">
        <v>37</v>
      </c>
      <c r="B3" s="13">
        <v>8.6E-3</v>
      </c>
      <c r="C3" s="13">
        <v>0.5</v>
      </c>
      <c r="D3" s="13" t="s">
        <v>28</v>
      </c>
      <c r="E3" s="13" t="s">
        <v>28</v>
      </c>
    </row>
    <row r="4" spans="1:10" ht="30" customHeight="1" x14ac:dyDescent="0.25">
      <c r="A4" s="13" t="s">
        <v>38</v>
      </c>
      <c r="B4" s="13">
        <v>7.4000000000000003E-3</v>
      </c>
      <c r="C4" s="13">
        <v>0.32</v>
      </c>
      <c r="D4" s="13" t="s">
        <v>28</v>
      </c>
      <c r="E4" s="13" t="s">
        <v>28</v>
      </c>
    </row>
    <row r="5" spans="1:10" ht="30" customHeight="1" x14ac:dyDescent="0.25">
      <c r="A5" s="13" t="s">
        <v>39</v>
      </c>
      <c r="B5" s="13">
        <v>2.5999999999999999E-2</v>
      </c>
      <c r="C5" s="13">
        <v>0.36</v>
      </c>
      <c r="D5" s="13" t="s">
        <v>28</v>
      </c>
      <c r="E5" s="13" t="s">
        <v>28</v>
      </c>
    </row>
    <row r="6" spans="1:10" ht="30" customHeight="1" x14ac:dyDescent="0.25">
      <c r="A6" s="13" t="s">
        <v>40</v>
      </c>
      <c r="B6" s="13">
        <v>0</v>
      </c>
      <c r="C6" s="13">
        <v>1.2</v>
      </c>
      <c r="D6" s="13" t="s">
        <v>28</v>
      </c>
      <c r="E6" s="13" t="s">
        <v>28</v>
      </c>
    </row>
    <row r="7" spans="1:10" ht="30" customHeight="1" x14ac:dyDescent="0.25">
      <c r="A7" s="13" t="s">
        <v>41</v>
      </c>
      <c r="B7" s="13">
        <v>3.9E-2</v>
      </c>
      <c r="C7" s="13">
        <v>2.2000000000000002</v>
      </c>
      <c r="D7" s="13" t="s">
        <v>28</v>
      </c>
      <c r="E7" s="13" t="s">
        <v>28</v>
      </c>
    </row>
  </sheetData>
  <mergeCells count="4">
    <mergeCell ref="B1:C1"/>
    <mergeCell ref="G1:H1"/>
    <mergeCell ref="I1:J1"/>
    <mergeCell ref="D1:E1"/>
  </mergeCells>
  <conditionalFormatting sqref="B3:E7">
    <cfRule type="expression" dxfId="9" priority="7">
      <formula>B3="N"</formula>
    </cfRule>
    <cfRule type="expression" dxfId="8" priority="8">
      <formula>B3="Y"</formula>
    </cfRule>
  </conditionalFormatting>
  <conditionalFormatting sqref="A3:A7">
    <cfRule type="expression" dxfId="5" priority="1">
      <formula>A3="N"</formula>
    </cfRule>
    <cfRule type="expression" dxfId="4" priority="2">
      <formula>A3="Y"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L6"/>
  <sheetViews>
    <sheetView workbookViewId="0">
      <selection activeCell="D13" sqref="D13"/>
    </sheetView>
  </sheetViews>
  <sheetFormatPr defaultColWidth="14.7109375" defaultRowHeight="15" x14ac:dyDescent="0.25"/>
  <cols>
    <col min="1" max="1" width="27.140625" customWidth="1"/>
  </cols>
  <sheetData>
    <row r="1" spans="1:12" s="7" customFormat="1" ht="24.95" customHeight="1" thickBot="1" x14ac:dyDescent="0.3">
      <c r="A1" s="8"/>
      <c r="B1" s="24" t="s">
        <v>0</v>
      </c>
      <c r="C1" s="25"/>
      <c r="D1" s="27" t="s">
        <v>1</v>
      </c>
      <c r="E1" s="28"/>
      <c r="F1" s="8"/>
      <c r="G1" s="26"/>
      <c r="H1" s="26"/>
      <c r="I1" s="26"/>
      <c r="J1" s="26"/>
      <c r="K1" s="20"/>
      <c r="L1" s="20"/>
    </row>
    <row r="2" spans="1:12" ht="66" customHeight="1" x14ac:dyDescent="0.25">
      <c r="A2" s="30" t="s">
        <v>2</v>
      </c>
      <c r="B2" s="31" t="s">
        <v>42</v>
      </c>
      <c r="C2" s="32" t="s">
        <v>44</v>
      </c>
      <c r="D2" s="29" t="s">
        <v>34</v>
      </c>
      <c r="E2" s="10" t="s">
        <v>35</v>
      </c>
      <c r="F2" s="2"/>
      <c r="G2" s="2"/>
      <c r="H2" s="2"/>
      <c r="I2" s="2"/>
      <c r="J2" s="2"/>
      <c r="K2" s="2"/>
      <c r="L2" s="2"/>
    </row>
    <row r="3" spans="1:12" ht="30" customHeight="1" x14ac:dyDescent="0.25">
      <c r="A3" s="13" t="s">
        <v>37</v>
      </c>
      <c r="B3" s="13">
        <v>5.5999999999999999E-3</v>
      </c>
      <c r="C3" s="13">
        <v>0.7</v>
      </c>
      <c r="D3" s="13" t="s">
        <v>29</v>
      </c>
      <c r="E3" s="13" t="s">
        <v>28</v>
      </c>
    </row>
    <row r="4" spans="1:12" ht="30" customHeight="1" x14ac:dyDescent="0.25">
      <c r="A4" s="13" t="s">
        <v>39</v>
      </c>
      <c r="B4" s="13">
        <v>1.0999999999999999E-2</v>
      </c>
      <c r="C4" s="13">
        <v>0.44</v>
      </c>
      <c r="D4" s="13" t="s">
        <v>28</v>
      </c>
      <c r="E4" s="13" t="s">
        <v>28</v>
      </c>
    </row>
    <row r="5" spans="1:12" ht="30" customHeight="1" x14ac:dyDescent="0.25">
      <c r="A5" s="13" t="s">
        <v>40</v>
      </c>
      <c r="B5" s="13">
        <v>1.9E-2</v>
      </c>
      <c r="C5" s="13">
        <v>0.98</v>
      </c>
      <c r="D5" s="13" t="s">
        <v>28</v>
      </c>
      <c r="E5" s="13" t="s">
        <v>28</v>
      </c>
    </row>
    <row r="6" spans="1:12" ht="30" customHeight="1" x14ac:dyDescent="0.25">
      <c r="A6" s="13" t="s">
        <v>45</v>
      </c>
      <c r="B6" s="13">
        <v>3.5999999999999997E-2</v>
      </c>
      <c r="C6" s="13">
        <v>2.1</v>
      </c>
      <c r="D6" s="13" t="s">
        <v>28</v>
      </c>
      <c r="E6" s="13" t="s">
        <v>28</v>
      </c>
    </row>
  </sheetData>
  <mergeCells count="5">
    <mergeCell ref="B1:C1"/>
    <mergeCell ref="G1:H1"/>
    <mergeCell ref="I1:J1"/>
    <mergeCell ref="K1:L1"/>
    <mergeCell ref="D1:E1"/>
  </mergeCells>
  <conditionalFormatting sqref="A3:A6">
    <cfRule type="expression" dxfId="2" priority="3">
      <formula>A3="N"</formula>
    </cfRule>
    <cfRule type="expression" dxfId="3" priority="4">
      <formula>A3="Y"</formula>
    </cfRule>
  </conditionalFormatting>
  <conditionalFormatting sqref="B3:E6">
    <cfRule type="expression" dxfId="0" priority="1">
      <formula>B3="N"</formula>
    </cfRule>
    <cfRule type="expression" dxfId="1" priority="2">
      <formula>B3="Y"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B7993-90C0-4989-BB58-3A2495AE73E6}">
  <ds:schemaRefs>
    <ds:schemaRef ds:uri="http://schemas.microsoft.com/office/2006/metadata/properties"/>
    <ds:schemaRef ds:uri="http://schemas.microsoft.com/office/infopath/2007/PartnerControls"/>
    <ds:schemaRef ds:uri="8a40d87b-c72c-4c40-aa8f-f17293a06cf8"/>
    <ds:schemaRef ds:uri="ac4ce1b8-1b9c-4c67-9997-6a09534f0343"/>
  </ds:schemaRefs>
</ds:datastoreItem>
</file>

<file path=customXml/itemProps2.xml><?xml version="1.0" encoding="utf-8"?>
<ds:datastoreItem xmlns:ds="http://schemas.openxmlformats.org/officeDocument/2006/customXml" ds:itemID="{15A9DE36-06EF-4369-AA59-25308AAC4B51}"/>
</file>

<file path=customXml/itemProps3.xml><?xml version="1.0" encoding="utf-8"?>
<ds:datastoreItem xmlns:ds="http://schemas.openxmlformats.org/officeDocument/2006/customXml" ds:itemID="{61435E10-629C-4EA3-97C5-768FF6308B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Overall_Results</vt:lpstr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Analise Lindborg</cp:lastModifiedBy>
  <cp:revision/>
  <dcterms:created xsi:type="dcterms:W3CDTF">2022-02-02T18:59:30Z</dcterms:created>
  <dcterms:modified xsi:type="dcterms:W3CDTF">2023-05-16T01:46:48Z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