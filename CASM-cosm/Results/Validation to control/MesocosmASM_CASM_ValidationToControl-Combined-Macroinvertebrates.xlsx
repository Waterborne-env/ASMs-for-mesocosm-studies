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yngenta_WB-ASM\MesocosmData-Validation\"/>
    </mc:Choice>
  </mc:AlternateContent>
  <xr:revisionPtr revIDLastSave="0" documentId="13_ncr:1_{CD4B902D-3F74-4B1A-9EAC-A7371D1B6FE8}" xr6:coauthVersionLast="47" xr6:coauthVersionMax="47" xr10:uidLastSave="{00000000-0000-0000-0000-000000000000}"/>
  <bookViews>
    <workbookView xWindow="32010" yWindow="2040" windowWidth="20115" windowHeight="12855" firstSheet="15" activeTab="18" xr2:uid="{075614E4-6253-4D74-B70A-DD4D9EC3BFD1}"/>
  </bookViews>
  <sheets>
    <sheet name="Aeshnidae - dragonfly" sheetId="16" r:id="rId1"/>
    <sheet name="Aeshna cy.- dragonfly (2)" sheetId="17" r:id="rId2"/>
    <sheet name="Anisoptera- dragonfly" sheetId="19" r:id="rId3"/>
    <sheet name="Asellus" sheetId="1" r:id="rId4"/>
    <sheet name="Chaoborus (lrv)" sheetId="2" r:id="rId5"/>
    <sheet name="Chironomidae (lrv)" sheetId="3" r:id="rId6"/>
    <sheet name="Cloeon spp" sheetId="4" r:id="rId7"/>
    <sheet name="Coenagrionidae-odonates" sheetId="5" r:id="rId8"/>
    <sheet name="Dugesia - flatworm" sheetId="6" r:id="rId9"/>
    <sheet name="Gammarus pulex" sheetId="18" r:id="rId10"/>
    <sheet name="Haemopsis - leech" sheetId="8" r:id="rId11"/>
    <sheet name="Helobdella - leech" sheetId="7" r:id="rId12"/>
    <sheet name="Lymnaea - snail" sheetId="9" r:id="rId13"/>
    <sheet name="Notonecta - backswimmer" sheetId="10" r:id="rId14"/>
    <sheet name="Phryganea - trichoptera" sheetId="11" r:id="rId15"/>
    <sheet name="Planorbis - snail" sheetId="12" r:id="rId16"/>
    <sheet name="Tanypodinae " sheetId="13" r:id="rId17"/>
    <sheet name="Tubifex spp" sheetId="14" r:id="rId18"/>
    <sheet name="Zygoptera - damselflies" sheetId="15" r:id="rId19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41" i="15" l="1"/>
  <c r="O40" i="15"/>
  <c r="O39" i="15"/>
  <c r="J46" i="14"/>
  <c r="J45" i="14"/>
  <c r="J44" i="14"/>
  <c r="J48" i="13"/>
  <c r="J47" i="13"/>
  <c r="J46" i="13"/>
  <c r="J48" i="12"/>
  <c r="J47" i="12"/>
  <c r="J46" i="12"/>
  <c r="J48" i="10"/>
  <c r="J47" i="10"/>
  <c r="J46" i="10"/>
  <c r="J48" i="9"/>
  <c r="J47" i="9"/>
  <c r="J46" i="9"/>
  <c r="J48" i="7"/>
  <c r="I48" i="7"/>
  <c r="J47" i="7"/>
  <c r="I47" i="7"/>
  <c r="J46" i="7"/>
  <c r="I46" i="7"/>
  <c r="I48" i="4"/>
  <c r="I47" i="4"/>
  <c r="I46" i="4"/>
  <c r="I48" i="3"/>
  <c r="I47" i="3"/>
  <c r="I46" i="3"/>
  <c r="I47" i="2"/>
  <c r="I46" i="2"/>
  <c r="I45" i="2"/>
  <c r="I48" i="1"/>
  <c r="I47" i="1"/>
  <c r="I46" i="1"/>
  <c r="I43" i="19"/>
  <c r="I42" i="19"/>
  <c r="I41" i="19"/>
  <c r="H43" i="19"/>
  <c r="H42" i="19"/>
  <c r="H41" i="19"/>
  <c r="N41" i="15"/>
  <c r="N40" i="15"/>
  <c r="N39" i="15"/>
  <c r="I46" i="14"/>
  <c r="I45" i="14"/>
  <c r="I44" i="14"/>
  <c r="I48" i="13"/>
  <c r="I47" i="13"/>
  <c r="I46" i="13"/>
  <c r="I48" i="12"/>
  <c r="I47" i="12"/>
  <c r="I46" i="12"/>
  <c r="I48" i="10"/>
  <c r="I47" i="10"/>
  <c r="I46" i="10"/>
  <c r="I48" i="9"/>
  <c r="I47" i="9"/>
  <c r="I46" i="9"/>
  <c r="H44" i="8"/>
  <c r="H43" i="8"/>
  <c r="H42" i="8"/>
  <c r="M39" i="18"/>
  <c r="M38" i="18"/>
  <c r="M37" i="18"/>
  <c r="H48" i="4"/>
  <c r="H47" i="4"/>
  <c r="H46" i="4"/>
  <c r="H48" i="3"/>
  <c r="H47" i="3"/>
  <c r="H46" i="3"/>
  <c r="H47" i="2"/>
  <c r="H46" i="2"/>
  <c r="H45" i="2"/>
  <c r="H48" i="1"/>
  <c r="H47" i="1"/>
  <c r="H46" i="1"/>
  <c r="F43" i="19"/>
  <c r="F42" i="19"/>
  <c r="F41" i="19"/>
  <c r="F41" i="15"/>
  <c r="E41" i="15"/>
  <c r="F40" i="15"/>
  <c r="E40" i="15"/>
  <c r="F39" i="15"/>
  <c r="E39" i="15"/>
  <c r="C41" i="15"/>
  <c r="C40" i="15"/>
  <c r="C39" i="15"/>
  <c r="F48" i="13"/>
  <c r="F47" i="13"/>
  <c r="F46" i="13"/>
  <c r="F48" i="12"/>
  <c r="F47" i="12"/>
  <c r="F46" i="12"/>
  <c r="F33" i="11"/>
  <c r="F32" i="11"/>
  <c r="F31" i="11"/>
  <c r="F48" i="10"/>
  <c r="F47" i="10"/>
  <c r="F46" i="10"/>
  <c r="F48" i="9"/>
  <c r="F47" i="9"/>
  <c r="F46" i="9"/>
  <c r="F48" i="7"/>
  <c r="F47" i="7"/>
  <c r="F46" i="7"/>
  <c r="F44" i="8"/>
  <c r="F43" i="8"/>
  <c r="F42" i="8"/>
  <c r="F44" i="6"/>
  <c r="F43" i="6"/>
  <c r="F42" i="6"/>
  <c r="F48" i="4"/>
  <c r="F47" i="4"/>
  <c r="F46" i="4"/>
  <c r="F48" i="3"/>
  <c r="F47" i="3"/>
  <c r="F46" i="3"/>
  <c r="F47" i="2"/>
  <c r="F46" i="2"/>
  <c r="F45" i="2"/>
  <c r="F48" i="1"/>
  <c r="F47" i="1"/>
  <c r="F46" i="1"/>
  <c r="E46" i="14"/>
  <c r="E45" i="14"/>
  <c r="E44" i="14"/>
  <c r="E48" i="13"/>
  <c r="E47" i="13"/>
  <c r="E46" i="13"/>
  <c r="E48" i="12"/>
  <c r="E47" i="12"/>
  <c r="E46" i="12"/>
  <c r="E48" i="10"/>
  <c r="E47" i="10"/>
  <c r="E46" i="10"/>
  <c r="E48" i="9"/>
  <c r="E47" i="9"/>
  <c r="E46" i="9"/>
  <c r="E48" i="7"/>
  <c r="E47" i="7"/>
  <c r="E46" i="7"/>
  <c r="E44" i="8"/>
  <c r="E43" i="8"/>
  <c r="E42" i="8"/>
  <c r="E39" i="18"/>
  <c r="E38" i="18"/>
  <c r="E37" i="18"/>
  <c r="E44" i="6"/>
  <c r="E43" i="6"/>
  <c r="E42" i="6"/>
  <c r="E48" i="4"/>
  <c r="E47" i="4"/>
  <c r="E46" i="4"/>
  <c r="E48" i="3"/>
  <c r="E47" i="3"/>
  <c r="E46" i="3"/>
  <c r="E47" i="2"/>
  <c r="E46" i="2"/>
  <c r="E45" i="2"/>
  <c r="E48" i="1"/>
  <c r="E47" i="1"/>
  <c r="E46" i="1"/>
  <c r="D46" i="14"/>
  <c r="D45" i="14"/>
  <c r="D44" i="14"/>
  <c r="C46" i="14"/>
  <c r="C45" i="14"/>
  <c r="C44" i="14"/>
  <c r="D48" i="13"/>
  <c r="D47" i="13"/>
  <c r="D46" i="13"/>
  <c r="C48" i="13"/>
  <c r="C47" i="13"/>
  <c r="C46" i="13"/>
  <c r="D48" i="12"/>
  <c r="D47" i="12"/>
  <c r="D46" i="12"/>
  <c r="C48" i="12"/>
  <c r="C47" i="12"/>
  <c r="C46" i="12"/>
  <c r="D33" i="11"/>
  <c r="D32" i="11"/>
  <c r="D31" i="11"/>
  <c r="C33" i="11"/>
  <c r="C32" i="11"/>
  <c r="C31" i="11"/>
  <c r="D48" i="10"/>
  <c r="D47" i="10"/>
  <c r="D46" i="10"/>
  <c r="C48" i="10"/>
  <c r="C47" i="10"/>
  <c r="C46" i="10"/>
  <c r="D48" i="9"/>
  <c r="D47" i="9"/>
  <c r="D46" i="9"/>
  <c r="C48" i="9"/>
  <c r="C47" i="9"/>
  <c r="C46" i="9"/>
  <c r="D48" i="7"/>
  <c r="D47" i="7"/>
  <c r="D46" i="7"/>
  <c r="C48" i="7"/>
  <c r="C47" i="7"/>
  <c r="C46" i="7"/>
  <c r="D44" i="8"/>
  <c r="D43" i="8"/>
  <c r="D42" i="8"/>
  <c r="C44" i="8"/>
  <c r="C43" i="8"/>
  <c r="C42" i="8"/>
  <c r="D39" i="18"/>
  <c r="D38" i="18"/>
  <c r="D37" i="18"/>
  <c r="D44" i="6"/>
  <c r="D43" i="6"/>
  <c r="D42" i="6"/>
  <c r="C44" i="6"/>
  <c r="C43" i="6"/>
  <c r="C42" i="6"/>
  <c r="D25" i="5"/>
  <c r="D24" i="5"/>
  <c r="D23" i="5"/>
  <c r="C25" i="5"/>
  <c r="C24" i="5"/>
  <c r="C23" i="5"/>
  <c r="D48" i="4"/>
  <c r="D47" i="4"/>
  <c r="D46" i="4"/>
  <c r="C48" i="4"/>
  <c r="C47" i="4"/>
  <c r="C46" i="4"/>
  <c r="D48" i="3"/>
  <c r="D47" i="3"/>
  <c r="D46" i="3"/>
  <c r="C48" i="3"/>
  <c r="C47" i="3"/>
  <c r="C46" i="3"/>
  <c r="D47" i="2"/>
  <c r="D46" i="2"/>
  <c r="D45" i="2"/>
  <c r="C47" i="2"/>
  <c r="C46" i="2"/>
  <c r="C45" i="2"/>
  <c r="D48" i="1"/>
  <c r="D47" i="1"/>
  <c r="D46" i="1"/>
  <c r="C48" i="1"/>
  <c r="C47" i="1"/>
  <c r="C46" i="1"/>
  <c r="D25" i="17"/>
  <c r="D24" i="17"/>
  <c r="D23" i="17"/>
  <c r="D25" i="16"/>
  <c r="D24" i="16"/>
  <c r="D23" i="16"/>
</calcChain>
</file>

<file path=xl/sharedStrings.xml><?xml version="1.0" encoding="utf-8"?>
<sst xmlns="http://schemas.openxmlformats.org/spreadsheetml/2006/main" count="229" uniqueCount="12">
  <si>
    <t>DOY</t>
  </si>
  <si>
    <t>14-a</t>
  </si>
  <si>
    <t>16-a</t>
  </si>
  <si>
    <t>18-c</t>
  </si>
  <si>
    <t>19-b</t>
  </si>
  <si>
    <t>Control - no/sampler</t>
  </si>
  <si>
    <t>Mean</t>
  </si>
  <si>
    <t>Min</t>
  </si>
  <si>
    <t>Max</t>
  </si>
  <si>
    <t>18-a</t>
  </si>
  <si>
    <t>18-b</t>
  </si>
  <si>
    <t>19-a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</si>
</sst>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9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0" fillId="0" borderId="0" xfId="0" applyBorder="1"/>
    <xf numFmtId="2" fontId="2" fillId="0" borderId="0" xfId="1" applyNumberFormat="1" applyFont="1" applyBorder="1" applyAlignment="1">
      <alignment horizontal="center" vertical="center" wrapText="1"/>
    </xf>
    <xf numFmtId="2" fontId="3" fillId="0" borderId="0" xfId="0" applyNumberFormat="1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" fontId="5" fillId="0" borderId="0" xfId="1" applyNumberFormat="1" applyFont="1" applyBorder="1" applyAlignment="1">
      <alignment horizontal="center" vertical="center" wrapText="1"/>
    </xf>
    <xf numFmtId="1" fontId="4" fillId="0" borderId="0" xfId="0" applyNumberFormat="1" applyFont="1" applyBorder="1" applyAlignment="1">
      <alignment horizontal="center"/>
    </xf>
    <xf numFmtId="164" fontId="5" fillId="0" borderId="1" xfId="1" applyNumberFormat="1" applyFont="1" applyBorder="1" applyAlignment="1">
      <alignment horizontal="center" wrapText="1"/>
    </xf>
    <xf numFmtId="0" fontId="4" fillId="0" borderId="0" xfId="0" applyFont="1" applyBorder="1"/>
    <xf numFmtId="2" fontId="5" fillId="0" borderId="0" xfId="1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164" fontId="4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5" fillId="0" borderId="0" xfId="1" applyNumberFormat="1" applyFont="1" applyBorder="1" applyAlignment="1">
      <alignment horizontal="center" wrapText="1"/>
    </xf>
    <xf numFmtId="0" fontId="5" fillId="0" borderId="0" xfId="1" applyFont="1" applyBorder="1" applyAlignment="1">
      <alignment horizontal="center" wrapText="1"/>
    </xf>
    <xf numFmtId="164" fontId="4" fillId="0" borderId="0" xfId="0" applyNumberFormat="1" applyFont="1" applyBorder="1"/>
    <xf numFmtId="164" fontId="5" fillId="0" borderId="0" xfId="1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0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0" fillId="2" borderId="0" xfId="0" applyFill="1" applyBorder="1"/>
    <xf numFmtId="164" fontId="5" fillId="2" borderId="1" xfId="1" applyNumberFormat="1" applyFont="1" applyFill="1" applyBorder="1" applyAlignment="1">
      <alignment horizontal="center" wrapText="1"/>
    </xf>
    <xf numFmtId="164" fontId="4" fillId="2" borderId="0" xfId="0" applyNumberFormat="1" applyFont="1" applyFill="1" applyBorder="1" applyAlignment="1">
      <alignment horizontal="center"/>
    </xf>
    <xf numFmtId="164" fontId="5" fillId="2" borderId="0" xfId="1" applyNumberFormat="1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center"/>
    </xf>
    <xf numFmtId="0" fontId="0" fillId="3" borderId="0" xfId="0" applyFill="1" applyBorder="1"/>
    <xf numFmtId="164" fontId="4" fillId="3" borderId="0" xfId="0" applyNumberFormat="1" applyFont="1" applyFill="1" applyAlignment="1">
      <alignment horizontal="center"/>
    </xf>
    <xf numFmtId="164" fontId="4" fillId="3" borderId="0" xfId="0" applyNumberFormat="1" applyFont="1" applyFill="1" applyBorder="1" applyAlignment="1">
      <alignment horizontal="center"/>
    </xf>
    <xf numFmtId="2" fontId="5" fillId="3" borderId="0" xfId="1" applyNumberFormat="1" applyFont="1" applyFill="1" applyBorder="1" applyAlignment="1">
      <alignment horizontal="center" vertical="center" wrapText="1"/>
    </xf>
    <xf numFmtId="2" fontId="2" fillId="3" borderId="0" xfId="1" applyNumberFormat="1" applyFont="1" applyFill="1" applyBorder="1" applyAlignment="1">
      <alignment horizontal="center" vertical="center" wrapText="1"/>
    </xf>
    <xf numFmtId="2" fontId="5" fillId="4" borderId="0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0" fillId="0" borderId="0" xfId="0" applyNumberFormat="1"/>
    <xf numFmtId="2" fontId="5" fillId="0" borderId="0" xfId="1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Standard_Tabelle1 3" xfId="1" xr:uid="{400782B3-FFE4-4AEF-BC4E-EF13103F08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- Asellus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14-a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Asellus!$B$5:$B$44</c:f>
              <c:numCache>
                <c:formatCode>0</c:formatCode>
                <c:ptCount val="40"/>
                <c:pt idx="0">
                  <c:v>134</c:v>
                </c:pt>
                <c:pt idx="1">
                  <c:v>140</c:v>
                </c:pt>
                <c:pt idx="2">
                  <c:v>142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157</c:v>
                </c:pt>
                <c:pt idx="9">
                  <c:v>162</c:v>
                </c:pt>
                <c:pt idx="10">
                  <c:v>163</c:v>
                </c:pt>
                <c:pt idx="11">
                  <c:v>164</c:v>
                </c:pt>
                <c:pt idx="12">
                  <c:v>165</c:v>
                </c:pt>
                <c:pt idx="13">
                  <c:v>168</c:v>
                </c:pt>
                <c:pt idx="14">
                  <c:v>170</c:v>
                </c:pt>
                <c:pt idx="15">
                  <c:v>172</c:v>
                </c:pt>
                <c:pt idx="16">
                  <c:v>173</c:v>
                </c:pt>
                <c:pt idx="17">
                  <c:v>177</c:v>
                </c:pt>
                <c:pt idx="18">
                  <c:v>178</c:v>
                </c:pt>
                <c:pt idx="19">
                  <c:v>179</c:v>
                </c:pt>
                <c:pt idx="20">
                  <c:v>184</c:v>
                </c:pt>
                <c:pt idx="21">
                  <c:v>185</c:v>
                </c:pt>
                <c:pt idx="22">
                  <c:v>186</c:v>
                </c:pt>
                <c:pt idx="23">
                  <c:v>192</c:v>
                </c:pt>
                <c:pt idx="24">
                  <c:v>191</c:v>
                </c:pt>
                <c:pt idx="25">
                  <c:v>193</c:v>
                </c:pt>
                <c:pt idx="26">
                  <c:v>198</c:v>
                </c:pt>
                <c:pt idx="27">
                  <c:v>205</c:v>
                </c:pt>
                <c:pt idx="28">
                  <c:v>206</c:v>
                </c:pt>
                <c:pt idx="29">
                  <c:v>212</c:v>
                </c:pt>
                <c:pt idx="30">
                  <c:v>218</c:v>
                </c:pt>
                <c:pt idx="31">
                  <c:v>219</c:v>
                </c:pt>
                <c:pt idx="32">
                  <c:v>220</c:v>
                </c:pt>
                <c:pt idx="33">
                  <c:v>221</c:v>
                </c:pt>
                <c:pt idx="34">
                  <c:v>226</c:v>
                </c:pt>
                <c:pt idx="35">
                  <c:v>234</c:v>
                </c:pt>
                <c:pt idx="36">
                  <c:v>235</c:v>
                </c:pt>
                <c:pt idx="37">
                  <c:v>246</c:v>
                </c:pt>
                <c:pt idx="38">
                  <c:v>248</c:v>
                </c:pt>
                <c:pt idx="39">
                  <c:v>265</c:v>
                </c:pt>
              </c:numCache>
            </c:numRef>
          </c:xVal>
          <c:yVal>
            <c:numRef>
              <c:f>Asellus!$C$5:$C$44</c:f>
              <c:numCache>
                <c:formatCode>General</c:formatCode>
                <c:ptCount val="40"/>
                <c:pt idx="0" formatCode="0.0">
                  <c:v>25</c:v>
                </c:pt>
                <c:pt idx="1">
                  <c:v>20.8</c:v>
                </c:pt>
                <c:pt idx="4">
                  <c:v>22.3</c:v>
                </c:pt>
                <c:pt idx="5">
                  <c:v>30.2</c:v>
                </c:pt>
                <c:pt idx="10">
                  <c:v>31.7</c:v>
                </c:pt>
                <c:pt idx="13">
                  <c:v>23.7</c:v>
                </c:pt>
                <c:pt idx="20">
                  <c:v>24.5</c:v>
                </c:pt>
                <c:pt idx="26">
                  <c:v>15.3</c:v>
                </c:pt>
                <c:pt idx="29" formatCode="0.0">
                  <c:v>28</c:v>
                </c:pt>
                <c:pt idx="34">
                  <c:v>21.7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77-4479-A286-D91F312112B8}"/>
            </c:ext>
          </c:extLst>
        </c:ser>
        <c:ser>
          <c:idx val="1"/>
          <c:order val="1"/>
          <c:tx>
            <c:v>16-a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Asellus!$B$5:$B$44</c:f>
              <c:numCache>
                <c:formatCode>0</c:formatCode>
                <c:ptCount val="40"/>
                <c:pt idx="0">
                  <c:v>134</c:v>
                </c:pt>
                <c:pt idx="1">
                  <c:v>140</c:v>
                </c:pt>
                <c:pt idx="2">
                  <c:v>142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157</c:v>
                </c:pt>
                <c:pt idx="9">
                  <c:v>162</c:v>
                </c:pt>
                <c:pt idx="10">
                  <c:v>163</c:v>
                </c:pt>
                <c:pt idx="11">
                  <c:v>164</c:v>
                </c:pt>
                <c:pt idx="12">
                  <c:v>165</c:v>
                </c:pt>
                <c:pt idx="13">
                  <c:v>168</c:v>
                </c:pt>
                <c:pt idx="14">
                  <c:v>170</c:v>
                </c:pt>
                <c:pt idx="15">
                  <c:v>172</c:v>
                </c:pt>
                <c:pt idx="16">
                  <c:v>173</c:v>
                </c:pt>
                <c:pt idx="17">
                  <c:v>177</c:v>
                </c:pt>
                <c:pt idx="18">
                  <c:v>178</c:v>
                </c:pt>
                <c:pt idx="19">
                  <c:v>179</c:v>
                </c:pt>
                <c:pt idx="20">
                  <c:v>184</c:v>
                </c:pt>
                <c:pt idx="21">
                  <c:v>185</c:v>
                </c:pt>
                <c:pt idx="22">
                  <c:v>186</c:v>
                </c:pt>
                <c:pt idx="23">
                  <c:v>192</c:v>
                </c:pt>
                <c:pt idx="24">
                  <c:v>191</c:v>
                </c:pt>
                <c:pt idx="25">
                  <c:v>193</c:v>
                </c:pt>
                <c:pt idx="26">
                  <c:v>198</c:v>
                </c:pt>
                <c:pt idx="27">
                  <c:v>205</c:v>
                </c:pt>
                <c:pt idx="28">
                  <c:v>206</c:v>
                </c:pt>
                <c:pt idx="29">
                  <c:v>212</c:v>
                </c:pt>
                <c:pt idx="30">
                  <c:v>218</c:v>
                </c:pt>
                <c:pt idx="31">
                  <c:v>219</c:v>
                </c:pt>
                <c:pt idx="32">
                  <c:v>220</c:v>
                </c:pt>
                <c:pt idx="33">
                  <c:v>221</c:v>
                </c:pt>
                <c:pt idx="34">
                  <c:v>226</c:v>
                </c:pt>
                <c:pt idx="35">
                  <c:v>234</c:v>
                </c:pt>
                <c:pt idx="36">
                  <c:v>235</c:v>
                </c:pt>
                <c:pt idx="37">
                  <c:v>246</c:v>
                </c:pt>
                <c:pt idx="38">
                  <c:v>248</c:v>
                </c:pt>
                <c:pt idx="39">
                  <c:v>265</c:v>
                </c:pt>
              </c:numCache>
            </c:numRef>
          </c:xVal>
          <c:yVal>
            <c:numRef>
              <c:f>Asellus!$D$5:$D$44</c:f>
              <c:numCache>
                <c:formatCode>0.0</c:formatCode>
                <c:ptCount val="40"/>
                <c:pt idx="13">
                  <c:v>9.1999999999999993</c:v>
                </c:pt>
                <c:pt idx="18">
                  <c:v>9.3000000000000007</c:v>
                </c:pt>
                <c:pt idx="22">
                  <c:v>13.3</c:v>
                </c:pt>
                <c:pt idx="25">
                  <c:v>14.7</c:v>
                </c:pt>
                <c:pt idx="28">
                  <c:v>10.3</c:v>
                </c:pt>
                <c:pt idx="33">
                  <c:v>11.7</c:v>
                </c:pt>
                <c:pt idx="36">
                  <c:v>14</c:v>
                </c:pt>
                <c:pt idx="37">
                  <c:v>8</c:v>
                </c:pt>
                <c:pt idx="39">
                  <c:v>15.2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77-4479-A286-D91F312112B8}"/>
            </c:ext>
          </c:extLst>
        </c:ser>
        <c:ser>
          <c:idx val="2"/>
          <c:order val="2"/>
          <c:tx>
            <c:v>18-c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Asellus!$B$5:$B$44</c:f>
              <c:numCache>
                <c:formatCode>0</c:formatCode>
                <c:ptCount val="40"/>
                <c:pt idx="0">
                  <c:v>134</c:v>
                </c:pt>
                <c:pt idx="1">
                  <c:v>140</c:v>
                </c:pt>
                <c:pt idx="2">
                  <c:v>142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157</c:v>
                </c:pt>
                <c:pt idx="9">
                  <c:v>162</c:v>
                </c:pt>
                <c:pt idx="10">
                  <c:v>163</c:v>
                </c:pt>
                <c:pt idx="11">
                  <c:v>164</c:v>
                </c:pt>
                <c:pt idx="12">
                  <c:v>165</c:v>
                </c:pt>
                <c:pt idx="13">
                  <c:v>168</c:v>
                </c:pt>
                <c:pt idx="14">
                  <c:v>170</c:v>
                </c:pt>
                <c:pt idx="15">
                  <c:v>172</c:v>
                </c:pt>
                <c:pt idx="16">
                  <c:v>173</c:v>
                </c:pt>
                <c:pt idx="17">
                  <c:v>177</c:v>
                </c:pt>
                <c:pt idx="18">
                  <c:v>178</c:v>
                </c:pt>
                <c:pt idx="19">
                  <c:v>179</c:v>
                </c:pt>
                <c:pt idx="20">
                  <c:v>184</c:v>
                </c:pt>
                <c:pt idx="21">
                  <c:v>185</c:v>
                </c:pt>
                <c:pt idx="22">
                  <c:v>186</c:v>
                </c:pt>
                <c:pt idx="23">
                  <c:v>192</c:v>
                </c:pt>
                <c:pt idx="24">
                  <c:v>191</c:v>
                </c:pt>
                <c:pt idx="25">
                  <c:v>193</c:v>
                </c:pt>
                <c:pt idx="26">
                  <c:v>198</c:v>
                </c:pt>
                <c:pt idx="27">
                  <c:v>205</c:v>
                </c:pt>
                <c:pt idx="28">
                  <c:v>206</c:v>
                </c:pt>
                <c:pt idx="29">
                  <c:v>212</c:v>
                </c:pt>
                <c:pt idx="30">
                  <c:v>218</c:v>
                </c:pt>
                <c:pt idx="31">
                  <c:v>219</c:v>
                </c:pt>
                <c:pt idx="32">
                  <c:v>220</c:v>
                </c:pt>
                <c:pt idx="33">
                  <c:v>221</c:v>
                </c:pt>
                <c:pt idx="34">
                  <c:v>226</c:v>
                </c:pt>
                <c:pt idx="35">
                  <c:v>234</c:v>
                </c:pt>
                <c:pt idx="36">
                  <c:v>235</c:v>
                </c:pt>
                <c:pt idx="37">
                  <c:v>246</c:v>
                </c:pt>
                <c:pt idx="38">
                  <c:v>248</c:v>
                </c:pt>
                <c:pt idx="39">
                  <c:v>265</c:v>
                </c:pt>
              </c:numCache>
            </c:numRef>
          </c:xVal>
          <c:yVal>
            <c:numRef>
              <c:f>Asellus!$E$5:$E$44</c:f>
              <c:numCache>
                <c:formatCode>General</c:formatCode>
                <c:ptCount val="40"/>
                <c:pt idx="3">
                  <c:v>54.6</c:v>
                </c:pt>
                <c:pt idx="4">
                  <c:v>114.6</c:v>
                </c:pt>
                <c:pt idx="8">
                  <c:v>44.8</c:v>
                </c:pt>
                <c:pt idx="12">
                  <c:v>74.599999999999994</c:v>
                </c:pt>
                <c:pt idx="16">
                  <c:v>52.4</c:v>
                </c:pt>
                <c:pt idx="19">
                  <c:v>127.8</c:v>
                </c:pt>
                <c:pt idx="23">
                  <c:v>65.599999999999994</c:v>
                </c:pt>
                <c:pt idx="28">
                  <c:v>72</c:v>
                </c:pt>
                <c:pt idx="32">
                  <c:v>27.6</c:v>
                </c:pt>
                <c:pt idx="35">
                  <c:v>23.2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D77-4479-A286-D91F312112B8}"/>
            </c:ext>
          </c:extLst>
        </c:ser>
        <c:ser>
          <c:idx val="3"/>
          <c:order val="3"/>
          <c:tx>
            <c:v>19-b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Asellus!$B$5:$B$44</c:f>
              <c:numCache>
                <c:formatCode>0</c:formatCode>
                <c:ptCount val="40"/>
                <c:pt idx="0">
                  <c:v>134</c:v>
                </c:pt>
                <c:pt idx="1">
                  <c:v>140</c:v>
                </c:pt>
                <c:pt idx="2">
                  <c:v>142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157</c:v>
                </c:pt>
                <c:pt idx="9">
                  <c:v>162</c:v>
                </c:pt>
                <c:pt idx="10">
                  <c:v>163</c:v>
                </c:pt>
                <c:pt idx="11">
                  <c:v>164</c:v>
                </c:pt>
                <c:pt idx="12">
                  <c:v>165</c:v>
                </c:pt>
                <c:pt idx="13">
                  <c:v>168</c:v>
                </c:pt>
                <c:pt idx="14">
                  <c:v>170</c:v>
                </c:pt>
                <c:pt idx="15">
                  <c:v>172</c:v>
                </c:pt>
                <c:pt idx="16">
                  <c:v>173</c:v>
                </c:pt>
                <c:pt idx="17">
                  <c:v>177</c:v>
                </c:pt>
                <c:pt idx="18">
                  <c:v>178</c:v>
                </c:pt>
                <c:pt idx="19">
                  <c:v>179</c:v>
                </c:pt>
                <c:pt idx="20">
                  <c:v>184</c:v>
                </c:pt>
                <c:pt idx="21">
                  <c:v>185</c:v>
                </c:pt>
                <c:pt idx="22">
                  <c:v>186</c:v>
                </c:pt>
                <c:pt idx="23">
                  <c:v>192</c:v>
                </c:pt>
                <c:pt idx="24">
                  <c:v>191</c:v>
                </c:pt>
                <c:pt idx="25">
                  <c:v>193</c:v>
                </c:pt>
                <c:pt idx="26">
                  <c:v>198</c:v>
                </c:pt>
                <c:pt idx="27">
                  <c:v>205</c:v>
                </c:pt>
                <c:pt idx="28">
                  <c:v>206</c:v>
                </c:pt>
                <c:pt idx="29">
                  <c:v>212</c:v>
                </c:pt>
                <c:pt idx="30">
                  <c:v>218</c:v>
                </c:pt>
                <c:pt idx="31">
                  <c:v>219</c:v>
                </c:pt>
                <c:pt idx="32">
                  <c:v>220</c:v>
                </c:pt>
                <c:pt idx="33">
                  <c:v>221</c:v>
                </c:pt>
                <c:pt idx="34">
                  <c:v>226</c:v>
                </c:pt>
                <c:pt idx="35">
                  <c:v>234</c:v>
                </c:pt>
                <c:pt idx="36">
                  <c:v>235</c:v>
                </c:pt>
                <c:pt idx="37">
                  <c:v>246</c:v>
                </c:pt>
                <c:pt idx="38">
                  <c:v>248</c:v>
                </c:pt>
                <c:pt idx="39">
                  <c:v>265</c:v>
                </c:pt>
              </c:numCache>
            </c:numRef>
          </c:xVal>
          <c:yVal>
            <c:numRef>
              <c:f>Asellus!$F$5:$F$44</c:f>
              <c:numCache>
                <c:formatCode>0.00</c:formatCode>
                <c:ptCount val="40"/>
                <c:pt idx="8">
                  <c:v>3.5</c:v>
                </c:pt>
                <c:pt idx="9">
                  <c:v>3</c:v>
                </c:pt>
                <c:pt idx="14">
                  <c:v>4</c:v>
                </c:pt>
                <c:pt idx="17">
                  <c:v>2.2000000000000002</c:v>
                </c:pt>
                <c:pt idx="23">
                  <c:v>1.5</c:v>
                </c:pt>
                <c:pt idx="27">
                  <c:v>8.3000000000000007</c:v>
                </c:pt>
                <c:pt idx="30">
                  <c:v>18.3</c:v>
                </c:pt>
                <c:pt idx="35">
                  <c:v>13.2</c:v>
                </c:pt>
                <c:pt idx="37">
                  <c:v>23.2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D77-4479-A286-D91F31211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802944"/>
        <c:axId val="873806552"/>
      </c:scatterChart>
      <c:valAx>
        <c:axId val="873802944"/>
        <c:scaling>
          <c:orientation val="minMax"/>
          <c:max val="265"/>
          <c:min val="1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806552"/>
        <c:crosses val="autoZero"/>
        <c:crossBetween val="midCat"/>
      </c:valAx>
      <c:valAx>
        <c:axId val="873806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Number/sample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80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- Chaoborus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14-a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'Chaoborus (lrv)'!$B$5:$B$43</c:f>
              <c:numCache>
                <c:formatCode>0</c:formatCode>
                <c:ptCount val="39"/>
                <c:pt idx="0">
                  <c:v>134</c:v>
                </c:pt>
                <c:pt idx="1">
                  <c:v>140</c:v>
                </c:pt>
                <c:pt idx="2">
                  <c:v>142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6">
                  <c:v>155</c:v>
                </c:pt>
                <c:pt idx="7">
                  <c:v>157</c:v>
                </c:pt>
                <c:pt idx="8">
                  <c:v>162</c:v>
                </c:pt>
                <c:pt idx="9">
                  <c:v>163</c:v>
                </c:pt>
                <c:pt idx="10">
                  <c:v>164</c:v>
                </c:pt>
                <c:pt idx="11">
                  <c:v>165</c:v>
                </c:pt>
                <c:pt idx="12">
                  <c:v>168</c:v>
                </c:pt>
                <c:pt idx="13">
                  <c:v>170</c:v>
                </c:pt>
                <c:pt idx="14">
                  <c:v>172</c:v>
                </c:pt>
                <c:pt idx="15">
                  <c:v>173</c:v>
                </c:pt>
                <c:pt idx="16">
                  <c:v>177</c:v>
                </c:pt>
                <c:pt idx="17">
                  <c:v>178</c:v>
                </c:pt>
                <c:pt idx="18">
                  <c:v>179</c:v>
                </c:pt>
                <c:pt idx="19">
                  <c:v>184</c:v>
                </c:pt>
                <c:pt idx="20">
                  <c:v>185</c:v>
                </c:pt>
                <c:pt idx="21">
                  <c:v>186</c:v>
                </c:pt>
                <c:pt idx="22">
                  <c:v>191</c:v>
                </c:pt>
                <c:pt idx="23">
                  <c:v>192</c:v>
                </c:pt>
                <c:pt idx="24">
                  <c:v>193</c:v>
                </c:pt>
                <c:pt idx="25">
                  <c:v>198</c:v>
                </c:pt>
                <c:pt idx="26">
                  <c:v>205</c:v>
                </c:pt>
                <c:pt idx="27">
                  <c:v>206</c:v>
                </c:pt>
                <c:pt idx="28">
                  <c:v>212</c:v>
                </c:pt>
                <c:pt idx="29">
                  <c:v>218</c:v>
                </c:pt>
                <c:pt idx="30">
                  <c:v>219</c:v>
                </c:pt>
                <c:pt idx="31">
                  <c:v>220</c:v>
                </c:pt>
                <c:pt idx="32">
                  <c:v>221</c:v>
                </c:pt>
                <c:pt idx="33">
                  <c:v>226</c:v>
                </c:pt>
                <c:pt idx="34">
                  <c:v>234</c:v>
                </c:pt>
                <c:pt idx="35">
                  <c:v>235</c:v>
                </c:pt>
                <c:pt idx="36">
                  <c:v>246</c:v>
                </c:pt>
                <c:pt idx="37">
                  <c:v>248</c:v>
                </c:pt>
                <c:pt idx="38">
                  <c:v>265</c:v>
                </c:pt>
              </c:numCache>
            </c:numRef>
          </c:xVal>
          <c:yVal>
            <c:numRef>
              <c:f>'Chaoborus (lrv)'!$C$5:$C$43</c:f>
              <c:numCache>
                <c:formatCode>0.0</c:formatCode>
                <c:ptCount val="39"/>
                <c:pt idx="0">
                  <c:v>73.166666666666671</c:v>
                </c:pt>
                <c:pt idx="1">
                  <c:v>37.5</c:v>
                </c:pt>
                <c:pt idx="4">
                  <c:v>55.833333333333336</c:v>
                </c:pt>
                <c:pt idx="5">
                  <c:v>77.333333333333329</c:v>
                </c:pt>
                <c:pt idx="9">
                  <c:v>86</c:v>
                </c:pt>
                <c:pt idx="12">
                  <c:v>93.166666666666671</c:v>
                </c:pt>
                <c:pt idx="19">
                  <c:v>117.33333333333333</c:v>
                </c:pt>
                <c:pt idx="25">
                  <c:v>133</c:v>
                </c:pt>
                <c:pt idx="28">
                  <c:v>154.83333333333334</c:v>
                </c:pt>
                <c:pt idx="33">
                  <c:v>134.33333333333334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14-4703-B760-2AA196011C0B}"/>
            </c:ext>
          </c:extLst>
        </c:ser>
        <c:ser>
          <c:idx val="1"/>
          <c:order val="1"/>
          <c:tx>
            <c:v>16-a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'Chaoborus (lrv)'!$B$5:$B$43</c:f>
              <c:numCache>
                <c:formatCode>0</c:formatCode>
                <c:ptCount val="39"/>
                <c:pt idx="0">
                  <c:v>134</c:v>
                </c:pt>
                <c:pt idx="1">
                  <c:v>140</c:v>
                </c:pt>
                <c:pt idx="2">
                  <c:v>142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6">
                  <c:v>155</c:v>
                </c:pt>
                <c:pt idx="7">
                  <c:v>157</c:v>
                </c:pt>
                <c:pt idx="8">
                  <c:v>162</c:v>
                </c:pt>
                <c:pt idx="9">
                  <c:v>163</c:v>
                </c:pt>
                <c:pt idx="10">
                  <c:v>164</c:v>
                </c:pt>
                <c:pt idx="11">
                  <c:v>165</c:v>
                </c:pt>
                <c:pt idx="12">
                  <c:v>168</c:v>
                </c:pt>
                <c:pt idx="13">
                  <c:v>170</c:v>
                </c:pt>
                <c:pt idx="14">
                  <c:v>172</c:v>
                </c:pt>
                <c:pt idx="15">
                  <c:v>173</c:v>
                </c:pt>
                <c:pt idx="16">
                  <c:v>177</c:v>
                </c:pt>
                <c:pt idx="17">
                  <c:v>178</c:v>
                </c:pt>
                <c:pt idx="18">
                  <c:v>179</c:v>
                </c:pt>
                <c:pt idx="19">
                  <c:v>184</c:v>
                </c:pt>
                <c:pt idx="20">
                  <c:v>185</c:v>
                </c:pt>
                <c:pt idx="21">
                  <c:v>186</c:v>
                </c:pt>
                <c:pt idx="22">
                  <c:v>191</c:v>
                </c:pt>
                <c:pt idx="23">
                  <c:v>192</c:v>
                </c:pt>
                <c:pt idx="24">
                  <c:v>193</c:v>
                </c:pt>
                <c:pt idx="25">
                  <c:v>198</c:v>
                </c:pt>
                <c:pt idx="26">
                  <c:v>205</c:v>
                </c:pt>
                <c:pt idx="27">
                  <c:v>206</c:v>
                </c:pt>
                <c:pt idx="28">
                  <c:v>212</c:v>
                </c:pt>
                <c:pt idx="29">
                  <c:v>218</c:v>
                </c:pt>
                <c:pt idx="30">
                  <c:v>219</c:v>
                </c:pt>
                <c:pt idx="31">
                  <c:v>220</c:v>
                </c:pt>
                <c:pt idx="32">
                  <c:v>221</c:v>
                </c:pt>
                <c:pt idx="33">
                  <c:v>226</c:v>
                </c:pt>
                <c:pt idx="34">
                  <c:v>234</c:v>
                </c:pt>
                <c:pt idx="35">
                  <c:v>235</c:v>
                </c:pt>
                <c:pt idx="36">
                  <c:v>246</c:v>
                </c:pt>
                <c:pt idx="37">
                  <c:v>248</c:v>
                </c:pt>
                <c:pt idx="38">
                  <c:v>265</c:v>
                </c:pt>
              </c:numCache>
            </c:numRef>
          </c:xVal>
          <c:yVal>
            <c:numRef>
              <c:f>'Chaoborus (lrv)'!$D$5:$D$43</c:f>
              <c:numCache>
                <c:formatCode>General</c:formatCode>
                <c:ptCount val="39"/>
                <c:pt idx="12">
                  <c:v>40.299999999999997</c:v>
                </c:pt>
                <c:pt idx="17">
                  <c:v>74.3</c:v>
                </c:pt>
                <c:pt idx="21">
                  <c:v>53.5</c:v>
                </c:pt>
                <c:pt idx="24">
                  <c:v>87.5</c:v>
                </c:pt>
                <c:pt idx="27">
                  <c:v>48.3</c:v>
                </c:pt>
                <c:pt idx="32">
                  <c:v>26.5</c:v>
                </c:pt>
                <c:pt idx="35">
                  <c:v>18</c:v>
                </c:pt>
                <c:pt idx="36">
                  <c:v>13</c:v>
                </c:pt>
                <c:pt idx="38">
                  <c:v>19.7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14-4703-B760-2AA196011C0B}"/>
            </c:ext>
          </c:extLst>
        </c:ser>
        <c:ser>
          <c:idx val="2"/>
          <c:order val="2"/>
          <c:tx>
            <c:v>18-c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'Chaoborus (lrv)'!$B$5:$B$43</c:f>
              <c:numCache>
                <c:formatCode>0</c:formatCode>
                <c:ptCount val="39"/>
                <c:pt idx="0">
                  <c:v>134</c:v>
                </c:pt>
                <c:pt idx="1">
                  <c:v>140</c:v>
                </c:pt>
                <c:pt idx="2">
                  <c:v>142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6">
                  <c:v>155</c:v>
                </c:pt>
                <c:pt idx="7">
                  <c:v>157</c:v>
                </c:pt>
                <c:pt idx="8">
                  <c:v>162</c:v>
                </c:pt>
                <c:pt idx="9">
                  <c:v>163</c:v>
                </c:pt>
                <c:pt idx="10">
                  <c:v>164</c:v>
                </c:pt>
                <c:pt idx="11">
                  <c:v>165</c:v>
                </c:pt>
                <c:pt idx="12">
                  <c:v>168</c:v>
                </c:pt>
                <c:pt idx="13">
                  <c:v>170</c:v>
                </c:pt>
                <c:pt idx="14">
                  <c:v>172</c:v>
                </c:pt>
                <c:pt idx="15">
                  <c:v>173</c:v>
                </c:pt>
                <c:pt idx="16">
                  <c:v>177</c:v>
                </c:pt>
                <c:pt idx="17">
                  <c:v>178</c:v>
                </c:pt>
                <c:pt idx="18">
                  <c:v>179</c:v>
                </c:pt>
                <c:pt idx="19">
                  <c:v>184</c:v>
                </c:pt>
                <c:pt idx="20">
                  <c:v>185</c:v>
                </c:pt>
                <c:pt idx="21">
                  <c:v>186</c:v>
                </c:pt>
                <c:pt idx="22">
                  <c:v>191</c:v>
                </c:pt>
                <c:pt idx="23">
                  <c:v>192</c:v>
                </c:pt>
                <c:pt idx="24">
                  <c:v>193</c:v>
                </c:pt>
                <c:pt idx="25">
                  <c:v>198</c:v>
                </c:pt>
                <c:pt idx="26">
                  <c:v>205</c:v>
                </c:pt>
                <c:pt idx="27">
                  <c:v>206</c:v>
                </c:pt>
                <c:pt idx="28">
                  <c:v>212</c:v>
                </c:pt>
                <c:pt idx="29">
                  <c:v>218</c:v>
                </c:pt>
                <c:pt idx="30">
                  <c:v>219</c:v>
                </c:pt>
                <c:pt idx="31">
                  <c:v>220</c:v>
                </c:pt>
                <c:pt idx="32">
                  <c:v>221</c:v>
                </c:pt>
                <c:pt idx="33">
                  <c:v>226</c:v>
                </c:pt>
                <c:pt idx="34">
                  <c:v>234</c:v>
                </c:pt>
                <c:pt idx="35">
                  <c:v>235</c:v>
                </c:pt>
                <c:pt idx="36">
                  <c:v>246</c:v>
                </c:pt>
                <c:pt idx="37">
                  <c:v>248</c:v>
                </c:pt>
                <c:pt idx="38">
                  <c:v>265</c:v>
                </c:pt>
              </c:numCache>
            </c:numRef>
          </c:xVal>
          <c:yVal>
            <c:numRef>
              <c:f>'Chaoborus (lrv)'!$E$5:$E$43</c:f>
              <c:numCache>
                <c:formatCode>General</c:formatCode>
                <c:ptCount val="39"/>
                <c:pt idx="3">
                  <c:v>81.599999999999994</c:v>
                </c:pt>
                <c:pt idx="4">
                  <c:v>123.2</c:v>
                </c:pt>
                <c:pt idx="7">
                  <c:v>100.2</c:v>
                </c:pt>
                <c:pt idx="11">
                  <c:v>82.4</c:v>
                </c:pt>
                <c:pt idx="15">
                  <c:v>39.200000000000003</c:v>
                </c:pt>
                <c:pt idx="18">
                  <c:v>27.4</c:v>
                </c:pt>
                <c:pt idx="23">
                  <c:v>33.799999999999997</c:v>
                </c:pt>
                <c:pt idx="27">
                  <c:v>31.4</c:v>
                </c:pt>
                <c:pt idx="31">
                  <c:v>18.600000000000001</c:v>
                </c:pt>
                <c:pt idx="34">
                  <c:v>21.8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414-4703-B760-2AA196011C0B}"/>
            </c:ext>
          </c:extLst>
        </c:ser>
        <c:ser>
          <c:idx val="3"/>
          <c:order val="3"/>
          <c:tx>
            <c:v>19-b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'Chaoborus (lrv)'!$B$5:$B$43</c:f>
              <c:numCache>
                <c:formatCode>0</c:formatCode>
                <c:ptCount val="39"/>
                <c:pt idx="0">
                  <c:v>134</c:v>
                </c:pt>
                <c:pt idx="1">
                  <c:v>140</c:v>
                </c:pt>
                <c:pt idx="2">
                  <c:v>142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6">
                  <c:v>155</c:v>
                </c:pt>
                <c:pt idx="7">
                  <c:v>157</c:v>
                </c:pt>
                <c:pt idx="8">
                  <c:v>162</c:v>
                </c:pt>
                <c:pt idx="9">
                  <c:v>163</c:v>
                </c:pt>
                <c:pt idx="10">
                  <c:v>164</c:v>
                </c:pt>
                <c:pt idx="11">
                  <c:v>165</c:v>
                </c:pt>
                <c:pt idx="12">
                  <c:v>168</c:v>
                </c:pt>
                <c:pt idx="13">
                  <c:v>170</c:v>
                </c:pt>
                <c:pt idx="14">
                  <c:v>172</c:v>
                </c:pt>
                <c:pt idx="15">
                  <c:v>173</c:v>
                </c:pt>
                <c:pt idx="16">
                  <c:v>177</c:v>
                </c:pt>
                <c:pt idx="17">
                  <c:v>178</c:v>
                </c:pt>
                <c:pt idx="18">
                  <c:v>179</c:v>
                </c:pt>
                <c:pt idx="19">
                  <c:v>184</c:v>
                </c:pt>
                <c:pt idx="20">
                  <c:v>185</c:v>
                </c:pt>
                <c:pt idx="21">
                  <c:v>186</c:v>
                </c:pt>
                <c:pt idx="22">
                  <c:v>191</c:v>
                </c:pt>
                <c:pt idx="23">
                  <c:v>192</c:v>
                </c:pt>
                <c:pt idx="24">
                  <c:v>193</c:v>
                </c:pt>
                <c:pt idx="25">
                  <c:v>198</c:v>
                </c:pt>
                <c:pt idx="26">
                  <c:v>205</c:v>
                </c:pt>
                <c:pt idx="27">
                  <c:v>206</c:v>
                </c:pt>
                <c:pt idx="28">
                  <c:v>212</c:v>
                </c:pt>
                <c:pt idx="29">
                  <c:v>218</c:v>
                </c:pt>
                <c:pt idx="30">
                  <c:v>219</c:v>
                </c:pt>
                <c:pt idx="31">
                  <c:v>220</c:v>
                </c:pt>
                <c:pt idx="32">
                  <c:v>221</c:v>
                </c:pt>
                <c:pt idx="33">
                  <c:v>226</c:v>
                </c:pt>
                <c:pt idx="34">
                  <c:v>234</c:v>
                </c:pt>
                <c:pt idx="35">
                  <c:v>235</c:v>
                </c:pt>
                <c:pt idx="36">
                  <c:v>246</c:v>
                </c:pt>
                <c:pt idx="37">
                  <c:v>248</c:v>
                </c:pt>
                <c:pt idx="38">
                  <c:v>265</c:v>
                </c:pt>
              </c:numCache>
            </c:numRef>
          </c:xVal>
          <c:yVal>
            <c:numRef>
              <c:f>'Chaoborus (lrv)'!$F$5:$F$43</c:f>
              <c:numCache>
                <c:formatCode>0.00</c:formatCode>
                <c:ptCount val="39"/>
                <c:pt idx="7">
                  <c:v>72.3</c:v>
                </c:pt>
                <c:pt idx="8">
                  <c:v>130.5</c:v>
                </c:pt>
                <c:pt idx="16">
                  <c:v>182.2</c:v>
                </c:pt>
                <c:pt idx="23">
                  <c:v>119.8</c:v>
                </c:pt>
                <c:pt idx="26">
                  <c:v>139.5</c:v>
                </c:pt>
                <c:pt idx="29">
                  <c:v>115.7</c:v>
                </c:pt>
                <c:pt idx="34">
                  <c:v>90.3</c:v>
                </c:pt>
                <c:pt idx="36">
                  <c:v>94.8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414-4703-B760-2AA196011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129672"/>
        <c:axId val="790136560"/>
      </c:scatterChart>
      <c:valAx>
        <c:axId val="790129672"/>
        <c:scaling>
          <c:orientation val="minMax"/>
          <c:max val="265"/>
          <c:min val="1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136560"/>
        <c:crosses val="autoZero"/>
        <c:crossBetween val="midCat"/>
      </c:valAx>
      <c:valAx>
        <c:axId val="790136560"/>
        <c:scaling>
          <c:orientation val="minMax"/>
          <c:max val="1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Number/sample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129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- Chironomidae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14-a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'Chironomidae (lrv)'!$B$5:$B$44</c:f>
              <c:numCache>
                <c:formatCode>0</c:formatCode>
                <c:ptCount val="40"/>
                <c:pt idx="0">
                  <c:v>134</c:v>
                </c:pt>
                <c:pt idx="1">
                  <c:v>140</c:v>
                </c:pt>
                <c:pt idx="2">
                  <c:v>142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157</c:v>
                </c:pt>
                <c:pt idx="9">
                  <c:v>162</c:v>
                </c:pt>
                <c:pt idx="10">
                  <c:v>163</c:v>
                </c:pt>
                <c:pt idx="11">
                  <c:v>164</c:v>
                </c:pt>
                <c:pt idx="12">
                  <c:v>165</c:v>
                </c:pt>
                <c:pt idx="13">
                  <c:v>168</c:v>
                </c:pt>
                <c:pt idx="14">
                  <c:v>170</c:v>
                </c:pt>
                <c:pt idx="15">
                  <c:v>172</c:v>
                </c:pt>
                <c:pt idx="16">
                  <c:v>173</c:v>
                </c:pt>
                <c:pt idx="17">
                  <c:v>177</c:v>
                </c:pt>
                <c:pt idx="18">
                  <c:v>178</c:v>
                </c:pt>
                <c:pt idx="19">
                  <c:v>179</c:v>
                </c:pt>
                <c:pt idx="20">
                  <c:v>184</c:v>
                </c:pt>
                <c:pt idx="21">
                  <c:v>185</c:v>
                </c:pt>
                <c:pt idx="22">
                  <c:v>186</c:v>
                </c:pt>
                <c:pt idx="23">
                  <c:v>191</c:v>
                </c:pt>
                <c:pt idx="24">
                  <c:v>192</c:v>
                </c:pt>
                <c:pt idx="25">
                  <c:v>193</c:v>
                </c:pt>
                <c:pt idx="26">
                  <c:v>198</c:v>
                </c:pt>
                <c:pt idx="27">
                  <c:v>205</c:v>
                </c:pt>
                <c:pt idx="28">
                  <c:v>206</c:v>
                </c:pt>
                <c:pt idx="29">
                  <c:v>212</c:v>
                </c:pt>
                <c:pt idx="30">
                  <c:v>218</c:v>
                </c:pt>
                <c:pt idx="31">
                  <c:v>219</c:v>
                </c:pt>
                <c:pt idx="32">
                  <c:v>220</c:v>
                </c:pt>
                <c:pt idx="33">
                  <c:v>221</c:v>
                </c:pt>
                <c:pt idx="34">
                  <c:v>226</c:v>
                </c:pt>
                <c:pt idx="35">
                  <c:v>234</c:v>
                </c:pt>
                <c:pt idx="36">
                  <c:v>235</c:v>
                </c:pt>
                <c:pt idx="37">
                  <c:v>246</c:v>
                </c:pt>
                <c:pt idx="38">
                  <c:v>248</c:v>
                </c:pt>
                <c:pt idx="39">
                  <c:v>265</c:v>
                </c:pt>
              </c:numCache>
            </c:numRef>
          </c:xVal>
          <c:yVal>
            <c:numRef>
              <c:f>'Chironomidae (lrv)'!$C$5:$C$44</c:f>
              <c:numCache>
                <c:formatCode>0.0</c:formatCode>
                <c:ptCount val="40"/>
                <c:pt idx="0">
                  <c:v>1.8333333333333333</c:v>
                </c:pt>
                <c:pt idx="1">
                  <c:v>1</c:v>
                </c:pt>
                <c:pt idx="4">
                  <c:v>0</c:v>
                </c:pt>
                <c:pt idx="5">
                  <c:v>0.33333333333333331</c:v>
                </c:pt>
                <c:pt idx="10">
                  <c:v>0.5</c:v>
                </c:pt>
                <c:pt idx="13">
                  <c:v>0.5</c:v>
                </c:pt>
                <c:pt idx="20">
                  <c:v>1.1666666666666667</c:v>
                </c:pt>
                <c:pt idx="26">
                  <c:v>0.66666666666666663</c:v>
                </c:pt>
                <c:pt idx="29">
                  <c:v>0.66666666666666663</c:v>
                </c:pt>
                <c:pt idx="34">
                  <c:v>1.8333333333333333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73-4FA5-A10C-BBA1ACD20406}"/>
            </c:ext>
          </c:extLst>
        </c:ser>
        <c:ser>
          <c:idx val="1"/>
          <c:order val="1"/>
          <c:tx>
            <c:v>16-a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'Chironomidae (lrv)'!$B$5:$B$44</c:f>
              <c:numCache>
                <c:formatCode>0</c:formatCode>
                <c:ptCount val="40"/>
                <c:pt idx="0">
                  <c:v>134</c:v>
                </c:pt>
                <c:pt idx="1">
                  <c:v>140</c:v>
                </c:pt>
                <c:pt idx="2">
                  <c:v>142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157</c:v>
                </c:pt>
                <c:pt idx="9">
                  <c:v>162</c:v>
                </c:pt>
                <c:pt idx="10">
                  <c:v>163</c:v>
                </c:pt>
                <c:pt idx="11">
                  <c:v>164</c:v>
                </c:pt>
                <c:pt idx="12">
                  <c:v>165</c:v>
                </c:pt>
                <c:pt idx="13">
                  <c:v>168</c:v>
                </c:pt>
                <c:pt idx="14">
                  <c:v>170</c:v>
                </c:pt>
                <c:pt idx="15">
                  <c:v>172</c:v>
                </c:pt>
                <c:pt idx="16">
                  <c:v>173</c:v>
                </c:pt>
                <c:pt idx="17">
                  <c:v>177</c:v>
                </c:pt>
                <c:pt idx="18">
                  <c:v>178</c:v>
                </c:pt>
                <c:pt idx="19">
                  <c:v>179</c:v>
                </c:pt>
                <c:pt idx="20">
                  <c:v>184</c:v>
                </c:pt>
                <c:pt idx="21">
                  <c:v>185</c:v>
                </c:pt>
                <c:pt idx="22">
                  <c:v>186</c:v>
                </c:pt>
                <c:pt idx="23">
                  <c:v>191</c:v>
                </c:pt>
                <c:pt idx="24">
                  <c:v>192</c:v>
                </c:pt>
                <c:pt idx="25">
                  <c:v>193</c:v>
                </c:pt>
                <c:pt idx="26">
                  <c:v>198</c:v>
                </c:pt>
                <c:pt idx="27">
                  <c:v>205</c:v>
                </c:pt>
                <c:pt idx="28">
                  <c:v>206</c:v>
                </c:pt>
                <c:pt idx="29">
                  <c:v>212</c:v>
                </c:pt>
                <c:pt idx="30">
                  <c:v>218</c:v>
                </c:pt>
                <c:pt idx="31">
                  <c:v>219</c:v>
                </c:pt>
                <c:pt idx="32">
                  <c:v>220</c:v>
                </c:pt>
                <c:pt idx="33">
                  <c:v>221</c:v>
                </c:pt>
                <c:pt idx="34">
                  <c:v>226</c:v>
                </c:pt>
                <c:pt idx="35">
                  <c:v>234</c:v>
                </c:pt>
                <c:pt idx="36">
                  <c:v>235</c:v>
                </c:pt>
                <c:pt idx="37">
                  <c:v>246</c:v>
                </c:pt>
                <c:pt idx="38">
                  <c:v>248</c:v>
                </c:pt>
                <c:pt idx="39">
                  <c:v>265</c:v>
                </c:pt>
              </c:numCache>
            </c:numRef>
          </c:xVal>
          <c:yVal>
            <c:numRef>
              <c:f>'Chironomidae (lrv)'!$D$5:$D$44</c:f>
              <c:numCache>
                <c:formatCode>General</c:formatCode>
                <c:ptCount val="40"/>
                <c:pt idx="13">
                  <c:v>9.5</c:v>
                </c:pt>
                <c:pt idx="18">
                  <c:v>7.3</c:v>
                </c:pt>
                <c:pt idx="22">
                  <c:v>4.2</c:v>
                </c:pt>
                <c:pt idx="25">
                  <c:v>6</c:v>
                </c:pt>
                <c:pt idx="28">
                  <c:v>11.8</c:v>
                </c:pt>
                <c:pt idx="33">
                  <c:v>11.8</c:v>
                </c:pt>
                <c:pt idx="36">
                  <c:v>8.8000000000000007</c:v>
                </c:pt>
                <c:pt idx="37">
                  <c:v>3.8</c:v>
                </c:pt>
                <c:pt idx="39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F73-4FA5-A10C-BBA1ACD20406}"/>
            </c:ext>
          </c:extLst>
        </c:ser>
        <c:ser>
          <c:idx val="2"/>
          <c:order val="2"/>
          <c:tx>
            <c:v>18-c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'Chironomidae (lrv)'!$B$5:$B$44</c:f>
              <c:numCache>
                <c:formatCode>0</c:formatCode>
                <c:ptCount val="40"/>
                <c:pt idx="0">
                  <c:v>134</c:v>
                </c:pt>
                <c:pt idx="1">
                  <c:v>140</c:v>
                </c:pt>
                <c:pt idx="2">
                  <c:v>142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157</c:v>
                </c:pt>
                <c:pt idx="9">
                  <c:v>162</c:v>
                </c:pt>
                <c:pt idx="10">
                  <c:v>163</c:v>
                </c:pt>
                <c:pt idx="11">
                  <c:v>164</c:v>
                </c:pt>
                <c:pt idx="12">
                  <c:v>165</c:v>
                </c:pt>
                <c:pt idx="13">
                  <c:v>168</c:v>
                </c:pt>
                <c:pt idx="14">
                  <c:v>170</c:v>
                </c:pt>
                <c:pt idx="15">
                  <c:v>172</c:v>
                </c:pt>
                <c:pt idx="16">
                  <c:v>173</c:v>
                </c:pt>
                <c:pt idx="17">
                  <c:v>177</c:v>
                </c:pt>
                <c:pt idx="18">
                  <c:v>178</c:v>
                </c:pt>
                <c:pt idx="19">
                  <c:v>179</c:v>
                </c:pt>
                <c:pt idx="20">
                  <c:v>184</c:v>
                </c:pt>
                <c:pt idx="21">
                  <c:v>185</c:v>
                </c:pt>
                <c:pt idx="22">
                  <c:v>186</c:v>
                </c:pt>
                <c:pt idx="23">
                  <c:v>191</c:v>
                </c:pt>
                <c:pt idx="24">
                  <c:v>192</c:v>
                </c:pt>
                <c:pt idx="25">
                  <c:v>193</c:v>
                </c:pt>
                <c:pt idx="26">
                  <c:v>198</c:v>
                </c:pt>
                <c:pt idx="27">
                  <c:v>205</c:v>
                </c:pt>
                <c:pt idx="28">
                  <c:v>206</c:v>
                </c:pt>
                <c:pt idx="29">
                  <c:v>212</c:v>
                </c:pt>
                <c:pt idx="30">
                  <c:v>218</c:v>
                </c:pt>
                <c:pt idx="31">
                  <c:v>219</c:v>
                </c:pt>
                <c:pt idx="32">
                  <c:v>220</c:v>
                </c:pt>
                <c:pt idx="33">
                  <c:v>221</c:v>
                </c:pt>
                <c:pt idx="34">
                  <c:v>226</c:v>
                </c:pt>
                <c:pt idx="35">
                  <c:v>234</c:v>
                </c:pt>
                <c:pt idx="36">
                  <c:v>235</c:v>
                </c:pt>
                <c:pt idx="37">
                  <c:v>246</c:v>
                </c:pt>
                <c:pt idx="38">
                  <c:v>248</c:v>
                </c:pt>
                <c:pt idx="39">
                  <c:v>265</c:v>
                </c:pt>
              </c:numCache>
            </c:numRef>
          </c:xVal>
          <c:yVal>
            <c:numRef>
              <c:f>'Chironomidae (lrv)'!$E$5:$E$44</c:f>
              <c:numCache>
                <c:formatCode>General</c:formatCode>
                <c:ptCount val="40"/>
                <c:pt idx="3">
                  <c:v>0.2</c:v>
                </c:pt>
                <c:pt idx="4">
                  <c:v>0.2</c:v>
                </c:pt>
                <c:pt idx="8">
                  <c:v>0.2</c:v>
                </c:pt>
                <c:pt idx="12">
                  <c:v>0</c:v>
                </c:pt>
                <c:pt idx="16">
                  <c:v>0</c:v>
                </c:pt>
                <c:pt idx="19">
                  <c:v>0</c:v>
                </c:pt>
                <c:pt idx="24">
                  <c:v>0.6</c:v>
                </c:pt>
                <c:pt idx="28">
                  <c:v>0.4</c:v>
                </c:pt>
                <c:pt idx="32">
                  <c:v>0</c:v>
                </c:pt>
                <c:pt idx="3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F73-4FA5-A10C-BBA1ACD20406}"/>
            </c:ext>
          </c:extLst>
        </c:ser>
        <c:ser>
          <c:idx val="3"/>
          <c:order val="3"/>
          <c:tx>
            <c:v>19-b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'Chironomidae (lrv)'!$B$5:$B$44</c:f>
              <c:numCache>
                <c:formatCode>0</c:formatCode>
                <c:ptCount val="40"/>
                <c:pt idx="0">
                  <c:v>134</c:v>
                </c:pt>
                <c:pt idx="1">
                  <c:v>140</c:v>
                </c:pt>
                <c:pt idx="2">
                  <c:v>142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157</c:v>
                </c:pt>
                <c:pt idx="9">
                  <c:v>162</c:v>
                </c:pt>
                <c:pt idx="10">
                  <c:v>163</c:v>
                </c:pt>
                <c:pt idx="11">
                  <c:v>164</c:v>
                </c:pt>
                <c:pt idx="12">
                  <c:v>165</c:v>
                </c:pt>
                <c:pt idx="13">
                  <c:v>168</c:v>
                </c:pt>
                <c:pt idx="14">
                  <c:v>170</c:v>
                </c:pt>
                <c:pt idx="15">
                  <c:v>172</c:v>
                </c:pt>
                <c:pt idx="16">
                  <c:v>173</c:v>
                </c:pt>
                <c:pt idx="17">
                  <c:v>177</c:v>
                </c:pt>
                <c:pt idx="18">
                  <c:v>178</c:v>
                </c:pt>
                <c:pt idx="19">
                  <c:v>179</c:v>
                </c:pt>
                <c:pt idx="20">
                  <c:v>184</c:v>
                </c:pt>
                <c:pt idx="21">
                  <c:v>185</c:v>
                </c:pt>
                <c:pt idx="22">
                  <c:v>186</c:v>
                </c:pt>
                <c:pt idx="23">
                  <c:v>191</c:v>
                </c:pt>
                <c:pt idx="24">
                  <c:v>192</c:v>
                </c:pt>
                <c:pt idx="25">
                  <c:v>193</c:v>
                </c:pt>
                <c:pt idx="26">
                  <c:v>198</c:v>
                </c:pt>
                <c:pt idx="27">
                  <c:v>205</c:v>
                </c:pt>
                <c:pt idx="28">
                  <c:v>206</c:v>
                </c:pt>
                <c:pt idx="29">
                  <c:v>212</c:v>
                </c:pt>
                <c:pt idx="30">
                  <c:v>218</c:v>
                </c:pt>
                <c:pt idx="31">
                  <c:v>219</c:v>
                </c:pt>
                <c:pt idx="32">
                  <c:v>220</c:v>
                </c:pt>
                <c:pt idx="33">
                  <c:v>221</c:v>
                </c:pt>
                <c:pt idx="34">
                  <c:v>226</c:v>
                </c:pt>
                <c:pt idx="35">
                  <c:v>234</c:v>
                </c:pt>
                <c:pt idx="36">
                  <c:v>235</c:v>
                </c:pt>
                <c:pt idx="37">
                  <c:v>246</c:v>
                </c:pt>
                <c:pt idx="38">
                  <c:v>248</c:v>
                </c:pt>
                <c:pt idx="39">
                  <c:v>265</c:v>
                </c:pt>
              </c:numCache>
            </c:numRef>
          </c:xVal>
          <c:yVal>
            <c:numRef>
              <c:f>'Chironomidae (lrv)'!$F$5:$F$44</c:f>
              <c:numCache>
                <c:formatCode>0.00</c:formatCode>
                <c:ptCount val="40"/>
                <c:pt idx="8">
                  <c:v>6.3</c:v>
                </c:pt>
                <c:pt idx="9">
                  <c:v>1</c:v>
                </c:pt>
                <c:pt idx="14">
                  <c:v>2.7</c:v>
                </c:pt>
                <c:pt idx="17">
                  <c:v>2.2999999999999998</c:v>
                </c:pt>
                <c:pt idx="24">
                  <c:v>6.7</c:v>
                </c:pt>
                <c:pt idx="27">
                  <c:v>7.2</c:v>
                </c:pt>
                <c:pt idx="30">
                  <c:v>13.7</c:v>
                </c:pt>
                <c:pt idx="35">
                  <c:v>4.5</c:v>
                </c:pt>
                <c:pt idx="37">
                  <c:v>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F73-4FA5-A10C-BBA1ACD20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002160"/>
        <c:axId val="768005768"/>
      </c:scatterChart>
      <c:valAx>
        <c:axId val="768002160"/>
        <c:scaling>
          <c:orientation val="minMax"/>
          <c:max val="265"/>
          <c:min val="1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005768"/>
        <c:crosses val="autoZero"/>
        <c:crossBetween val="midCat"/>
      </c:valAx>
      <c:valAx>
        <c:axId val="768005768"/>
        <c:scaling>
          <c:orientation val="minMax"/>
          <c:max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Number/sample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002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- Cloeon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'Cloeon spp'!$C$3</c:f>
              <c:strCache>
                <c:ptCount val="1"/>
                <c:pt idx="0">
                  <c:v>14-a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'Cloeon spp'!$B$5:$B$44</c:f>
              <c:numCache>
                <c:formatCode>0</c:formatCode>
                <c:ptCount val="40"/>
                <c:pt idx="0">
                  <c:v>134</c:v>
                </c:pt>
                <c:pt idx="1">
                  <c:v>140</c:v>
                </c:pt>
                <c:pt idx="2">
                  <c:v>142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157</c:v>
                </c:pt>
                <c:pt idx="9">
                  <c:v>162</c:v>
                </c:pt>
                <c:pt idx="10">
                  <c:v>163</c:v>
                </c:pt>
                <c:pt idx="11">
                  <c:v>164</c:v>
                </c:pt>
                <c:pt idx="12">
                  <c:v>165</c:v>
                </c:pt>
                <c:pt idx="13">
                  <c:v>168</c:v>
                </c:pt>
                <c:pt idx="14">
                  <c:v>170</c:v>
                </c:pt>
                <c:pt idx="15">
                  <c:v>172</c:v>
                </c:pt>
                <c:pt idx="16">
                  <c:v>173</c:v>
                </c:pt>
                <c:pt idx="17">
                  <c:v>177</c:v>
                </c:pt>
                <c:pt idx="18">
                  <c:v>178</c:v>
                </c:pt>
                <c:pt idx="19">
                  <c:v>179</c:v>
                </c:pt>
                <c:pt idx="20">
                  <c:v>184</c:v>
                </c:pt>
                <c:pt idx="21">
                  <c:v>185</c:v>
                </c:pt>
                <c:pt idx="22">
                  <c:v>186</c:v>
                </c:pt>
                <c:pt idx="23">
                  <c:v>191</c:v>
                </c:pt>
                <c:pt idx="24">
                  <c:v>193</c:v>
                </c:pt>
                <c:pt idx="25">
                  <c:v>192</c:v>
                </c:pt>
                <c:pt idx="26">
                  <c:v>198</c:v>
                </c:pt>
                <c:pt idx="27">
                  <c:v>205</c:v>
                </c:pt>
                <c:pt idx="28">
                  <c:v>206</c:v>
                </c:pt>
                <c:pt idx="29">
                  <c:v>212</c:v>
                </c:pt>
                <c:pt idx="30">
                  <c:v>218</c:v>
                </c:pt>
                <c:pt idx="31">
                  <c:v>219</c:v>
                </c:pt>
                <c:pt idx="32">
                  <c:v>220</c:v>
                </c:pt>
                <c:pt idx="33">
                  <c:v>221</c:v>
                </c:pt>
                <c:pt idx="34">
                  <c:v>226</c:v>
                </c:pt>
                <c:pt idx="35">
                  <c:v>234</c:v>
                </c:pt>
                <c:pt idx="36">
                  <c:v>235</c:v>
                </c:pt>
                <c:pt idx="37">
                  <c:v>246</c:v>
                </c:pt>
                <c:pt idx="38">
                  <c:v>248</c:v>
                </c:pt>
                <c:pt idx="39">
                  <c:v>265</c:v>
                </c:pt>
              </c:numCache>
            </c:numRef>
          </c:xVal>
          <c:yVal>
            <c:numRef>
              <c:f>'Cloeon spp'!$C$5:$C$44</c:f>
              <c:numCache>
                <c:formatCode>0.0</c:formatCode>
                <c:ptCount val="40"/>
                <c:pt idx="0">
                  <c:v>8.5</c:v>
                </c:pt>
                <c:pt idx="1">
                  <c:v>10.333333333333334</c:v>
                </c:pt>
                <c:pt idx="4">
                  <c:v>14.833333333333334</c:v>
                </c:pt>
                <c:pt idx="5">
                  <c:v>11.166666666666666</c:v>
                </c:pt>
                <c:pt idx="10">
                  <c:v>4.5</c:v>
                </c:pt>
                <c:pt idx="13">
                  <c:v>3.5</c:v>
                </c:pt>
                <c:pt idx="20">
                  <c:v>8.5</c:v>
                </c:pt>
                <c:pt idx="26">
                  <c:v>9.3333333333333339</c:v>
                </c:pt>
                <c:pt idx="29">
                  <c:v>7.666666666666667</c:v>
                </c:pt>
                <c:pt idx="34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41-466B-89BF-F5BFEE6908FD}"/>
            </c:ext>
          </c:extLst>
        </c:ser>
        <c:ser>
          <c:idx val="1"/>
          <c:order val="1"/>
          <c:tx>
            <c:strRef>
              <c:f>'Cloeon spp'!$D$3</c:f>
              <c:strCache>
                <c:ptCount val="1"/>
                <c:pt idx="0">
                  <c:v>16-a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'Cloeon spp'!$B$5:$B$44</c:f>
              <c:numCache>
                <c:formatCode>0</c:formatCode>
                <c:ptCount val="40"/>
                <c:pt idx="0">
                  <c:v>134</c:v>
                </c:pt>
                <c:pt idx="1">
                  <c:v>140</c:v>
                </c:pt>
                <c:pt idx="2">
                  <c:v>142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157</c:v>
                </c:pt>
                <c:pt idx="9">
                  <c:v>162</c:v>
                </c:pt>
                <c:pt idx="10">
                  <c:v>163</c:v>
                </c:pt>
                <c:pt idx="11">
                  <c:v>164</c:v>
                </c:pt>
                <c:pt idx="12">
                  <c:v>165</c:v>
                </c:pt>
                <c:pt idx="13">
                  <c:v>168</c:v>
                </c:pt>
                <c:pt idx="14">
                  <c:v>170</c:v>
                </c:pt>
                <c:pt idx="15">
                  <c:v>172</c:v>
                </c:pt>
                <c:pt idx="16">
                  <c:v>173</c:v>
                </c:pt>
                <c:pt idx="17">
                  <c:v>177</c:v>
                </c:pt>
                <c:pt idx="18">
                  <c:v>178</c:v>
                </c:pt>
                <c:pt idx="19">
                  <c:v>179</c:v>
                </c:pt>
                <c:pt idx="20">
                  <c:v>184</c:v>
                </c:pt>
                <c:pt idx="21">
                  <c:v>185</c:v>
                </c:pt>
                <c:pt idx="22">
                  <c:v>186</c:v>
                </c:pt>
                <c:pt idx="23">
                  <c:v>191</c:v>
                </c:pt>
                <c:pt idx="24">
                  <c:v>193</c:v>
                </c:pt>
                <c:pt idx="25">
                  <c:v>192</c:v>
                </c:pt>
                <c:pt idx="26">
                  <c:v>198</c:v>
                </c:pt>
                <c:pt idx="27">
                  <c:v>205</c:v>
                </c:pt>
                <c:pt idx="28">
                  <c:v>206</c:v>
                </c:pt>
                <c:pt idx="29">
                  <c:v>212</c:v>
                </c:pt>
                <c:pt idx="30">
                  <c:v>218</c:v>
                </c:pt>
                <c:pt idx="31">
                  <c:v>219</c:v>
                </c:pt>
                <c:pt idx="32">
                  <c:v>220</c:v>
                </c:pt>
                <c:pt idx="33">
                  <c:v>221</c:v>
                </c:pt>
                <c:pt idx="34">
                  <c:v>226</c:v>
                </c:pt>
                <c:pt idx="35">
                  <c:v>234</c:v>
                </c:pt>
                <c:pt idx="36">
                  <c:v>235</c:v>
                </c:pt>
                <c:pt idx="37">
                  <c:v>246</c:v>
                </c:pt>
                <c:pt idx="38">
                  <c:v>248</c:v>
                </c:pt>
                <c:pt idx="39">
                  <c:v>265</c:v>
                </c:pt>
              </c:numCache>
            </c:numRef>
          </c:xVal>
          <c:yVal>
            <c:numRef>
              <c:f>'Cloeon spp'!$D$5:$D$44</c:f>
              <c:numCache>
                <c:formatCode>General</c:formatCode>
                <c:ptCount val="40"/>
                <c:pt idx="13">
                  <c:v>19.3</c:v>
                </c:pt>
                <c:pt idx="18">
                  <c:v>6.3</c:v>
                </c:pt>
                <c:pt idx="22">
                  <c:v>4.2</c:v>
                </c:pt>
                <c:pt idx="24">
                  <c:v>10</c:v>
                </c:pt>
                <c:pt idx="28">
                  <c:v>7.3</c:v>
                </c:pt>
                <c:pt idx="33">
                  <c:v>4.7</c:v>
                </c:pt>
                <c:pt idx="36">
                  <c:v>5.5</c:v>
                </c:pt>
                <c:pt idx="37">
                  <c:v>17.3</c:v>
                </c:pt>
                <c:pt idx="39">
                  <c:v>25.3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41-466B-89BF-F5BFEE6908FD}"/>
            </c:ext>
          </c:extLst>
        </c:ser>
        <c:ser>
          <c:idx val="2"/>
          <c:order val="2"/>
          <c:tx>
            <c:strRef>
              <c:f>'Cloeon spp'!$E$3</c:f>
              <c:strCache>
                <c:ptCount val="1"/>
                <c:pt idx="0">
                  <c:v>18-c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'Cloeon spp'!$B$5:$B$44</c:f>
              <c:numCache>
                <c:formatCode>0</c:formatCode>
                <c:ptCount val="40"/>
                <c:pt idx="0">
                  <c:v>134</c:v>
                </c:pt>
                <c:pt idx="1">
                  <c:v>140</c:v>
                </c:pt>
                <c:pt idx="2">
                  <c:v>142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157</c:v>
                </c:pt>
                <c:pt idx="9">
                  <c:v>162</c:v>
                </c:pt>
                <c:pt idx="10">
                  <c:v>163</c:v>
                </c:pt>
                <c:pt idx="11">
                  <c:v>164</c:v>
                </c:pt>
                <c:pt idx="12">
                  <c:v>165</c:v>
                </c:pt>
                <c:pt idx="13">
                  <c:v>168</c:v>
                </c:pt>
                <c:pt idx="14">
                  <c:v>170</c:v>
                </c:pt>
                <c:pt idx="15">
                  <c:v>172</c:v>
                </c:pt>
                <c:pt idx="16">
                  <c:v>173</c:v>
                </c:pt>
                <c:pt idx="17">
                  <c:v>177</c:v>
                </c:pt>
                <c:pt idx="18">
                  <c:v>178</c:v>
                </c:pt>
                <c:pt idx="19">
                  <c:v>179</c:v>
                </c:pt>
                <c:pt idx="20">
                  <c:v>184</c:v>
                </c:pt>
                <c:pt idx="21">
                  <c:v>185</c:v>
                </c:pt>
                <c:pt idx="22">
                  <c:v>186</c:v>
                </c:pt>
                <c:pt idx="23">
                  <c:v>191</c:v>
                </c:pt>
                <c:pt idx="24">
                  <c:v>193</c:v>
                </c:pt>
                <c:pt idx="25">
                  <c:v>192</c:v>
                </c:pt>
                <c:pt idx="26">
                  <c:v>198</c:v>
                </c:pt>
                <c:pt idx="27">
                  <c:v>205</c:v>
                </c:pt>
                <c:pt idx="28">
                  <c:v>206</c:v>
                </c:pt>
                <c:pt idx="29">
                  <c:v>212</c:v>
                </c:pt>
                <c:pt idx="30">
                  <c:v>218</c:v>
                </c:pt>
                <c:pt idx="31">
                  <c:v>219</c:v>
                </c:pt>
                <c:pt idx="32">
                  <c:v>220</c:v>
                </c:pt>
                <c:pt idx="33">
                  <c:v>221</c:v>
                </c:pt>
                <c:pt idx="34">
                  <c:v>226</c:v>
                </c:pt>
                <c:pt idx="35">
                  <c:v>234</c:v>
                </c:pt>
                <c:pt idx="36">
                  <c:v>235</c:v>
                </c:pt>
                <c:pt idx="37">
                  <c:v>246</c:v>
                </c:pt>
                <c:pt idx="38">
                  <c:v>248</c:v>
                </c:pt>
                <c:pt idx="39">
                  <c:v>265</c:v>
                </c:pt>
              </c:numCache>
            </c:numRef>
          </c:xVal>
          <c:yVal>
            <c:numRef>
              <c:f>'Cloeon spp'!$E$5:$E$44</c:f>
              <c:numCache>
                <c:formatCode>General</c:formatCode>
                <c:ptCount val="40"/>
                <c:pt idx="3">
                  <c:v>24.8</c:v>
                </c:pt>
                <c:pt idx="4">
                  <c:v>30.8</c:v>
                </c:pt>
                <c:pt idx="8">
                  <c:v>15.6</c:v>
                </c:pt>
                <c:pt idx="12">
                  <c:v>10.199999999999999</c:v>
                </c:pt>
                <c:pt idx="16">
                  <c:v>7</c:v>
                </c:pt>
                <c:pt idx="19">
                  <c:v>25.4</c:v>
                </c:pt>
                <c:pt idx="25">
                  <c:v>20.2</c:v>
                </c:pt>
                <c:pt idx="28">
                  <c:v>35.799999999999997</c:v>
                </c:pt>
                <c:pt idx="32">
                  <c:v>12.8</c:v>
                </c:pt>
                <c:pt idx="35">
                  <c:v>37.4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41-466B-89BF-F5BFEE6908FD}"/>
            </c:ext>
          </c:extLst>
        </c:ser>
        <c:ser>
          <c:idx val="3"/>
          <c:order val="3"/>
          <c:tx>
            <c:strRef>
              <c:f>'Cloeon spp'!$F$3</c:f>
              <c:strCache>
                <c:ptCount val="1"/>
                <c:pt idx="0">
                  <c:v>19-b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'Cloeon spp'!$B$5:$B$44</c:f>
              <c:numCache>
                <c:formatCode>0</c:formatCode>
                <c:ptCount val="40"/>
                <c:pt idx="0">
                  <c:v>134</c:v>
                </c:pt>
                <c:pt idx="1">
                  <c:v>140</c:v>
                </c:pt>
                <c:pt idx="2">
                  <c:v>142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157</c:v>
                </c:pt>
                <c:pt idx="9">
                  <c:v>162</c:v>
                </c:pt>
                <c:pt idx="10">
                  <c:v>163</c:v>
                </c:pt>
                <c:pt idx="11">
                  <c:v>164</c:v>
                </c:pt>
                <c:pt idx="12">
                  <c:v>165</c:v>
                </c:pt>
                <c:pt idx="13">
                  <c:v>168</c:v>
                </c:pt>
                <c:pt idx="14">
                  <c:v>170</c:v>
                </c:pt>
                <c:pt idx="15">
                  <c:v>172</c:v>
                </c:pt>
                <c:pt idx="16">
                  <c:v>173</c:v>
                </c:pt>
                <c:pt idx="17">
                  <c:v>177</c:v>
                </c:pt>
                <c:pt idx="18">
                  <c:v>178</c:v>
                </c:pt>
                <c:pt idx="19">
                  <c:v>179</c:v>
                </c:pt>
                <c:pt idx="20">
                  <c:v>184</c:v>
                </c:pt>
                <c:pt idx="21">
                  <c:v>185</c:v>
                </c:pt>
                <c:pt idx="22">
                  <c:v>186</c:v>
                </c:pt>
                <c:pt idx="23">
                  <c:v>191</c:v>
                </c:pt>
                <c:pt idx="24">
                  <c:v>193</c:v>
                </c:pt>
                <c:pt idx="25">
                  <c:v>192</c:v>
                </c:pt>
                <c:pt idx="26">
                  <c:v>198</c:v>
                </c:pt>
                <c:pt idx="27">
                  <c:v>205</c:v>
                </c:pt>
                <c:pt idx="28">
                  <c:v>206</c:v>
                </c:pt>
                <c:pt idx="29">
                  <c:v>212</c:v>
                </c:pt>
                <c:pt idx="30">
                  <c:v>218</c:v>
                </c:pt>
                <c:pt idx="31">
                  <c:v>219</c:v>
                </c:pt>
                <c:pt idx="32">
                  <c:v>220</c:v>
                </c:pt>
                <c:pt idx="33">
                  <c:v>221</c:v>
                </c:pt>
                <c:pt idx="34">
                  <c:v>226</c:v>
                </c:pt>
                <c:pt idx="35">
                  <c:v>234</c:v>
                </c:pt>
                <c:pt idx="36">
                  <c:v>235</c:v>
                </c:pt>
                <c:pt idx="37">
                  <c:v>246</c:v>
                </c:pt>
                <c:pt idx="38">
                  <c:v>248</c:v>
                </c:pt>
                <c:pt idx="39">
                  <c:v>265</c:v>
                </c:pt>
              </c:numCache>
            </c:numRef>
          </c:xVal>
          <c:yVal>
            <c:numRef>
              <c:f>'Cloeon spp'!$F$5:$F$44</c:f>
              <c:numCache>
                <c:formatCode>0.00</c:formatCode>
                <c:ptCount val="40"/>
                <c:pt idx="8">
                  <c:v>2.2000000000000002</c:v>
                </c:pt>
                <c:pt idx="9">
                  <c:v>4.8</c:v>
                </c:pt>
                <c:pt idx="14">
                  <c:v>4.2</c:v>
                </c:pt>
                <c:pt idx="17">
                  <c:v>2.2999999999999998</c:v>
                </c:pt>
                <c:pt idx="25">
                  <c:v>4.5</c:v>
                </c:pt>
                <c:pt idx="27">
                  <c:v>11.3</c:v>
                </c:pt>
                <c:pt idx="30">
                  <c:v>14.2</c:v>
                </c:pt>
                <c:pt idx="35">
                  <c:v>7.2</c:v>
                </c:pt>
                <c:pt idx="37">
                  <c:v>25.5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541-466B-89BF-F5BFEE690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726448"/>
        <c:axId val="876716608"/>
      </c:scatterChart>
      <c:valAx>
        <c:axId val="876726448"/>
        <c:scaling>
          <c:orientation val="minMax"/>
          <c:max val="265"/>
          <c:min val="1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716608"/>
        <c:crosses val="autoZero"/>
        <c:crossBetween val="midCat"/>
      </c:valAx>
      <c:valAx>
        <c:axId val="87671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Number/sample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726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- Gammarus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16-a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'Gammarus pulex'!$I$5:$I$35</c:f>
              <c:numCache>
                <c:formatCode>0</c:formatCode>
                <c:ptCount val="31"/>
                <c:pt idx="0">
                  <c:v>134</c:v>
                </c:pt>
                <c:pt idx="1">
                  <c:v>140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7">
                  <c:v>157</c:v>
                </c:pt>
                <c:pt idx="8">
                  <c:v>163</c:v>
                </c:pt>
                <c:pt idx="10">
                  <c:v>165</c:v>
                </c:pt>
                <c:pt idx="11">
                  <c:v>168</c:v>
                </c:pt>
                <c:pt idx="13">
                  <c:v>173</c:v>
                </c:pt>
                <c:pt idx="14">
                  <c:v>178</c:v>
                </c:pt>
                <c:pt idx="15">
                  <c:v>179</c:v>
                </c:pt>
                <c:pt idx="16">
                  <c:v>184</c:v>
                </c:pt>
                <c:pt idx="18">
                  <c:v>186</c:v>
                </c:pt>
                <c:pt idx="19">
                  <c:v>192</c:v>
                </c:pt>
                <c:pt idx="20">
                  <c:v>193</c:v>
                </c:pt>
                <c:pt idx="21">
                  <c:v>198</c:v>
                </c:pt>
                <c:pt idx="22">
                  <c:v>206</c:v>
                </c:pt>
                <c:pt idx="23">
                  <c:v>212</c:v>
                </c:pt>
                <c:pt idx="24">
                  <c:v>220</c:v>
                </c:pt>
                <c:pt idx="25">
                  <c:v>221</c:v>
                </c:pt>
                <c:pt idx="26">
                  <c:v>226</c:v>
                </c:pt>
                <c:pt idx="27">
                  <c:v>234</c:v>
                </c:pt>
                <c:pt idx="28">
                  <c:v>235</c:v>
                </c:pt>
                <c:pt idx="29">
                  <c:v>246</c:v>
                </c:pt>
                <c:pt idx="30">
                  <c:v>265</c:v>
                </c:pt>
              </c:numCache>
            </c:numRef>
          </c:xVal>
          <c:yVal>
            <c:numRef>
              <c:f>'Gammarus pulex'!$J$5:$J$35</c:f>
              <c:numCache>
                <c:formatCode>General</c:formatCode>
                <c:ptCount val="31"/>
                <c:pt idx="11">
                  <c:v>6.2</c:v>
                </c:pt>
                <c:pt idx="14">
                  <c:v>5.2</c:v>
                </c:pt>
                <c:pt idx="18">
                  <c:v>4</c:v>
                </c:pt>
                <c:pt idx="20">
                  <c:v>1.7</c:v>
                </c:pt>
                <c:pt idx="22">
                  <c:v>0.5</c:v>
                </c:pt>
                <c:pt idx="25">
                  <c:v>0.3</c:v>
                </c:pt>
                <c:pt idx="28">
                  <c:v>0.2</c:v>
                </c:pt>
                <c:pt idx="29">
                  <c:v>0.2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2A-4DEC-A813-95B676D1A1E1}"/>
            </c:ext>
          </c:extLst>
        </c:ser>
        <c:ser>
          <c:idx val="1"/>
          <c:order val="1"/>
          <c:tx>
            <c:v>18-c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'Gammarus pulex'!$I$5:$I$35</c:f>
              <c:numCache>
                <c:formatCode>0</c:formatCode>
                <c:ptCount val="31"/>
                <c:pt idx="0">
                  <c:v>134</c:v>
                </c:pt>
                <c:pt idx="1">
                  <c:v>140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7">
                  <c:v>157</c:v>
                </c:pt>
                <c:pt idx="8">
                  <c:v>163</c:v>
                </c:pt>
                <c:pt idx="10">
                  <c:v>165</c:v>
                </c:pt>
                <c:pt idx="11">
                  <c:v>168</c:v>
                </c:pt>
                <c:pt idx="13">
                  <c:v>173</c:v>
                </c:pt>
                <c:pt idx="14">
                  <c:v>178</c:v>
                </c:pt>
                <c:pt idx="15">
                  <c:v>179</c:v>
                </c:pt>
                <c:pt idx="16">
                  <c:v>184</c:v>
                </c:pt>
                <c:pt idx="18">
                  <c:v>186</c:v>
                </c:pt>
                <c:pt idx="19">
                  <c:v>192</c:v>
                </c:pt>
                <c:pt idx="20">
                  <c:v>193</c:v>
                </c:pt>
                <c:pt idx="21">
                  <c:v>198</c:v>
                </c:pt>
                <c:pt idx="22">
                  <c:v>206</c:v>
                </c:pt>
                <c:pt idx="23">
                  <c:v>212</c:v>
                </c:pt>
                <c:pt idx="24">
                  <c:v>220</c:v>
                </c:pt>
                <c:pt idx="25">
                  <c:v>221</c:v>
                </c:pt>
                <c:pt idx="26">
                  <c:v>226</c:v>
                </c:pt>
                <c:pt idx="27">
                  <c:v>234</c:v>
                </c:pt>
                <c:pt idx="28">
                  <c:v>235</c:v>
                </c:pt>
                <c:pt idx="29">
                  <c:v>246</c:v>
                </c:pt>
                <c:pt idx="30">
                  <c:v>265</c:v>
                </c:pt>
              </c:numCache>
            </c:numRef>
          </c:xVal>
          <c:yVal>
            <c:numRef>
              <c:f>'Gammarus pulex'!$K$5:$K$35</c:f>
              <c:numCache>
                <c:formatCode>General</c:formatCode>
                <c:ptCount val="31"/>
                <c:pt idx="3">
                  <c:v>7.4</c:v>
                </c:pt>
                <c:pt idx="4">
                  <c:v>5.6</c:v>
                </c:pt>
                <c:pt idx="7">
                  <c:v>5.6</c:v>
                </c:pt>
                <c:pt idx="10">
                  <c:v>2.2000000000000002</c:v>
                </c:pt>
                <c:pt idx="13">
                  <c:v>0.2</c:v>
                </c:pt>
                <c:pt idx="15">
                  <c:v>1.4</c:v>
                </c:pt>
                <c:pt idx="19">
                  <c:v>0.5</c:v>
                </c:pt>
                <c:pt idx="22">
                  <c:v>0.8</c:v>
                </c:pt>
                <c:pt idx="24">
                  <c:v>0</c:v>
                </c:pt>
                <c:pt idx="27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2A-4DEC-A813-95B676D1A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447112"/>
        <c:axId val="692440224"/>
      </c:scatterChart>
      <c:valAx>
        <c:axId val="692447112"/>
        <c:scaling>
          <c:orientation val="minMax"/>
          <c:max val="265"/>
          <c:min val="1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440224"/>
        <c:crosses val="autoZero"/>
        <c:crossBetween val="midCat"/>
      </c:valAx>
      <c:valAx>
        <c:axId val="69244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Number/sample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447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- Helobdella (leech)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'Helobdella - leech'!$C$3</c:f>
              <c:strCache>
                <c:ptCount val="1"/>
                <c:pt idx="0">
                  <c:v>14-a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'Helobdella - leech'!$B$5:$B$44</c:f>
              <c:numCache>
                <c:formatCode>0</c:formatCode>
                <c:ptCount val="40"/>
                <c:pt idx="0">
                  <c:v>134</c:v>
                </c:pt>
                <c:pt idx="1">
                  <c:v>140</c:v>
                </c:pt>
                <c:pt idx="2">
                  <c:v>142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157</c:v>
                </c:pt>
                <c:pt idx="9">
                  <c:v>162</c:v>
                </c:pt>
                <c:pt idx="10">
                  <c:v>163</c:v>
                </c:pt>
                <c:pt idx="11">
                  <c:v>164</c:v>
                </c:pt>
                <c:pt idx="12">
                  <c:v>165</c:v>
                </c:pt>
                <c:pt idx="13">
                  <c:v>168</c:v>
                </c:pt>
                <c:pt idx="14">
                  <c:v>170</c:v>
                </c:pt>
                <c:pt idx="15">
                  <c:v>172</c:v>
                </c:pt>
                <c:pt idx="16">
                  <c:v>173</c:v>
                </c:pt>
                <c:pt idx="17">
                  <c:v>177</c:v>
                </c:pt>
                <c:pt idx="18">
                  <c:v>178</c:v>
                </c:pt>
                <c:pt idx="19">
                  <c:v>179</c:v>
                </c:pt>
                <c:pt idx="20">
                  <c:v>184</c:v>
                </c:pt>
                <c:pt idx="21">
                  <c:v>185</c:v>
                </c:pt>
                <c:pt idx="22">
                  <c:v>186</c:v>
                </c:pt>
                <c:pt idx="23">
                  <c:v>191</c:v>
                </c:pt>
                <c:pt idx="24">
                  <c:v>192</c:v>
                </c:pt>
                <c:pt idx="25">
                  <c:v>193</c:v>
                </c:pt>
                <c:pt idx="26">
                  <c:v>198</c:v>
                </c:pt>
                <c:pt idx="27">
                  <c:v>205</c:v>
                </c:pt>
                <c:pt idx="28">
                  <c:v>206</c:v>
                </c:pt>
                <c:pt idx="29">
                  <c:v>212</c:v>
                </c:pt>
                <c:pt idx="30">
                  <c:v>218</c:v>
                </c:pt>
                <c:pt idx="31">
                  <c:v>219</c:v>
                </c:pt>
                <c:pt idx="32">
                  <c:v>220</c:v>
                </c:pt>
                <c:pt idx="33">
                  <c:v>221</c:v>
                </c:pt>
                <c:pt idx="34">
                  <c:v>226</c:v>
                </c:pt>
                <c:pt idx="35">
                  <c:v>234</c:v>
                </c:pt>
                <c:pt idx="36">
                  <c:v>235</c:v>
                </c:pt>
                <c:pt idx="37">
                  <c:v>246</c:v>
                </c:pt>
                <c:pt idx="38">
                  <c:v>248</c:v>
                </c:pt>
                <c:pt idx="39">
                  <c:v>265</c:v>
                </c:pt>
              </c:numCache>
            </c:numRef>
          </c:xVal>
          <c:yVal>
            <c:numRef>
              <c:f>'Helobdella - leech'!$C$5:$C$44</c:f>
              <c:numCache>
                <c:formatCode>0.0</c:formatCode>
                <c:ptCount val="40"/>
                <c:pt idx="0">
                  <c:v>0.66666666666666663</c:v>
                </c:pt>
                <c:pt idx="1">
                  <c:v>0.33333333333333331</c:v>
                </c:pt>
                <c:pt idx="4">
                  <c:v>0</c:v>
                </c:pt>
                <c:pt idx="5">
                  <c:v>0.33333333333333331</c:v>
                </c:pt>
                <c:pt idx="10">
                  <c:v>0.33333333333333331</c:v>
                </c:pt>
                <c:pt idx="13">
                  <c:v>0</c:v>
                </c:pt>
                <c:pt idx="20">
                  <c:v>0</c:v>
                </c:pt>
                <c:pt idx="26">
                  <c:v>0</c:v>
                </c:pt>
                <c:pt idx="29">
                  <c:v>0.3</c:v>
                </c:pt>
                <c:pt idx="34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21-4FC8-843C-ACDC47FDFB08}"/>
            </c:ext>
          </c:extLst>
        </c:ser>
        <c:ser>
          <c:idx val="1"/>
          <c:order val="1"/>
          <c:tx>
            <c:strRef>
              <c:f>'Helobdella - leech'!$D$3</c:f>
              <c:strCache>
                <c:ptCount val="1"/>
                <c:pt idx="0">
                  <c:v>16-a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'Helobdella - leech'!$B$5:$B$44</c:f>
              <c:numCache>
                <c:formatCode>0</c:formatCode>
                <c:ptCount val="40"/>
                <c:pt idx="0">
                  <c:v>134</c:v>
                </c:pt>
                <c:pt idx="1">
                  <c:v>140</c:v>
                </c:pt>
                <c:pt idx="2">
                  <c:v>142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157</c:v>
                </c:pt>
                <c:pt idx="9">
                  <c:v>162</c:v>
                </c:pt>
                <c:pt idx="10">
                  <c:v>163</c:v>
                </c:pt>
                <c:pt idx="11">
                  <c:v>164</c:v>
                </c:pt>
                <c:pt idx="12">
                  <c:v>165</c:v>
                </c:pt>
                <c:pt idx="13">
                  <c:v>168</c:v>
                </c:pt>
                <c:pt idx="14">
                  <c:v>170</c:v>
                </c:pt>
                <c:pt idx="15">
                  <c:v>172</c:v>
                </c:pt>
                <c:pt idx="16">
                  <c:v>173</c:v>
                </c:pt>
                <c:pt idx="17">
                  <c:v>177</c:v>
                </c:pt>
                <c:pt idx="18">
                  <c:v>178</c:v>
                </c:pt>
                <c:pt idx="19">
                  <c:v>179</c:v>
                </c:pt>
                <c:pt idx="20">
                  <c:v>184</c:v>
                </c:pt>
                <c:pt idx="21">
                  <c:v>185</c:v>
                </c:pt>
                <c:pt idx="22">
                  <c:v>186</c:v>
                </c:pt>
                <c:pt idx="23">
                  <c:v>191</c:v>
                </c:pt>
                <c:pt idx="24">
                  <c:v>192</c:v>
                </c:pt>
                <c:pt idx="25">
                  <c:v>193</c:v>
                </c:pt>
                <c:pt idx="26">
                  <c:v>198</c:v>
                </c:pt>
                <c:pt idx="27">
                  <c:v>205</c:v>
                </c:pt>
                <c:pt idx="28">
                  <c:v>206</c:v>
                </c:pt>
                <c:pt idx="29">
                  <c:v>212</c:v>
                </c:pt>
                <c:pt idx="30">
                  <c:v>218</c:v>
                </c:pt>
                <c:pt idx="31">
                  <c:v>219</c:v>
                </c:pt>
                <c:pt idx="32">
                  <c:v>220</c:v>
                </c:pt>
                <c:pt idx="33">
                  <c:v>221</c:v>
                </c:pt>
                <c:pt idx="34">
                  <c:v>226</c:v>
                </c:pt>
                <c:pt idx="35">
                  <c:v>234</c:v>
                </c:pt>
                <c:pt idx="36">
                  <c:v>235</c:v>
                </c:pt>
                <c:pt idx="37">
                  <c:v>246</c:v>
                </c:pt>
                <c:pt idx="38">
                  <c:v>248</c:v>
                </c:pt>
                <c:pt idx="39">
                  <c:v>265</c:v>
                </c:pt>
              </c:numCache>
            </c:numRef>
          </c:xVal>
          <c:yVal>
            <c:numRef>
              <c:f>'Helobdella - leech'!$D$5:$D$44</c:f>
              <c:numCache>
                <c:formatCode>General</c:formatCode>
                <c:ptCount val="40"/>
                <c:pt idx="13">
                  <c:v>0.3</c:v>
                </c:pt>
                <c:pt idx="18">
                  <c:v>0.7</c:v>
                </c:pt>
                <c:pt idx="22">
                  <c:v>0.3</c:v>
                </c:pt>
                <c:pt idx="25">
                  <c:v>0</c:v>
                </c:pt>
                <c:pt idx="28">
                  <c:v>0</c:v>
                </c:pt>
                <c:pt idx="33">
                  <c:v>0.2</c:v>
                </c:pt>
                <c:pt idx="36">
                  <c:v>0</c:v>
                </c:pt>
                <c:pt idx="37">
                  <c:v>0</c:v>
                </c:pt>
                <c:pt idx="3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D21-4FC8-843C-ACDC47FDFB08}"/>
            </c:ext>
          </c:extLst>
        </c:ser>
        <c:ser>
          <c:idx val="2"/>
          <c:order val="2"/>
          <c:tx>
            <c:strRef>
              <c:f>'Helobdella - leech'!$E$3</c:f>
              <c:strCache>
                <c:ptCount val="1"/>
                <c:pt idx="0">
                  <c:v>18-c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'Helobdella - leech'!$B$5:$B$44</c:f>
              <c:numCache>
                <c:formatCode>0</c:formatCode>
                <c:ptCount val="40"/>
                <c:pt idx="0">
                  <c:v>134</c:v>
                </c:pt>
                <c:pt idx="1">
                  <c:v>140</c:v>
                </c:pt>
                <c:pt idx="2">
                  <c:v>142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157</c:v>
                </c:pt>
                <c:pt idx="9">
                  <c:v>162</c:v>
                </c:pt>
                <c:pt idx="10">
                  <c:v>163</c:v>
                </c:pt>
                <c:pt idx="11">
                  <c:v>164</c:v>
                </c:pt>
                <c:pt idx="12">
                  <c:v>165</c:v>
                </c:pt>
                <c:pt idx="13">
                  <c:v>168</c:v>
                </c:pt>
                <c:pt idx="14">
                  <c:v>170</c:v>
                </c:pt>
                <c:pt idx="15">
                  <c:v>172</c:v>
                </c:pt>
                <c:pt idx="16">
                  <c:v>173</c:v>
                </c:pt>
                <c:pt idx="17">
                  <c:v>177</c:v>
                </c:pt>
                <c:pt idx="18">
                  <c:v>178</c:v>
                </c:pt>
                <c:pt idx="19">
                  <c:v>179</c:v>
                </c:pt>
                <c:pt idx="20">
                  <c:v>184</c:v>
                </c:pt>
                <c:pt idx="21">
                  <c:v>185</c:v>
                </c:pt>
                <c:pt idx="22">
                  <c:v>186</c:v>
                </c:pt>
                <c:pt idx="23">
                  <c:v>191</c:v>
                </c:pt>
                <c:pt idx="24">
                  <c:v>192</c:v>
                </c:pt>
                <c:pt idx="25">
                  <c:v>193</c:v>
                </c:pt>
                <c:pt idx="26">
                  <c:v>198</c:v>
                </c:pt>
                <c:pt idx="27">
                  <c:v>205</c:v>
                </c:pt>
                <c:pt idx="28">
                  <c:v>206</c:v>
                </c:pt>
                <c:pt idx="29">
                  <c:v>212</c:v>
                </c:pt>
                <c:pt idx="30">
                  <c:v>218</c:v>
                </c:pt>
                <c:pt idx="31">
                  <c:v>219</c:v>
                </c:pt>
                <c:pt idx="32">
                  <c:v>220</c:v>
                </c:pt>
                <c:pt idx="33">
                  <c:v>221</c:v>
                </c:pt>
                <c:pt idx="34">
                  <c:v>226</c:v>
                </c:pt>
                <c:pt idx="35">
                  <c:v>234</c:v>
                </c:pt>
                <c:pt idx="36">
                  <c:v>235</c:v>
                </c:pt>
                <c:pt idx="37">
                  <c:v>246</c:v>
                </c:pt>
                <c:pt idx="38">
                  <c:v>248</c:v>
                </c:pt>
                <c:pt idx="39">
                  <c:v>265</c:v>
                </c:pt>
              </c:numCache>
            </c:numRef>
          </c:xVal>
          <c:yVal>
            <c:numRef>
              <c:f>'Helobdella - leech'!$E$5:$E$44</c:f>
              <c:numCache>
                <c:formatCode>General</c:formatCode>
                <c:ptCount val="40"/>
                <c:pt idx="3">
                  <c:v>0.4</c:v>
                </c:pt>
                <c:pt idx="4">
                  <c:v>0.2</c:v>
                </c:pt>
                <c:pt idx="8">
                  <c:v>0.2</c:v>
                </c:pt>
                <c:pt idx="12">
                  <c:v>0</c:v>
                </c:pt>
                <c:pt idx="16">
                  <c:v>0</c:v>
                </c:pt>
                <c:pt idx="19">
                  <c:v>0.4</c:v>
                </c:pt>
                <c:pt idx="24">
                  <c:v>0.2</c:v>
                </c:pt>
                <c:pt idx="28">
                  <c:v>0.4</c:v>
                </c:pt>
                <c:pt idx="32">
                  <c:v>0.4</c:v>
                </c:pt>
                <c:pt idx="35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D21-4FC8-843C-ACDC47FDFB08}"/>
            </c:ext>
          </c:extLst>
        </c:ser>
        <c:ser>
          <c:idx val="3"/>
          <c:order val="3"/>
          <c:tx>
            <c:strRef>
              <c:f>'Helobdella - leech'!$F$3</c:f>
              <c:strCache>
                <c:ptCount val="1"/>
                <c:pt idx="0">
                  <c:v>19-b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'Helobdella - leech'!$B$5:$B$44</c:f>
              <c:numCache>
                <c:formatCode>0</c:formatCode>
                <c:ptCount val="40"/>
                <c:pt idx="0">
                  <c:v>134</c:v>
                </c:pt>
                <c:pt idx="1">
                  <c:v>140</c:v>
                </c:pt>
                <c:pt idx="2">
                  <c:v>142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157</c:v>
                </c:pt>
                <c:pt idx="9">
                  <c:v>162</c:v>
                </c:pt>
                <c:pt idx="10">
                  <c:v>163</c:v>
                </c:pt>
                <c:pt idx="11">
                  <c:v>164</c:v>
                </c:pt>
                <c:pt idx="12">
                  <c:v>165</c:v>
                </c:pt>
                <c:pt idx="13">
                  <c:v>168</c:v>
                </c:pt>
                <c:pt idx="14">
                  <c:v>170</c:v>
                </c:pt>
                <c:pt idx="15">
                  <c:v>172</c:v>
                </c:pt>
                <c:pt idx="16">
                  <c:v>173</c:v>
                </c:pt>
                <c:pt idx="17">
                  <c:v>177</c:v>
                </c:pt>
                <c:pt idx="18">
                  <c:v>178</c:v>
                </c:pt>
                <c:pt idx="19">
                  <c:v>179</c:v>
                </c:pt>
                <c:pt idx="20">
                  <c:v>184</c:v>
                </c:pt>
                <c:pt idx="21">
                  <c:v>185</c:v>
                </c:pt>
                <c:pt idx="22">
                  <c:v>186</c:v>
                </c:pt>
                <c:pt idx="23">
                  <c:v>191</c:v>
                </c:pt>
                <c:pt idx="24">
                  <c:v>192</c:v>
                </c:pt>
                <c:pt idx="25">
                  <c:v>193</c:v>
                </c:pt>
                <c:pt idx="26">
                  <c:v>198</c:v>
                </c:pt>
                <c:pt idx="27">
                  <c:v>205</c:v>
                </c:pt>
                <c:pt idx="28">
                  <c:v>206</c:v>
                </c:pt>
                <c:pt idx="29">
                  <c:v>212</c:v>
                </c:pt>
                <c:pt idx="30">
                  <c:v>218</c:v>
                </c:pt>
                <c:pt idx="31">
                  <c:v>219</c:v>
                </c:pt>
                <c:pt idx="32">
                  <c:v>220</c:v>
                </c:pt>
                <c:pt idx="33">
                  <c:v>221</c:v>
                </c:pt>
                <c:pt idx="34">
                  <c:v>226</c:v>
                </c:pt>
                <c:pt idx="35">
                  <c:v>234</c:v>
                </c:pt>
                <c:pt idx="36">
                  <c:v>235</c:v>
                </c:pt>
                <c:pt idx="37">
                  <c:v>246</c:v>
                </c:pt>
                <c:pt idx="38">
                  <c:v>248</c:v>
                </c:pt>
                <c:pt idx="39">
                  <c:v>265</c:v>
                </c:pt>
              </c:numCache>
            </c:numRef>
          </c:xVal>
          <c:yVal>
            <c:numRef>
              <c:f>'Helobdella - leech'!$F$5:$F$44</c:f>
              <c:numCache>
                <c:formatCode>0.00</c:formatCode>
                <c:ptCount val="40"/>
                <c:pt idx="8">
                  <c:v>0.8</c:v>
                </c:pt>
                <c:pt idx="9">
                  <c:v>0.7</c:v>
                </c:pt>
                <c:pt idx="14">
                  <c:v>0.8</c:v>
                </c:pt>
                <c:pt idx="17">
                  <c:v>1</c:v>
                </c:pt>
                <c:pt idx="24">
                  <c:v>0</c:v>
                </c:pt>
                <c:pt idx="27">
                  <c:v>1</c:v>
                </c:pt>
                <c:pt idx="30">
                  <c:v>3.8</c:v>
                </c:pt>
                <c:pt idx="35">
                  <c:v>1.2</c:v>
                </c:pt>
                <c:pt idx="37">
                  <c:v>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D21-4FC8-843C-ACDC47FDF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039704"/>
        <c:axId val="877033472"/>
      </c:scatterChart>
      <c:valAx>
        <c:axId val="877039704"/>
        <c:scaling>
          <c:orientation val="minMax"/>
          <c:max val="265"/>
          <c:min val="1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033472"/>
        <c:crosses val="autoZero"/>
        <c:crossBetween val="midCat"/>
      </c:valAx>
      <c:valAx>
        <c:axId val="877033472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Number/sample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039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- Lymnaea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'Lymnaea - snail'!$C$3</c:f>
              <c:strCache>
                <c:ptCount val="1"/>
                <c:pt idx="0">
                  <c:v>14-a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'Lymnaea - snail'!$B$5:$B$44</c:f>
              <c:numCache>
                <c:formatCode>0</c:formatCode>
                <c:ptCount val="40"/>
                <c:pt idx="0">
                  <c:v>134</c:v>
                </c:pt>
                <c:pt idx="1">
                  <c:v>140</c:v>
                </c:pt>
                <c:pt idx="2">
                  <c:v>142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157</c:v>
                </c:pt>
                <c:pt idx="9">
                  <c:v>162</c:v>
                </c:pt>
                <c:pt idx="10">
                  <c:v>163</c:v>
                </c:pt>
                <c:pt idx="11">
                  <c:v>164</c:v>
                </c:pt>
                <c:pt idx="12">
                  <c:v>165</c:v>
                </c:pt>
                <c:pt idx="13">
                  <c:v>168</c:v>
                </c:pt>
                <c:pt idx="14">
                  <c:v>170</c:v>
                </c:pt>
                <c:pt idx="15">
                  <c:v>172</c:v>
                </c:pt>
                <c:pt idx="16">
                  <c:v>173</c:v>
                </c:pt>
                <c:pt idx="17">
                  <c:v>177</c:v>
                </c:pt>
                <c:pt idx="18">
                  <c:v>178</c:v>
                </c:pt>
                <c:pt idx="19">
                  <c:v>179</c:v>
                </c:pt>
                <c:pt idx="20">
                  <c:v>184</c:v>
                </c:pt>
                <c:pt idx="21">
                  <c:v>185</c:v>
                </c:pt>
                <c:pt idx="22">
                  <c:v>186</c:v>
                </c:pt>
                <c:pt idx="23">
                  <c:v>191</c:v>
                </c:pt>
                <c:pt idx="24">
                  <c:v>192</c:v>
                </c:pt>
                <c:pt idx="25">
                  <c:v>193</c:v>
                </c:pt>
                <c:pt idx="26">
                  <c:v>198</c:v>
                </c:pt>
                <c:pt idx="27">
                  <c:v>205</c:v>
                </c:pt>
                <c:pt idx="28">
                  <c:v>206</c:v>
                </c:pt>
                <c:pt idx="29">
                  <c:v>212</c:v>
                </c:pt>
                <c:pt idx="30">
                  <c:v>218</c:v>
                </c:pt>
                <c:pt idx="31">
                  <c:v>219</c:v>
                </c:pt>
                <c:pt idx="32">
                  <c:v>220</c:v>
                </c:pt>
                <c:pt idx="33">
                  <c:v>221</c:v>
                </c:pt>
                <c:pt idx="34">
                  <c:v>226</c:v>
                </c:pt>
                <c:pt idx="35">
                  <c:v>234</c:v>
                </c:pt>
                <c:pt idx="36">
                  <c:v>235</c:v>
                </c:pt>
                <c:pt idx="37">
                  <c:v>246</c:v>
                </c:pt>
                <c:pt idx="38">
                  <c:v>248</c:v>
                </c:pt>
                <c:pt idx="39">
                  <c:v>265</c:v>
                </c:pt>
              </c:numCache>
            </c:numRef>
          </c:xVal>
          <c:yVal>
            <c:numRef>
              <c:f>'Lymnaea - snail'!$C$5:$C$44</c:f>
              <c:numCache>
                <c:formatCode>0.0</c:formatCode>
                <c:ptCount val="40"/>
                <c:pt idx="0">
                  <c:v>9</c:v>
                </c:pt>
                <c:pt idx="1">
                  <c:v>9.5</c:v>
                </c:pt>
                <c:pt idx="4">
                  <c:v>8.6999999999999993</c:v>
                </c:pt>
                <c:pt idx="5">
                  <c:v>8.8000000000000007</c:v>
                </c:pt>
                <c:pt idx="10">
                  <c:v>6.3</c:v>
                </c:pt>
                <c:pt idx="13">
                  <c:v>6.3</c:v>
                </c:pt>
                <c:pt idx="20">
                  <c:v>4.166666666666667</c:v>
                </c:pt>
                <c:pt idx="26">
                  <c:v>5.166666666666667</c:v>
                </c:pt>
                <c:pt idx="29">
                  <c:v>4.7</c:v>
                </c:pt>
                <c:pt idx="34">
                  <c:v>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55-4245-9714-F820AAF6F5BE}"/>
            </c:ext>
          </c:extLst>
        </c:ser>
        <c:ser>
          <c:idx val="1"/>
          <c:order val="1"/>
          <c:tx>
            <c:strRef>
              <c:f>'Lymnaea - snail'!$D$3</c:f>
              <c:strCache>
                <c:ptCount val="1"/>
                <c:pt idx="0">
                  <c:v>16-a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'Lymnaea - snail'!$B$5:$B$44</c:f>
              <c:numCache>
                <c:formatCode>0</c:formatCode>
                <c:ptCount val="40"/>
                <c:pt idx="0">
                  <c:v>134</c:v>
                </c:pt>
                <c:pt idx="1">
                  <c:v>140</c:v>
                </c:pt>
                <c:pt idx="2">
                  <c:v>142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157</c:v>
                </c:pt>
                <c:pt idx="9">
                  <c:v>162</c:v>
                </c:pt>
                <c:pt idx="10">
                  <c:v>163</c:v>
                </c:pt>
                <c:pt idx="11">
                  <c:v>164</c:v>
                </c:pt>
                <c:pt idx="12">
                  <c:v>165</c:v>
                </c:pt>
                <c:pt idx="13">
                  <c:v>168</c:v>
                </c:pt>
                <c:pt idx="14">
                  <c:v>170</c:v>
                </c:pt>
                <c:pt idx="15">
                  <c:v>172</c:v>
                </c:pt>
                <c:pt idx="16">
                  <c:v>173</c:v>
                </c:pt>
                <c:pt idx="17">
                  <c:v>177</c:v>
                </c:pt>
                <c:pt idx="18">
                  <c:v>178</c:v>
                </c:pt>
                <c:pt idx="19">
                  <c:v>179</c:v>
                </c:pt>
                <c:pt idx="20">
                  <c:v>184</c:v>
                </c:pt>
                <c:pt idx="21">
                  <c:v>185</c:v>
                </c:pt>
                <c:pt idx="22">
                  <c:v>186</c:v>
                </c:pt>
                <c:pt idx="23">
                  <c:v>191</c:v>
                </c:pt>
                <c:pt idx="24">
                  <c:v>192</c:v>
                </c:pt>
                <c:pt idx="25">
                  <c:v>193</c:v>
                </c:pt>
                <c:pt idx="26">
                  <c:v>198</c:v>
                </c:pt>
                <c:pt idx="27">
                  <c:v>205</c:v>
                </c:pt>
                <c:pt idx="28">
                  <c:v>206</c:v>
                </c:pt>
                <c:pt idx="29">
                  <c:v>212</c:v>
                </c:pt>
                <c:pt idx="30">
                  <c:v>218</c:v>
                </c:pt>
                <c:pt idx="31">
                  <c:v>219</c:v>
                </c:pt>
                <c:pt idx="32">
                  <c:v>220</c:v>
                </c:pt>
                <c:pt idx="33">
                  <c:v>221</c:v>
                </c:pt>
                <c:pt idx="34">
                  <c:v>226</c:v>
                </c:pt>
                <c:pt idx="35">
                  <c:v>234</c:v>
                </c:pt>
                <c:pt idx="36">
                  <c:v>235</c:v>
                </c:pt>
                <c:pt idx="37">
                  <c:v>246</c:v>
                </c:pt>
                <c:pt idx="38">
                  <c:v>248</c:v>
                </c:pt>
                <c:pt idx="39">
                  <c:v>265</c:v>
                </c:pt>
              </c:numCache>
            </c:numRef>
          </c:xVal>
          <c:yVal>
            <c:numRef>
              <c:f>'Lymnaea - snail'!$D$5:$D$44</c:f>
              <c:numCache>
                <c:formatCode>General</c:formatCode>
                <c:ptCount val="40"/>
                <c:pt idx="13">
                  <c:v>12</c:v>
                </c:pt>
                <c:pt idx="18">
                  <c:v>15.7</c:v>
                </c:pt>
                <c:pt idx="22">
                  <c:v>15.2</c:v>
                </c:pt>
                <c:pt idx="25">
                  <c:v>15.8</c:v>
                </c:pt>
                <c:pt idx="28">
                  <c:v>10.8</c:v>
                </c:pt>
                <c:pt idx="33">
                  <c:v>9.6999999999999993</c:v>
                </c:pt>
                <c:pt idx="36">
                  <c:v>16.3</c:v>
                </c:pt>
                <c:pt idx="37">
                  <c:v>10.199999999999999</c:v>
                </c:pt>
                <c:pt idx="39">
                  <c:v>7.7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55-4245-9714-F820AAF6F5BE}"/>
            </c:ext>
          </c:extLst>
        </c:ser>
        <c:ser>
          <c:idx val="2"/>
          <c:order val="2"/>
          <c:tx>
            <c:strRef>
              <c:f>'Lymnaea - snail'!$E$3</c:f>
              <c:strCache>
                <c:ptCount val="1"/>
                <c:pt idx="0">
                  <c:v>18-c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'Lymnaea - snail'!$B$5:$B$44</c:f>
              <c:numCache>
                <c:formatCode>0</c:formatCode>
                <c:ptCount val="40"/>
                <c:pt idx="0">
                  <c:v>134</c:v>
                </c:pt>
                <c:pt idx="1">
                  <c:v>140</c:v>
                </c:pt>
                <c:pt idx="2">
                  <c:v>142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157</c:v>
                </c:pt>
                <c:pt idx="9">
                  <c:v>162</c:v>
                </c:pt>
                <c:pt idx="10">
                  <c:v>163</c:v>
                </c:pt>
                <c:pt idx="11">
                  <c:v>164</c:v>
                </c:pt>
                <c:pt idx="12">
                  <c:v>165</c:v>
                </c:pt>
                <c:pt idx="13">
                  <c:v>168</c:v>
                </c:pt>
                <c:pt idx="14">
                  <c:v>170</c:v>
                </c:pt>
                <c:pt idx="15">
                  <c:v>172</c:v>
                </c:pt>
                <c:pt idx="16">
                  <c:v>173</c:v>
                </c:pt>
                <c:pt idx="17">
                  <c:v>177</c:v>
                </c:pt>
                <c:pt idx="18">
                  <c:v>178</c:v>
                </c:pt>
                <c:pt idx="19">
                  <c:v>179</c:v>
                </c:pt>
                <c:pt idx="20">
                  <c:v>184</c:v>
                </c:pt>
                <c:pt idx="21">
                  <c:v>185</c:v>
                </c:pt>
                <c:pt idx="22">
                  <c:v>186</c:v>
                </c:pt>
                <c:pt idx="23">
                  <c:v>191</c:v>
                </c:pt>
                <c:pt idx="24">
                  <c:v>192</c:v>
                </c:pt>
                <c:pt idx="25">
                  <c:v>193</c:v>
                </c:pt>
                <c:pt idx="26">
                  <c:v>198</c:v>
                </c:pt>
                <c:pt idx="27">
                  <c:v>205</c:v>
                </c:pt>
                <c:pt idx="28">
                  <c:v>206</c:v>
                </c:pt>
                <c:pt idx="29">
                  <c:v>212</c:v>
                </c:pt>
                <c:pt idx="30">
                  <c:v>218</c:v>
                </c:pt>
                <c:pt idx="31">
                  <c:v>219</c:v>
                </c:pt>
                <c:pt idx="32">
                  <c:v>220</c:v>
                </c:pt>
                <c:pt idx="33">
                  <c:v>221</c:v>
                </c:pt>
                <c:pt idx="34">
                  <c:v>226</c:v>
                </c:pt>
                <c:pt idx="35">
                  <c:v>234</c:v>
                </c:pt>
                <c:pt idx="36">
                  <c:v>235</c:v>
                </c:pt>
                <c:pt idx="37">
                  <c:v>246</c:v>
                </c:pt>
                <c:pt idx="38">
                  <c:v>248</c:v>
                </c:pt>
                <c:pt idx="39">
                  <c:v>265</c:v>
                </c:pt>
              </c:numCache>
            </c:numRef>
          </c:xVal>
          <c:yVal>
            <c:numRef>
              <c:f>'Lymnaea - snail'!$E$5:$E$44</c:f>
              <c:numCache>
                <c:formatCode>General</c:formatCode>
                <c:ptCount val="40"/>
                <c:pt idx="3">
                  <c:v>2</c:v>
                </c:pt>
                <c:pt idx="4">
                  <c:v>2.8</c:v>
                </c:pt>
                <c:pt idx="8">
                  <c:v>2.2000000000000002</c:v>
                </c:pt>
                <c:pt idx="12">
                  <c:v>6.4</c:v>
                </c:pt>
                <c:pt idx="16">
                  <c:v>4.4000000000000004</c:v>
                </c:pt>
                <c:pt idx="19">
                  <c:v>5.2</c:v>
                </c:pt>
                <c:pt idx="24">
                  <c:v>1</c:v>
                </c:pt>
                <c:pt idx="28">
                  <c:v>4.5999999999999996</c:v>
                </c:pt>
                <c:pt idx="32">
                  <c:v>2.4</c:v>
                </c:pt>
                <c:pt idx="35">
                  <c:v>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B55-4245-9714-F820AAF6F5BE}"/>
            </c:ext>
          </c:extLst>
        </c:ser>
        <c:ser>
          <c:idx val="3"/>
          <c:order val="3"/>
          <c:tx>
            <c:strRef>
              <c:f>'Lymnaea - snail'!$F$3</c:f>
              <c:strCache>
                <c:ptCount val="1"/>
                <c:pt idx="0">
                  <c:v>19-b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'Lymnaea - snail'!$B$5:$B$44</c:f>
              <c:numCache>
                <c:formatCode>0</c:formatCode>
                <c:ptCount val="40"/>
                <c:pt idx="0">
                  <c:v>134</c:v>
                </c:pt>
                <c:pt idx="1">
                  <c:v>140</c:v>
                </c:pt>
                <c:pt idx="2">
                  <c:v>142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157</c:v>
                </c:pt>
                <c:pt idx="9">
                  <c:v>162</c:v>
                </c:pt>
                <c:pt idx="10">
                  <c:v>163</c:v>
                </c:pt>
                <c:pt idx="11">
                  <c:v>164</c:v>
                </c:pt>
                <c:pt idx="12">
                  <c:v>165</c:v>
                </c:pt>
                <c:pt idx="13">
                  <c:v>168</c:v>
                </c:pt>
                <c:pt idx="14">
                  <c:v>170</c:v>
                </c:pt>
                <c:pt idx="15">
                  <c:v>172</c:v>
                </c:pt>
                <c:pt idx="16">
                  <c:v>173</c:v>
                </c:pt>
                <c:pt idx="17">
                  <c:v>177</c:v>
                </c:pt>
                <c:pt idx="18">
                  <c:v>178</c:v>
                </c:pt>
                <c:pt idx="19">
                  <c:v>179</c:v>
                </c:pt>
                <c:pt idx="20">
                  <c:v>184</c:v>
                </c:pt>
                <c:pt idx="21">
                  <c:v>185</c:v>
                </c:pt>
                <c:pt idx="22">
                  <c:v>186</c:v>
                </c:pt>
                <c:pt idx="23">
                  <c:v>191</c:v>
                </c:pt>
                <c:pt idx="24">
                  <c:v>192</c:v>
                </c:pt>
                <c:pt idx="25">
                  <c:v>193</c:v>
                </c:pt>
                <c:pt idx="26">
                  <c:v>198</c:v>
                </c:pt>
                <c:pt idx="27">
                  <c:v>205</c:v>
                </c:pt>
                <c:pt idx="28">
                  <c:v>206</c:v>
                </c:pt>
                <c:pt idx="29">
                  <c:v>212</c:v>
                </c:pt>
                <c:pt idx="30">
                  <c:v>218</c:v>
                </c:pt>
                <c:pt idx="31">
                  <c:v>219</c:v>
                </c:pt>
                <c:pt idx="32">
                  <c:v>220</c:v>
                </c:pt>
                <c:pt idx="33">
                  <c:v>221</c:v>
                </c:pt>
                <c:pt idx="34">
                  <c:v>226</c:v>
                </c:pt>
                <c:pt idx="35">
                  <c:v>234</c:v>
                </c:pt>
                <c:pt idx="36">
                  <c:v>235</c:v>
                </c:pt>
                <c:pt idx="37">
                  <c:v>246</c:v>
                </c:pt>
                <c:pt idx="38">
                  <c:v>248</c:v>
                </c:pt>
                <c:pt idx="39">
                  <c:v>265</c:v>
                </c:pt>
              </c:numCache>
            </c:numRef>
          </c:xVal>
          <c:yVal>
            <c:numRef>
              <c:f>'Lymnaea - snail'!$F$5:$F$44</c:f>
              <c:numCache>
                <c:formatCode>0.00</c:formatCode>
                <c:ptCount val="40"/>
                <c:pt idx="8">
                  <c:v>1.5</c:v>
                </c:pt>
                <c:pt idx="9">
                  <c:v>2.2999999999999998</c:v>
                </c:pt>
                <c:pt idx="14">
                  <c:v>2.7</c:v>
                </c:pt>
                <c:pt idx="17">
                  <c:v>5.5</c:v>
                </c:pt>
                <c:pt idx="24">
                  <c:v>18.2</c:v>
                </c:pt>
                <c:pt idx="27">
                  <c:v>21.8</c:v>
                </c:pt>
                <c:pt idx="30">
                  <c:v>29.7</c:v>
                </c:pt>
                <c:pt idx="35">
                  <c:v>14.7</c:v>
                </c:pt>
                <c:pt idx="37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B55-4245-9714-F820AAF6F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400560"/>
        <c:axId val="711398592"/>
      </c:scatterChart>
      <c:valAx>
        <c:axId val="711400560"/>
        <c:scaling>
          <c:orientation val="minMax"/>
          <c:max val="265"/>
          <c:min val="1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398592"/>
        <c:crosses val="autoZero"/>
        <c:crossBetween val="midCat"/>
      </c:valAx>
      <c:valAx>
        <c:axId val="711398592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Number/sample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400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- Tanypodinae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'Tanypodinae '!$C$3</c:f>
              <c:strCache>
                <c:ptCount val="1"/>
                <c:pt idx="0">
                  <c:v>14-a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'Tanypodinae '!$B$5:$B$44</c:f>
              <c:numCache>
                <c:formatCode>0</c:formatCode>
                <c:ptCount val="40"/>
                <c:pt idx="0">
                  <c:v>134</c:v>
                </c:pt>
                <c:pt idx="1">
                  <c:v>140</c:v>
                </c:pt>
                <c:pt idx="2">
                  <c:v>142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157</c:v>
                </c:pt>
                <c:pt idx="9">
                  <c:v>162</c:v>
                </c:pt>
                <c:pt idx="10">
                  <c:v>163</c:v>
                </c:pt>
                <c:pt idx="11">
                  <c:v>164</c:v>
                </c:pt>
                <c:pt idx="12">
                  <c:v>165</c:v>
                </c:pt>
                <c:pt idx="13">
                  <c:v>168</c:v>
                </c:pt>
                <c:pt idx="14">
                  <c:v>170</c:v>
                </c:pt>
                <c:pt idx="15">
                  <c:v>172</c:v>
                </c:pt>
                <c:pt idx="16">
                  <c:v>173</c:v>
                </c:pt>
                <c:pt idx="17">
                  <c:v>177</c:v>
                </c:pt>
                <c:pt idx="18">
                  <c:v>178</c:v>
                </c:pt>
                <c:pt idx="19">
                  <c:v>179</c:v>
                </c:pt>
                <c:pt idx="20">
                  <c:v>184</c:v>
                </c:pt>
                <c:pt idx="21">
                  <c:v>185</c:v>
                </c:pt>
                <c:pt idx="22">
                  <c:v>186</c:v>
                </c:pt>
                <c:pt idx="23">
                  <c:v>191</c:v>
                </c:pt>
                <c:pt idx="24">
                  <c:v>192</c:v>
                </c:pt>
                <c:pt idx="25">
                  <c:v>193</c:v>
                </c:pt>
                <c:pt idx="26">
                  <c:v>198</c:v>
                </c:pt>
                <c:pt idx="27">
                  <c:v>205</c:v>
                </c:pt>
                <c:pt idx="28">
                  <c:v>206</c:v>
                </c:pt>
                <c:pt idx="29">
                  <c:v>212</c:v>
                </c:pt>
                <c:pt idx="30">
                  <c:v>218</c:v>
                </c:pt>
                <c:pt idx="31">
                  <c:v>219</c:v>
                </c:pt>
                <c:pt idx="32">
                  <c:v>220</c:v>
                </c:pt>
                <c:pt idx="33">
                  <c:v>221</c:v>
                </c:pt>
                <c:pt idx="34">
                  <c:v>226</c:v>
                </c:pt>
                <c:pt idx="35">
                  <c:v>234</c:v>
                </c:pt>
                <c:pt idx="36">
                  <c:v>235</c:v>
                </c:pt>
                <c:pt idx="37">
                  <c:v>246</c:v>
                </c:pt>
                <c:pt idx="38">
                  <c:v>248</c:v>
                </c:pt>
                <c:pt idx="39">
                  <c:v>265</c:v>
                </c:pt>
              </c:numCache>
            </c:numRef>
          </c:xVal>
          <c:yVal>
            <c:numRef>
              <c:f>'Tanypodinae '!$C$5:$C$44</c:f>
              <c:numCache>
                <c:formatCode>0.0</c:formatCode>
                <c:ptCount val="40"/>
                <c:pt idx="0">
                  <c:v>2</c:v>
                </c:pt>
                <c:pt idx="1">
                  <c:v>0.66666666666666663</c:v>
                </c:pt>
                <c:pt idx="4">
                  <c:v>0.5</c:v>
                </c:pt>
                <c:pt idx="5">
                  <c:v>0.33333333333333331</c:v>
                </c:pt>
                <c:pt idx="10">
                  <c:v>0</c:v>
                </c:pt>
                <c:pt idx="13">
                  <c:v>1</c:v>
                </c:pt>
                <c:pt idx="20">
                  <c:v>2.6666666666666665</c:v>
                </c:pt>
                <c:pt idx="26">
                  <c:v>0.8</c:v>
                </c:pt>
                <c:pt idx="29">
                  <c:v>1.3</c:v>
                </c:pt>
                <c:pt idx="34">
                  <c:v>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58-4E7B-BADB-E25FB600A5B0}"/>
            </c:ext>
          </c:extLst>
        </c:ser>
        <c:ser>
          <c:idx val="1"/>
          <c:order val="1"/>
          <c:tx>
            <c:strRef>
              <c:f>'Tanypodinae '!$D$3</c:f>
              <c:strCache>
                <c:ptCount val="1"/>
                <c:pt idx="0">
                  <c:v>16-a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'Tanypodinae '!$B$5:$B$44</c:f>
              <c:numCache>
                <c:formatCode>0</c:formatCode>
                <c:ptCount val="40"/>
                <c:pt idx="0">
                  <c:v>134</c:v>
                </c:pt>
                <c:pt idx="1">
                  <c:v>140</c:v>
                </c:pt>
                <c:pt idx="2">
                  <c:v>142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157</c:v>
                </c:pt>
                <c:pt idx="9">
                  <c:v>162</c:v>
                </c:pt>
                <c:pt idx="10">
                  <c:v>163</c:v>
                </c:pt>
                <c:pt idx="11">
                  <c:v>164</c:v>
                </c:pt>
                <c:pt idx="12">
                  <c:v>165</c:v>
                </c:pt>
                <c:pt idx="13">
                  <c:v>168</c:v>
                </c:pt>
                <c:pt idx="14">
                  <c:v>170</c:v>
                </c:pt>
                <c:pt idx="15">
                  <c:v>172</c:v>
                </c:pt>
                <c:pt idx="16">
                  <c:v>173</c:v>
                </c:pt>
                <c:pt idx="17">
                  <c:v>177</c:v>
                </c:pt>
                <c:pt idx="18">
                  <c:v>178</c:v>
                </c:pt>
                <c:pt idx="19">
                  <c:v>179</c:v>
                </c:pt>
                <c:pt idx="20">
                  <c:v>184</c:v>
                </c:pt>
                <c:pt idx="21">
                  <c:v>185</c:v>
                </c:pt>
                <c:pt idx="22">
                  <c:v>186</c:v>
                </c:pt>
                <c:pt idx="23">
                  <c:v>191</c:v>
                </c:pt>
                <c:pt idx="24">
                  <c:v>192</c:v>
                </c:pt>
                <c:pt idx="25">
                  <c:v>193</c:v>
                </c:pt>
                <c:pt idx="26">
                  <c:v>198</c:v>
                </c:pt>
                <c:pt idx="27">
                  <c:v>205</c:v>
                </c:pt>
                <c:pt idx="28">
                  <c:v>206</c:v>
                </c:pt>
                <c:pt idx="29">
                  <c:v>212</c:v>
                </c:pt>
                <c:pt idx="30">
                  <c:v>218</c:v>
                </c:pt>
                <c:pt idx="31">
                  <c:v>219</c:v>
                </c:pt>
                <c:pt idx="32">
                  <c:v>220</c:v>
                </c:pt>
                <c:pt idx="33">
                  <c:v>221</c:v>
                </c:pt>
                <c:pt idx="34">
                  <c:v>226</c:v>
                </c:pt>
                <c:pt idx="35">
                  <c:v>234</c:v>
                </c:pt>
                <c:pt idx="36">
                  <c:v>235</c:v>
                </c:pt>
                <c:pt idx="37">
                  <c:v>246</c:v>
                </c:pt>
                <c:pt idx="38">
                  <c:v>248</c:v>
                </c:pt>
                <c:pt idx="39">
                  <c:v>265</c:v>
                </c:pt>
              </c:numCache>
            </c:numRef>
          </c:xVal>
          <c:yVal>
            <c:numRef>
              <c:f>'Tanypodinae '!$D$5:$D$44</c:f>
              <c:numCache>
                <c:formatCode>General</c:formatCode>
                <c:ptCount val="40"/>
                <c:pt idx="13">
                  <c:v>0.3</c:v>
                </c:pt>
                <c:pt idx="18">
                  <c:v>14.5</c:v>
                </c:pt>
                <c:pt idx="22">
                  <c:v>3</c:v>
                </c:pt>
                <c:pt idx="25">
                  <c:v>2.7</c:v>
                </c:pt>
                <c:pt idx="28">
                  <c:v>4</c:v>
                </c:pt>
                <c:pt idx="33">
                  <c:v>5.8</c:v>
                </c:pt>
                <c:pt idx="36">
                  <c:v>0.7</c:v>
                </c:pt>
                <c:pt idx="37">
                  <c:v>0.7</c:v>
                </c:pt>
                <c:pt idx="39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58-4E7B-BADB-E25FB600A5B0}"/>
            </c:ext>
          </c:extLst>
        </c:ser>
        <c:ser>
          <c:idx val="2"/>
          <c:order val="2"/>
          <c:tx>
            <c:strRef>
              <c:f>'Tanypodinae '!$E$3</c:f>
              <c:strCache>
                <c:ptCount val="1"/>
                <c:pt idx="0">
                  <c:v>18-c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'Tanypodinae '!$B$5:$B$44</c:f>
              <c:numCache>
                <c:formatCode>0</c:formatCode>
                <c:ptCount val="40"/>
                <c:pt idx="0">
                  <c:v>134</c:v>
                </c:pt>
                <c:pt idx="1">
                  <c:v>140</c:v>
                </c:pt>
                <c:pt idx="2">
                  <c:v>142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157</c:v>
                </c:pt>
                <c:pt idx="9">
                  <c:v>162</c:v>
                </c:pt>
                <c:pt idx="10">
                  <c:v>163</c:v>
                </c:pt>
                <c:pt idx="11">
                  <c:v>164</c:v>
                </c:pt>
                <c:pt idx="12">
                  <c:v>165</c:v>
                </c:pt>
                <c:pt idx="13">
                  <c:v>168</c:v>
                </c:pt>
                <c:pt idx="14">
                  <c:v>170</c:v>
                </c:pt>
                <c:pt idx="15">
                  <c:v>172</c:v>
                </c:pt>
                <c:pt idx="16">
                  <c:v>173</c:v>
                </c:pt>
                <c:pt idx="17">
                  <c:v>177</c:v>
                </c:pt>
                <c:pt idx="18">
                  <c:v>178</c:v>
                </c:pt>
                <c:pt idx="19">
                  <c:v>179</c:v>
                </c:pt>
                <c:pt idx="20">
                  <c:v>184</c:v>
                </c:pt>
                <c:pt idx="21">
                  <c:v>185</c:v>
                </c:pt>
                <c:pt idx="22">
                  <c:v>186</c:v>
                </c:pt>
                <c:pt idx="23">
                  <c:v>191</c:v>
                </c:pt>
                <c:pt idx="24">
                  <c:v>192</c:v>
                </c:pt>
                <c:pt idx="25">
                  <c:v>193</c:v>
                </c:pt>
                <c:pt idx="26">
                  <c:v>198</c:v>
                </c:pt>
                <c:pt idx="27">
                  <c:v>205</c:v>
                </c:pt>
                <c:pt idx="28">
                  <c:v>206</c:v>
                </c:pt>
                <c:pt idx="29">
                  <c:v>212</c:v>
                </c:pt>
                <c:pt idx="30">
                  <c:v>218</c:v>
                </c:pt>
                <c:pt idx="31">
                  <c:v>219</c:v>
                </c:pt>
                <c:pt idx="32">
                  <c:v>220</c:v>
                </c:pt>
                <c:pt idx="33">
                  <c:v>221</c:v>
                </c:pt>
                <c:pt idx="34">
                  <c:v>226</c:v>
                </c:pt>
                <c:pt idx="35">
                  <c:v>234</c:v>
                </c:pt>
                <c:pt idx="36">
                  <c:v>235</c:v>
                </c:pt>
                <c:pt idx="37">
                  <c:v>246</c:v>
                </c:pt>
                <c:pt idx="38">
                  <c:v>248</c:v>
                </c:pt>
                <c:pt idx="39">
                  <c:v>265</c:v>
                </c:pt>
              </c:numCache>
            </c:numRef>
          </c:xVal>
          <c:yVal>
            <c:numRef>
              <c:f>'Tanypodinae '!$E$5:$E$44</c:f>
              <c:numCache>
                <c:formatCode>General</c:formatCode>
                <c:ptCount val="40"/>
                <c:pt idx="3">
                  <c:v>1.2</c:v>
                </c:pt>
                <c:pt idx="4">
                  <c:v>0.2</c:v>
                </c:pt>
                <c:pt idx="8">
                  <c:v>0.6</c:v>
                </c:pt>
                <c:pt idx="12">
                  <c:v>0.6</c:v>
                </c:pt>
                <c:pt idx="16">
                  <c:v>0</c:v>
                </c:pt>
                <c:pt idx="19">
                  <c:v>0.6</c:v>
                </c:pt>
                <c:pt idx="24">
                  <c:v>1.4</c:v>
                </c:pt>
                <c:pt idx="28">
                  <c:v>0.8</c:v>
                </c:pt>
                <c:pt idx="32">
                  <c:v>0.2</c:v>
                </c:pt>
                <c:pt idx="35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D58-4E7B-BADB-E25FB600A5B0}"/>
            </c:ext>
          </c:extLst>
        </c:ser>
        <c:ser>
          <c:idx val="3"/>
          <c:order val="3"/>
          <c:tx>
            <c:strRef>
              <c:f>'Tanypodinae '!$F$3</c:f>
              <c:strCache>
                <c:ptCount val="1"/>
                <c:pt idx="0">
                  <c:v>19-b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'Tanypodinae '!$B$5:$B$44</c:f>
              <c:numCache>
                <c:formatCode>0</c:formatCode>
                <c:ptCount val="40"/>
                <c:pt idx="0">
                  <c:v>134</c:v>
                </c:pt>
                <c:pt idx="1">
                  <c:v>140</c:v>
                </c:pt>
                <c:pt idx="2">
                  <c:v>142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157</c:v>
                </c:pt>
                <c:pt idx="9">
                  <c:v>162</c:v>
                </c:pt>
                <c:pt idx="10">
                  <c:v>163</c:v>
                </c:pt>
                <c:pt idx="11">
                  <c:v>164</c:v>
                </c:pt>
                <c:pt idx="12">
                  <c:v>165</c:v>
                </c:pt>
                <c:pt idx="13">
                  <c:v>168</c:v>
                </c:pt>
                <c:pt idx="14">
                  <c:v>170</c:v>
                </c:pt>
                <c:pt idx="15">
                  <c:v>172</c:v>
                </c:pt>
                <c:pt idx="16">
                  <c:v>173</c:v>
                </c:pt>
                <c:pt idx="17">
                  <c:v>177</c:v>
                </c:pt>
                <c:pt idx="18">
                  <c:v>178</c:v>
                </c:pt>
                <c:pt idx="19">
                  <c:v>179</c:v>
                </c:pt>
                <c:pt idx="20">
                  <c:v>184</c:v>
                </c:pt>
                <c:pt idx="21">
                  <c:v>185</c:v>
                </c:pt>
                <c:pt idx="22">
                  <c:v>186</c:v>
                </c:pt>
                <c:pt idx="23">
                  <c:v>191</c:v>
                </c:pt>
                <c:pt idx="24">
                  <c:v>192</c:v>
                </c:pt>
                <c:pt idx="25">
                  <c:v>193</c:v>
                </c:pt>
                <c:pt idx="26">
                  <c:v>198</c:v>
                </c:pt>
                <c:pt idx="27">
                  <c:v>205</c:v>
                </c:pt>
                <c:pt idx="28">
                  <c:v>206</c:v>
                </c:pt>
                <c:pt idx="29">
                  <c:v>212</c:v>
                </c:pt>
                <c:pt idx="30">
                  <c:v>218</c:v>
                </c:pt>
                <c:pt idx="31">
                  <c:v>219</c:v>
                </c:pt>
                <c:pt idx="32">
                  <c:v>220</c:v>
                </c:pt>
                <c:pt idx="33">
                  <c:v>221</c:v>
                </c:pt>
                <c:pt idx="34">
                  <c:v>226</c:v>
                </c:pt>
                <c:pt idx="35">
                  <c:v>234</c:v>
                </c:pt>
                <c:pt idx="36">
                  <c:v>235</c:v>
                </c:pt>
                <c:pt idx="37">
                  <c:v>246</c:v>
                </c:pt>
                <c:pt idx="38">
                  <c:v>248</c:v>
                </c:pt>
                <c:pt idx="39">
                  <c:v>265</c:v>
                </c:pt>
              </c:numCache>
            </c:numRef>
          </c:xVal>
          <c:yVal>
            <c:numRef>
              <c:f>'Tanypodinae '!$F$5:$F$44</c:f>
              <c:numCache>
                <c:formatCode>0.00</c:formatCode>
                <c:ptCount val="40"/>
                <c:pt idx="8">
                  <c:v>3.5</c:v>
                </c:pt>
                <c:pt idx="9">
                  <c:v>2.2999999999999998</c:v>
                </c:pt>
                <c:pt idx="14">
                  <c:v>5.8</c:v>
                </c:pt>
                <c:pt idx="17">
                  <c:v>2.7</c:v>
                </c:pt>
                <c:pt idx="24">
                  <c:v>5.8</c:v>
                </c:pt>
                <c:pt idx="27">
                  <c:v>2.5</c:v>
                </c:pt>
                <c:pt idx="30">
                  <c:v>0</c:v>
                </c:pt>
                <c:pt idx="35">
                  <c:v>2.8</c:v>
                </c:pt>
                <c:pt idx="37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D58-4E7B-BADB-E25FB600A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1103488"/>
        <c:axId val="871102504"/>
      </c:scatterChart>
      <c:valAx>
        <c:axId val="871103488"/>
        <c:scaling>
          <c:orientation val="minMax"/>
          <c:max val="265"/>
          <c:min val="1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102504"/>
        <c:crosses val="autoZero"/>
        <c:crossBetween val="midCat"/>
      </c:valAx>
      <c:valAx>
        <c:axId val="87110250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Number/sample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103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- Tubifex spp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'Tubifex spp'!$C$3</c:f>
              <c:strCache>
                <c:ptCount val="1"/>
                <c:pt idx="0">
                  <c:v>14-a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'Tubifex spp'!$B$5:$B$42</c:f>
              <c:numCache>
                <c:formatCode>0</c:formatCode>
                <c:ptCount val="38"/>
                <c:pt idx="0">
                  <c:v>134</c:v>
                </c:pt>
                <c:pt idx="1">
                  <c:v>140</c:v>
                </c:pt>
                <c:pt idx="2">
                  <c:v>142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157</c:v>
                </c:pt>
                <c:pt idx="9">
                  <c:v>163</c:v>
                </c:pt>
                <c:pt idx="10">
                  <c:v>164</c:v>
                </c:pt>
                <c:pt idx="11">
                  <c:v>165</c:v>
                </c:pt>
                <c:pt idx="12">
                  <c:v>168</c:v>
                </c:pt>
                <c:pt idx="13">
                  <c:v>170</c:v>
                </c:pt>
                <c:pt idx="14">
                  <c:v>172</c:v>
                </c:pt>
                <c:pt idx="15">
                  <c:v>173</c:v>
                </c:pt>
                <c:pt idx="16">
                  <c:v>177</c:v>
                </c:pt>
                <c:pt idx="17">
                  <c:v>178</c:v>
                </c:pt>
                <c:pt idx="18">
                  <c:v>179</c:v>
                </c:pt>
                <c:pt idx="19">
                  <c:v>184</c:v>
                </c:pt>
                <c:pt idx="20">
                  <c:v>185</c:v>
                </c:pt>
                <c:pt idx="21">
                  <c:v>186</c:v>
                </c:pt>
                <c:pt idx="22">
                  <c:v>191</c:v>
                </c:pt>
                <c:pt idx="23">
                  <c:v>192</c:v>
                </c:pt>
                <c:pt idx="24">
                  <c:v>193</c:v>
                </c:pt>
                <c:pt idx="25">
                  <c:v>198</c:v>
                </c:pt>
                <c:pt idx="26">
                  <c:v>205</c:v>
                </c:pt>
                <c:pt idx="27">
                  <c:v>206</c:v>
                </c:pt>
                <c:pt idx="28">
                  <c:v>212</c:v>
                </c:pt>
                <c:pt idx="29">
                  <c:v>219</c:v>
                </c:pt>
                <c:pt idx="30">
                  <c:v>220</c:v>
                </c:pt>
                <c:pt idx="31">
                  <c:v>221</c:v>
                </c:pt>
                <c:pt idx="32">
                  <c:v>226</c:v>
                </c:pt>
                <c:pt idx="33">
                  <c:v>234</c:v>
                </c:pt>
                <c:pt idx="34">
                  <c:v>235</c:v>
                </c:pt>
                <c:pt idx="35">
                  <c:v>246</c:v>
                </c:pt>
                <c:pt idx="36">
                  <c:v>248</c:v>
                </c:pt>
                <c:pt idx="37">
                  <c:v>265</c:v>
                </c:pt>
              </c:numCache>
            </c:numRef>
          </c:xVal>
          <c:yVal>
            <c:numRef>
              <c:f>'Tubifex spp'!$C$5:$C$42</c:f>
              <c:numCache>
                <c:formatCode>0.0</c:formatCode>
                <c:ptCount val="38"/>
                <c:pt idx="0">
                  <c:v>1.3333333333333333</c:v>
                </c:pt>
                <c:pt idx="1">
                  <c:v>0.66666666666666663</c:v>
                </c:pt>
                <c:pt idx="4">
                  <c:v>1.6666666666666667</c:v>
                </c:pt>
                <c:pt idx="5">
                  <c:v>0.16666666666666666</c:v>
                </c:pt>
                <c:pt idx="9">
                  <c:v>0.5</c:v>
                </c:pt>
                <c:pt idx="12">
                  <c:v>1.8333333333333333</c:v>
                </c:pt>
                <c:pt idx="19">
                  <c:v>0</c:v>
                </c:pt>
                <c:pt idx="25">
                  <c:v>1.5</c:v>
                </c:pt>
                <c:pt idx="28">
                  <c:v>2.1666666666666665</c:v>
                </c:pt>
                <c:pt idx="32">
                  <c:v>3.1666666666666665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E7-43CE-A84A-B1169BF8AB6B}"/>
            </c:ext>
          </c:extLst>
        </c:ser>
        <c:ser>
          <c:idx val="1"/>
          <c:order val="1"/>
          <c:tx>
            <c:strRef>
              <c:f>'Tubifex spp'!$D$3</c:f>
              <c:strCache>
                <c:ptCount val="1"/>
                <c:pt idx="0">
                  <c:v>16-a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'Tubifex spp'!$B$5:$B$42</c:f>
              <c:numCache>
                <c:formatCode>0</c:formatCode>
                <c:ptCount val="38"/>
                <c:pt idx="0">
                  <c:v>134</c:v>
                </c:pt>
                <c:pt idx="1">
                  <c:v>140</c:v>
                </c:pt>
                <c:pt idx="2">
                  <c:v>142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157</c:v>
                </c:pt>
                <c:pt idx="9">
                  <c:v>163</c:v>
                </c:pt>
                <c:pt idx="10">
                  <c:v>164</c:v>
                </c:pt>
                <c:pt idx="11">
                  <c:v>165</c:v>
                </c:pt>
                <c:pt idx="12">
                  <c:v>168</c:v>
                </c:pt>
                <c:pt idx="13">
                  <c:v>170</c:v>
                </c:pt>
                <c:pt idx="14">
                  <c:v>172</c:v>
                </c:pt>
                <c:pt idx="15">
                  <c:v>173</c:v>
                </c:pt>
                <c:pt idx="16">
                  <c:v>177</c:v>
                </c:pt>
                <c:pt idx="17">
                  <c:v>178</c:v>
                </c:pt>
                <c:pt idx="18">
                  <c:v>179</c:v>
                </c:pt>
                <c:pt idx="19">
                  <c:v>184</c:v>
                </c:pt>
                <c:pt idx="20">
                  <c:v>185</c:v>
                </c:pt>
                <c:pt idx="21">
                  <c:v>186</c:v>
                </c:pt>
                <c:pt idx="22">
                  <c:v>191</c:v>
                </c:pt>
                <c:pt idx="23">
                  <c:v>192</c:v>
                </c:pt>
                <c:pt idx="24">
                  <c:v>193</c:v>
                </c:pt>
                <c:pt idx="25">
                  <c:v>198</c:v>
                </c:pt>
                <c:pt idx="26">
                  <c:v>205</c:v>
                </c:pt>
                <c:pt idx="27">
                  <c:v>206</c:v>
                </c:pt>
                <c:pt idx="28">
                  <c:v>212</c:v>
                </c:pt>
                <c:pt idx="29">
                  <c:v>219</c:v>
                </c:pt>
                <c:pt idx="30">
                  <c:v>220</c:v>
                </c:pt>
                <c:pt idx="31">
                  <c:v>221</c:v>
                </c:pt>
                <c:pt idx="32">
                  <c:v>226</c:v>
                </c:pt>
                <c:pt idx="33">
                  <c:v>234</c:v>
                </c:pt>
                <c:pt idx="34">
                  <c:v>235</c:v>
                </c:pt>
                <c:pt idx="35">
                  <c:v>246</c:v>
                </c:pt>
                <c:pt idx="36">
                  <c:v>248</c:v>
                </c:pt>
                <c:pt idx="37">
                  <c:v>265</c:v>
                </c:pt>
              </c:numCache>
            </c:numRef>
          </c:xVal>
          <c:yVal>
            <c:numRef>
              <c:f>'Tubifex spp'!$D$5:$D$42</c:f>
              <c:numCache>
                <c:formatCode>General</c:formatCode>
                <c:ptCount val="38"/>
                <c:pt idx="12">
                  <c:v>1.8</c:v>
                </c:pt>
                <c:pt idx="17">
                  <c:v>1</c:v>
                </c:pt>
                <c:pt idx="21">
                  <c:v>0.5</c:v>
                </c:pt>
                <c:pt idx="24">
                  <c:v>0.5</c:v>
                </c:pt>
                <c:pt idx="27">
                  <c:v>1.5</c:v>
                </c:pt>
                <c:pt idx="31">
                  <c:v>2</c:v>
                </c:pt>
                <c:pt idx="34">
                  <c:v>3</c:v>
                </c:pt>
                <c:pt idx="35">
                  <c:v>2</c:v>
                </c:pt>
                <c:pt idx="37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E7-43CE-A84A-B1169BF8AB6B}"/>
            </c:ext>
          </c:extLst>
        </c:ser>
        <c:ser>
          <c:idx val="2"/>
          <c:order val="2"/>
          <c:tx>
            <c:strRef>
              <c:f>'Tubifex spp'!$E$3</c:f>
              <c:strCache>
                <c:ptCount val="1"/>
                <c:pt idx="0">
                  <c:v>18-c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'Tubifex spp'!$B$5:$B$42</c:f>
              <c:numCache>
                <c:formatCode>0</c:formatCode>
                <c:ptCount val="38"/>
                <c:pt idx="0">
                  <c:v>134</c:v>
                </c:pt>
                <c:pt idx="1">
                  <c:v>140</c:v>
                </c:pt>
                <c:pt idx="2">
                  <c:v>142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157</c:v>
                </c:pt>
                <c:pt idx="9">
                  <c:v>163</c:v>
                </c:pt>
                <c:pt idx="10">
                  <c:v>164</c:v>
                </c:pt>
                <c:pt idx="11">
                  <c:v>165</c:v>
                </c:pt>
                <c:pt idx="12">
                  <c:v>168</c:v>
                </c:pt>
                <c:pt idx="13">
                  <c:v>170</c:v>
                </c:pt>
                <c:pt idx="14">
                  <c:v>172</c:v>
                </c:pt>
                <c:pt idx="15">
                  <c:v>173</c:v>
                </c:pt>
                <c:pt idx="16">
                  <c:v>177</c:v>
                </c:pt>
                <c:pt idx="17">
                  <c:v>178</c:v>
                </c:pt>
                <c:pt idx="18">
                  <c:v>179</c:v>
                </c:pt>
                <c:pt idx="19">
                  <c:v>184</c:v>
                </c:pt>
                <c:pt idx="20">
                  <c:v>185</c:v>
                </c:pt>
                <c:pt idx="21">
                  <c:v>186</c:v>
                </c:pt>
                <c:pt idx="22">
                  <c:v>191</c:v>
                </c:pt>
                <c:pt idx="23">
                  <c:v>192</c:v>
                </c:pt>
                <c:pt idx="24">
                  <c:v>193</c:v>
                </c:pt>
                <c:pt idx="25">
                  <c:v>198</c:v>
                </c:pt>
                <c:pt idx="26">
                  <c:v>205</c:v>
                </c:pt>
                <c:pt idx="27">
                  <c:v>206</c:v>
                </c:pt>
                <c:pt idx="28">
                  <c:v>212</c:v>
                </c:pt>
                <c:pt idx="29">
                  <c:v>219</c:v>
                </c:pt>
                <c:pt idx="30">
                  <c:v>220</c:v>
                </c:pt>
                <c:pt idx="31">
                  <c:v>221</c:v>
                </c:pt>
                <c:pt idx="32">
                  <c:v>226</c:v>
                </c:pt>
                <c:pt idx="33">
                  <c:v>234</c:v>
                </c:pt>
                <c:pt idx="34">
                  <c:v>235</c:v>
                </c:pt>
                <c:pt idx="35">
                  <c:v>246</c:v>
                </c:pt>
                <c:pt idx="36">
                  <c:v>248</c:v>
                </c:pt>
                <c:pt idx="37">
                  <c:v>265</c:v>
                </c:pt>
              </c:numCache>
            </c:numRef>
          </c:xVal>
          <c:yVal>
            <c:numRef>
              <c:f>'Tubifex spp'!$E$5:$E$42</c:f>
              <c:numCache>
                <c:formatCode>General</c:formatCode>
                <c:ptCount val="38"/>
                <c:pt idx="3">
                  <c:v>5.4</c:v>
                </c:pt>
                <c:pt idx="4">
                  <c:v>2.2000000000000002</c:v>
                </c:pt>
                <c:pt idx="8">
                  <c:v>0.8</c:v>
                </c:pt>
                <c:pt idx="11">
                  <c:v>0.4</c:v>
                </c:pt>
                <c:pt idx="15">
                  <c:v>0.8</c:v>
                </c:pt>
                <c:pt idx="18">
                  <c:v>0.8</c:v>
                </c:pt>
                <c:pt idx="23">
                  <c:v>3.6</c:v>
                </c:pt>
                <c:pt idx="27">
                  <c:v>3</c:v>
                </c:pt>
                <c:pt idx="30">
                  <c:v>3.8</c:v>
                </c:pt>
                <c:pt idx="33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1E7-43CE-A84A-B1169BF8A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762120"/>
        <c:axId val="706770976"/>
      </c:scatterChart>
      <c:valAx>
        <c:axId val="706762120"/>
        <c:scaling>
          <c:orientation val="minMax"/>
          <c:max val="265"/>
          <c:min val="1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770976"/>
        <c:crosses val="autoZero"/>
        <c:crossBetween val="midCat"/>
      </c:valAx>
      <c:valAx>
        <c:axId val="706770976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Number/sample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762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- Zygoptera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'Zygoptera - damselflies'!$I$3</c:f>
              <c:strCache>
                <c:ptCount val="1"/>
                <c:pt idx="0">
                  <c:v>14-a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'Zygoptera - damselflies'!$H$5:$H$36</c:f>
              <c:numCache>
                <c:formatCode>0</c:formatCode>
                <c:ptCount val="32"/>
                <c:pt idx="0">
                  <c:v>134</c:v>
                </c:pt>
                <c:pt idx="1">
                  <c:v>140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8">
                  <c:v>157</c:v>
                </c:pt>
                <c:pt idx="9">
                  <c:v>162</c:v>
                </c:pt>
                <c:pt idx="10">
                  <c:v>163</c:v>
                </c:pt>
                <c:pt idx="12">
                  <c:v>165</c:v>
                </c:pt>
                <c:pt idx="13">
                  <c:v>168</c:v>
                </c:pt>
                <c:pt idx="14">
                  <c:v>170</c:v>
                </c:pt>
                <c:pt idx="16">
                  <c:v>173</c:v>
                </c:pt>
                <c:pt idx="17">
                  <c:v>177</c:v>
                </c:pt>
                <c:pt idx="18">
                  <c:v>179</c:v>
                </c:pt>
                <c:pt idx="19">
                  <c:v>184</c:v>
                </c:pt>
                <c:pt idx="21">
                  <c:v>192</c:v>
                </c:pt>
                <c:pt idx="22">
                  <c:v>198</c:v>
                </c:pt>
                <c:pt idx="23">
                  <c:v>205</c:v>
                </c:pt>
                <c:pt idx="24">
                  <c:v>206</c:v>
                </c:pt>
                <c:pt idx="25">
                  <c:v>212</c:v>
                </c:pt>
                <c:pt idx="26">
                  <c:v>218</c:v>
                </c:pt>
                <c:pt idx="28">
                  <c:v>220</c:v>
                </c:pt>
                <c:pt idx="29">
                  <c:v>226</c:v>
                </c:pt>
                <c:pt idx="30">
                  <c:v>234</c:v>
                </c:pt>
                <c:pt idx="31">
                  <c:v>246</c:v>
                </c:pt>
              </c:numCache>
            </c:numRef>
          </c:xVal>
          <c:yVal>
            <c:numRef>
              <c:f>'Zygoptera - damselflies'!$I$5:$I$36</c:f>
              <c:numCache>
                <c:formatCode>0.0</c:formatCode>
                <c:ptCount val="32"/>
                <c:pt idx="0">
                  <c:v>0</c:v>
                </c:pt>
                <c:pt idx="1">
                  <c:v>0</c:v>
                </c:pt>
                <c:pt idx="4">
                  <c:v>2.2999999999999998</c:v>
                </c:pt>
                <c:pt idx="5">
                  <c:v>0.7</c:v>
                </c:pt>
                <c:pt idx="10">
                  <c:v>0</c:v>
                </c:pt>
                <c:pt idx="13">
                  <c:v>0</c:v>
                </c:pt>
                <c:pt idx="19">
                  <c:v>0</c:v>
                </c:pt>
                <c:pt idx="22">
                  <c:v>0</c:v>
                </c:pt>
                <c:pt idx="25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44-4038-B62E-BC859C61C1B1}"/>
            </c:ext>
          </c:extLst>
        </c:ser>
        <c:ser>
          <c:idx val="1"/>
          <c:order val="1"/>
          <c:tx>
            <c:strRef>
              <c:f>'Zygoptera - damselflies'!$J$3</c:f>
              <c:strCache>
                <c:ptCount val="1"/>
                <c:pt idx="0">
                  <c:v>18-c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'Zygoptera - damselflies'!$H$5:$H$36</c:f>
              <c:numCache>
                <c:formatCode>0</c:formatCode>
                <c:ptCount val="32"/>
                <c:pt idx="0">
                  <c:v>134</c:v>
                </c:pt>
                <c:pt idx="1">
                  <c:v>140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8">
                  <c:v>157</c:v>
                </c:pt>
                <c:pt idx="9">
                  <c:v>162</c:v>
                </c:pt>
                <c:pt idx="10">
                  <c:v>163</c:v>
                </c:pt>
                <c:pt idx="12">
                  <c:v>165</c:v>
                </c:pt>
                <c:pt idx="13">
                  <c:v>168</c:v>
                </c:pt>
                <c:pt idx="14">
                  <c:v>170</c:v>
                </c:pt>
                <c:pt idx="16">
                  <c:v>173</c:v>
                </c:pt>
                <c:pt idx="17">
                  <c:v>177</c:v>
                </c:pt>
                <c:pt idx="18">
                  <c:v>179</c:v>
                </c:pt>
                <c:pt idx="19">
                  <c:v>184</c:v>
                </c:pt>
                <c:pt idx="21">
                  <c:v>192</c:v>
                </c:pt>
                <c:pt idx="22">
                  <c:v>198</c:v>
                </c:pt>
                <c:pt idx="23">
                  <c:v>205</c:v>
                </c:pt>
                <c:pt idx="24">
                  <c:v>206</c:v>
                </c:pt>
                <c:pt idx="25">
                  <c:v>212</c:v>
                </c:pt>
                <c:pt idx="26">
                  <c:v>218</c:v>
                </c:pt>
                <c:pt idx="28">
                  <c:v>220</c:v>
                </c:pt>
                <c:pt idx="29">
                  <c:v>226</c:v>
                </c:pt>
                <c:pt idx="30">
                  <c:v>234</c:v>
                </c:pt>
                <c:pt idx="31">
                  <c:v>246</c:v>
                </c:pt>
              </c:numCache>
            </c:numRef>
          </c:xVal>
          <c:yVal>
            <c:numRef>
              <c:f>'Zygoptera - damselflies'!$J$5:$J$36</c:f>
              <c:numCache>
                <c:formatCode>General</c:formatCode>
                <c:ptCount val="32"/>
                <c:pt idx="3">
                  <c:v>3.2</c:v>
                </c:pt>
                <c:pt idx="4">
                  <c:v>3.8</c:v>
                </c:pt>
                <c:pt idx="8">
                  <c:v>1.8</c:v>
                </c:pt>
                <c:pt idx="12">
                  <c:v>1.8</c:v>
                </c:pt>
                <c:pt idx="16">
                  <c:v>1.8</c:v>
                </c:pt>
                <c:pt idx="18">
                  <c:v>1.9</c:v>
                </c:pt>
                <c:pt idx="21">
                  <c:v>0.8</c:v>
                </c:pt>
                <c:pt idx="24">
                  <c:v>5.4</c:v>
                </c:pt>
                <c:pt idx="28">
                  <c:v>8.4</c:v>
                </c:pt>
                <c:pt idx="30">
                  <c:v>10.199999999999999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F44-4038-B62E-BC859C61C1B1}"/>
            </c:ext>
          </c:extLst>
        </c:ser>
        <c:ser>
          <c:idx val="2"/>
          <c:order val="2"/>
          <c:tx>
            <c:strRef>
              <c:f>'Zygoptera - damselflies'!$K$3</c:f>
              <c:strCache>
                <c:ptCount val="1"/>
                <c:pt idx="0">
                  <c:v>19-b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'Zygoptera - damselflies'!$H$5:$H$36</c:f>
              <c:numCache>
                <c:formatCode>0</c:formatCode>
                <c:ptCount val="32"/>
                <c:pt idx="0">
                  <c:v>134</c:v>
                </c:pt>
                <c:pt idx="1">
                  <c:v>140</c:v>
                </c:pt>
                <c:pt idx="3">
                  <c:v>144</c:v>
                </c:pt>
                <c:pt idx="4">
                  <c:v>149</c:v>
                </c:pt>
                <c:pt idx="5">
                  <c:v>154</c:v>
                </c:pt>
                <c:pt idx="8">
                  <c:v>157</c:v>
                </c:pt>
                <c:pt idx="9">
                  <c:v>162</c:v>
                </c:pt>
                <c:pt idx="10">
                  <c:v>163</c:v>
                </c:pt>
                <c:pt idx="12">
                  <c:v>165</c:v>
                </c:pt>
                <c:pt idx="13">
                  <c:v>168</c:v>
                </c:pt>
                <c:pt idx="14">
                  <c:v>170</c:v>
                </c:pt>
                <c:pt idx="16">
                  <c:v>173</c:v>
                </c:pt>
                <c:pt idx="17">
                  <c:v>177</c:v>
                </c:pt>
                <c:pt idx="18">
                  <c:v>179</c:v>
                </c:pt>
                <c:pt idx="19">
                  <c:v>184</c:v>
                </c:pt>
                <c:pt idx="21">
                  <c:v>192</c:v>
                </c:pt>
                <c:pt idx="22">
                  <c:v>198</c:v>
                </c:pt>
                <c:pt idx="23">
                  <c:v>205</c:v>
                </c:pt>
                <c:pt idx="24">
                  <c:v>206</c:v>
                </c:pt>
                <c:pt idx="25">
                  <c:v>212</c:v>
                </c:pt>
                <c:pt idx="26">
                  <c:v>218</c:v>
                </c:pt>
                <c:pt idx="28">
                  <c:v>220</c:v>
                </c:pt>
                <c:pt idx="29">
                  <c:v>226</c:v>
                </c:pt>
                <c:pt idx="30">
                  <c:v>234</c:v>
                </c:pt>
                <c:pt idx="31">
                  <c:v>246</c:v>
                </c:pt>
              </c:numCache>
            </c:numRef>
          </c:xVal>
          <c:yVal>
            <c:numRef>
              <c:f>'Zygoptera - damselflies'!$K$5:$K$36</c:f>
              <c:numCache>
                <c:formatCode>0.00</c:formatCode>
                <c:ptCount val="32"/>
                <c:pt idx="8">
                  <c:v>12.2</c:v>
                </c:pt>
                <c:pt idx="9">
                  <c:v>5.5</c:v>
                </c:pt>
                <c:pt idx="14">
                  <c:v>10.199999999999999</c:v>
                </c:pt>
                <c:pt idx="17">
                  <c:v>4.8</c:v>
                </c:pt>
                <c:pt idx="21">
                  <c:v>1.7</c:v>
                </c:pt>
                <c:pt idx="23">
                  <c:v>0.8</c:v>
                </c:pt>
                <c:pt idx="26">
                  <c:v>1.2</c:v>
                </c:pt>
                <c:pt idx="30">
                  <c:v>1.2</c:v>
                </c:pt>
                <c:pt idx="31">
                  <c:v>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F44-4038-B62E-BC859C61C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380880"/>
        <c:axId val="711382192"/>
      </c:scatterChart>
      <c:valAx>
        <c:axId val="711380880"/>
        <c:scaling>
          <c:orientation val="minMax"/>
          <c:max val="265"/>
          <c:min val="1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382192"/>
        <c:crosses val="autoZero"/>
        <c:crossBetween val="midCat"/>
      </c:valAx>
      <c:valAx>
        <c:axId val="71138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Number/sample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380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371475</xdr:colOff>
      <xdr:row>27</xdr:row>
      <xdr:rowOff>152400</xdr:rowOff>
    </xdr:from>
    <xdr:to>
      <xdr:col>21</xdr:col>
      <xdr:colOff>66675</xdr:colOff>
      <xdr:row>44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E0A71F-4FA2-459D-B31A-07D7D6B92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121920</xdr:colOff>
      <xdr:row>27</xdr:row>
      <xdr:rowOff>196215</xdr:rowOff>
    </xdr:from>
    <xdr:to>
      <xdr:col>19</xdr:col>
      <xdr:colOff>171450</xdr:colOff>
      <xdr:row>43</xdr:row>
      <xdr:rowOff>158115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6DB854-CF5E-4642-9E6A-44E5874E2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386715</xdr:colOff>
      <xdr:row>5</xdr:row>
      <xdr:rowOff>180975</xdr:rowOff>
    </xdr:from>
    <xdr:to>
      <xdr:col>19</xdr:col>
      <xdr:colOff>424815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2F1BFE-360A-4DF7-9A70-A05F914E6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15240</xdr:colOff>
      <xdr:row>5</xdr:row>
      <xdr:rowOff>152400</xdr:rowOff>
    </xdr:from>
    <xdr:to>
      <xdr:col>20</xdr:col>
      <xdr:colOff>62865</xdr:colOff>
      <xdr:row>24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BA82E0-49FD-4120-861B-570FCFD1DB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24765</xdr:colOff>
      <xdr:row>2</xdr:row>
      <xdr:rowOff>17145</xdr:rowOff>
    </xdr:from>
    <xdr:to>
      <xdr:col>25</xdr:col>
      <xdr:colOff>329565</xdr:colOff>
      <xdr:row>20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F63387-97F1-462B-BD59-1062DC9045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672465</xdr:colOff>
      <xdr:row>1</xdr:row>
      <xdr:rowOff>85725</xdr:rowOff>
    </xdr:from>
    <xdr:to>
      <xdr:col>21</xdr:col>
      <xdr:colOff>110490</xdr:colOff>
      <xdr:row>21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8F6317-F8B7-42FA-91E6-F4135C71F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5715</xdr:colOff>
      <xdr:row>1</xdr:row>
      <xdr:rowOff>180975</xdr:rowOff>
    </xdr:from>
    <xdr:to>
      <xdr:col>21</xdr:col>
      <xdr:colOff>310515</xdr:colOff>
      <xdr:row>21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6145BD-2A42-4819-B20D-B604D2B58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367665</xdr:colOff>
      <xdr:row>29</xdr:row>
      <xdr:rowOff>38100</xdr:rowOff>
    </xdr:from>
    <xdr:to>
      <xdr:col>19</xdr:col>
      <xdr:colOff>415290</xdr:colOff>
      <xdr:row>45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ABF297-FE1E-4D48-A3B1-6E982EEDAB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710565</xdr:colOff>
      <xdr:row>2</xdr:row>
      <xdr:rowOff>0</xdr:rowOff>
    </xdr:from>
    <xdr:to>
      <xdr:col>21</xdr:col>
      <xdr:colOff>148590</xdr:colOff>
      <xdr:row>23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26A11A-4878-4E0A-AED8-A7B9BB905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567690</xdr:colOff>
      <xdr:row>43</xdr:row>
      <xdr:rowOff>15240</xdr:rowOff>
    </xdr:from>
    <xdr:to>
      <xdr:col>9</xdr:col>
      <xdr:colOff>34290</xdr:colOff>
      <xdr:row>56</xdr:row>
      <xdr:rowOff>173355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A1166A-F135-424F-9C7E-1AECB7050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20D3-8F93-4A44-94E0-A1F4037610D7}">
  <dimension ref="B2:F27"/>
  <sheetViews>
    <sheetView workbookViewId="0">
      <selection activeCell="E33" sqref="E33"/>
    </sheetView>
  </sheetViews>
  <sheetFormatPr defaultRowHeight="15.6" x14ac:dyDescent="0.3"/>
  <cols>
    <col min="2" max="2" width="8.88671875" style="4"/>
  </cols>
  <sheetData>
    <row r="2" spans="2:6" x14ac:dyDescent="0.3">
      <c r="C2" s="34" t="s">
        <v>5</v>
      </c>
      <c r="D2" s="34"/>
      <c r="E2" s="34"/>
      <c r="F2" s="34"/>
    </row>
    <row r="3" spans="2:6" x14ac:dyDescent="0.3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</row>
    <row r="4" spans="2:6" x14ac:dyDescent="0.3">
      <c r="B4" s="6">
        <v>134</v>
      </c>
      <c r="C4" s="25"/>
      <c r="D4" s="11"/>
      <c r="E4" s="21"/>
      <c r="F4" s="30"/>
    </row>
    <row r="5" spans="2:6" x14ac:dyDescent="0.3">
      <c r="B5" s="6">
        <v>140</v>
      </c>
      <c r="C5" s="21"/>
      <c r="D5" s="11"/>
      <c r="E5" s="21"/>
      <c r="F5" s="30"/>
    </row>
    <row r="6" spans="2:6" x14ac:dyDescent="0.3">
      <c r="B6" s="6">
        <v>149</v>
      </c>
      <c r="C6" s="21"/>
      <c r="D6" s="11"/>
      <c r="E6" s="21"/>
      <c r="F6" s="30"/>
    </row>
    <row r="7" spans="2:6" x14ac:dyDescent="0.3">
      <c r="B7" s="6">
        <v>154</v>
      </c>
      <c r="C7" s="21"/>
      <c r="D7" s="11"/>
      <c r="E7" s="21"/>
      <c r="F7" s="30"/>
    </row>
    <row r="8" spans="2:6" x14ac:dyDescent="0.3">
      <c r="B8" s="6">
        <v>163</v>
      </c>
      <c r="C8" s="21"/>
      <c r="D8" s="11"/>
      <c r="E8" s="21"/>
      <c r="F8" s="30"/>
    </row>
    <row r="9" spans="2:6" x14ac:dyDescent="0.3">
      <c r="B9" s="6">
        <v>168</v>
      </c>
      <c r="C9" s="21"/>
      <c r="D9" s="11">
        <v>1.7</v>
      </c>
      <c r="E9" s="21"/>
      <c r="F9" s="30"/>
    </row>
    <row r="10" spans="2:6" x14ac:dyDescent="0.3">
      <c r="B10" s="6">
        <v>178</v>
      </c>
      <c r="C10" s="21"/>
      <c r="D10" s="11">
        <v>0</v>
      </c>
      <c r="E10" s="21"/>
      <c r="F10" s="30"/>
    </row>
    <row r="11" spans="2:6" x14ac:dyDescent="0.3">
      <c r="B11" s="6">
        <v>184</v>
      </c>
      <c r="C11" s="21"/>
      <c r="D11" s="11"/>
      <c r="E11" s="21"/>
      <c r="F11" s="30"/>
    </row>
    <row r="12" spans="2:6" x14ac:dyDescent="0.3">
      <c r="B12" s="6">
        <v>186</v>
      </c>
      <c r="C12" s="21"/>
      <c r="D12" s="11">
        <v>0.7</v>
      </c>
      <c r="E12" s="21"/>
      <c r="F12" s="30"/>
    </row>
    <row r="13" spans="2:6" x14ac:dyDescent="0.3">
      <c r="B13" s="6">
        <v>193</v>
      </c>
      <c r="C13" s="21"/>
      <c r="D13" s="11">
        <v>0</v>
      </c>
      <c r="E13" s="21"/>
      <c r="F13" s="30"/>
    </row>
    <row r="14" spans="2:6" x14ac:dyDescent="0.3">
      <c r="B14" s="6">
        <v>198</v>
      </c>
      <c r="C14" s="21"/>
      <c r="D14" s="11"/>
      <c r="E14" s="21"/>
      <c r="F14" s="30"/>
    </row>
    <row r="15" spans="2:6" x14ac:dyDescent="0.3">
      <c r="B15" s="6">
        <v>206</v>
      </c>
      <c r="C15" s="21"/>
      <c r="D15" s="11">
        <v>0.5</v>
      </c>
      <c r="E15" s="21"/>
      <c r="F15" s="30"/>
    </row>
    <row r="16" spans="2:6" x14ac:dyDescent="0.3">
      <c r="B16" s="6">
        <v>212</v>
      </c>
      <c r="C16" s="24"/>
      <c r="D16" s="11"/>
      <c r="E16" s="21"/>
      <c r="F16" s="30"/>
    </row>
    <row r="17" spans="2:6" x14ac:dyDescent="0.3">
      <c r="B17" s="6">
        <v>221</v>
      </c>
      <c r="C17" s="24"/>
      <c r="D17" s="11">
        <v>0.5</v>
      </c>
      <c r="E17" s="21"/>
      <c r="F17" s="30"/>
    </row>
    <row r="18" spans="2:6" x14ac:dyDescent="0.3">
      <c r="B18" s="6">
        <v>226</v>
      </c>
      <c r="C18" s="21"/>
      <c r="D18" s="11"/>
      <c r="E18" s="21"/>
      <c r="F18" s="30"/>
    </row>
    <row r="19" spans="2:6" x14ac:dyDescent="0.3">
      <c r="B19" s="6">
        <v>235</v>
      </c>
      <c r="C19" s="21"/>
      <c r="D19" s="11">
        <v>0.5</v>
      </c>
      <c r="E19" s="21"/>
      <c r="F19" s="30"/>
    </row>
    <row r="20" spans="2:6" x14ac:dyDescent="0.3">
      <c r="B20" s="6">
        <v>246</v>
      </c>
      <c r="C20" s="21"/>
      <c r="D20" s="11">
        <v>0.3</v>
      </c>
      <c r="E20" s="21"/>
      <c r="F20" s="30"/>
    </row>
    <row r="21" spans="2:6" x14ac:dyDescent="0.3">
      <c r="B21" s="6">
        <v>265</v>
      </c>
      <c r="C21" s="21"/>
      <c r="D21" s="11">
        <v>0</v>
      </c>
      <c r="E21" s="21"/>
      <c r="F21" s="30"/>
    </row>
    <row r="22" spans="2:6" x14ac:dyDescent="0.3">
      <c r="B22" s="6"/>
      <c r="C22" s="1"/>
      <c r="D22" s="1"/>
      <c r="E22" s="1"/>
      <c r="F22" s="2"/>
    </row>
    <row r="23" spans="2:6" x14ac:dyDescent="0.3">
      <c r="B23" s="6" t="s">
        <v>6</v>
      </c>
      <c r="C23" s="24"/>
      <c r="D23" s="13">
        <f>AVERAGE(D4:D21)</f>
        <v>0.46666666666666667</v>
      </c>
      <c r="E23" s="22"/>
      <c r="F23" s="31"/>
    </row>
    <row r="24" spans="2:6" x14ac:dyDescent="0.3">
      <c r="B24" s="6" t="s">
        <v>7</v>
      </c>
      <c r="C24" s="24"/>
      <c r="D24" s="13">
        <f>MIN(D4:D21)</f>
        <v>0</v>
      </c>
      <c r="E24" s="22"/>
      <c r="F24" s="31"/>
    </row>
    <row r="25" spans="2:6" x14ac:dyDescent="0.3">
      <c r="B25" s="6" t="s">
        <v>8</v>
      </c>
      <c r="C25" s="24"/>
      <c r="D25" s="13">
        <f>MAX(D4:D21)</f>
        <v>1.7</v>
      </c>
      <c r="E25" s="22"/>
      <c r="F25" s="31"/>
    </row>
    <row r="26" spans="2:6" x14ac:dyDescent="0.3">
      <c r="B26" s="6"/>
      <c r="C26" s="1"/>
      <c r="D26" s="1"/>
      <c r="E26" s="1"/>
      <c r="F26" s="2"/>
    </row>
    <row r="27" spans="2:6" x14ac:dyDescent="0.3">
      <c r="B27" s="7"/>
      <c r="C27" s="1"/>
      <c r="D27" s="1"/>
      <c r="E27" s="1"/>
      <c r="F27" s="3"/>
    </row>
  </sheetData>
  <mergeCells count="1">
    <mergeCell ref="C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C7F40-9490-46A1-BC2F-BF589E1C66F0}">
  <dimension ref="B2:F27"/>
  <sheetViews>
    <sheetView workbookViewId="0">
      <selection activeCell="D23" sqref="D23:D25"/>
    </sheetView>
  </sheetViews>
  <sheetFormatPr defaultRowHeight="15.6" x14ac:dyDescent="0.3"/>
  <cols>
    <col min="2" max="2" width="8.88671875" style="4"/>
  </cols>
  <sheetData>
    <row r="2" spans="2:6" x14ac:dyDescent="0.3">
      <c r="C2" s="34" t="s">
        <v>5</v>
      </c>
      <c r="D2" s="34"/>
      <c r="E2" s="34"/>
      <c r="F2" s="34"/>
    </row>
    <row r="3" spans="2:6" x14ac:dyDescent="0.3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</row>
    <row r="4" spans="2:6" x14ac:dyDescent="0.3">
      <c r="B4" s="6">
        <v>134</v>
      </c>
      <c r="C4" s="23"/>
      <c r="D4" s="11"/>
      <c r="E4" s="21"/>
      <c r="F4" s="30"/>
    </row>
    <row r="5" spans="2:6" x14ac:dyDescent="0.3">
      <c r="B5" s="6">
        <v>140</v>
      </c>
      <c r="C5" s="21"/>
      <c r="D5" s="11"/>
      <c r="E5" s="21"/>
      <c r="F5" s="30"/>
    </row>
    <row r="6" spans="2:6" x14ac:dyDescent="0.3">
      <c r="B6" s="6">
        <v>149</v>
      </c>
      <c r="C6" s="21"/>
      <c r="D6" s="11"/>
      <c r="E6" s="21"/>
      <c r="F6" s="30"/>
    </row>
    <row r="7" spans="2:6" x14ac:dyDescent="0.3">
      <c r="B7" s="6">
        <v>154</v>
      </c>
      <c r="C7" s="21"/>
      <c r="D7" s="11"/>
      <c r="E7" s="21"/>
      <c r="F7" s="30"/>
    </row>
    <row r="8" spans="2:6" x14ac:dyDescent="0.3">
      <c r="B8" s="6">
        <v>163</v>
      </c>
      <c r="C8" s="21"/>
      <c r="D8" s="11"/>
      <c r="E8" s="21"/>
      <c r="F8" s="30"/>
    </row>
    <row r="9" spans="2:6" x14ac:dyDescent="0.3">
      <c r="B9" s="6">
        <v>168</v>
      </c>
      <c r="C9" s="21"/>
      <c r="D9" s="11">
        <v>0</v>
      </c>
      <c r="E9" s="21"/>
      <c r="F9" s="30"/>
    </row>
    <row r="10" spans="2:6" x14ac:dyDescent="0.3">
      <c r="B10" s="6">
        <v>178</v>
      </c>
      <c r="C10" s="21"/>
      <c r="D10" s="11">
        <v>0.7</v>
      </c>
      <c r="E10" s="21"/>
      <c r="F10" s="30"/>
    </row>
    <row r="11" spans="2:6" x14ac:dyDescent="0.3">
      <c r="B11" s="6">
        <v>184</v>
      </c>
      <c r="C11" s="21"/>
      <c r="D11" s="11"/>
      <c r="E11" s="21"/>
      <c r="F11" s="30"/>
    </row>
    <row r="12" spans="2:6" x14ac:dyDescent="0.3">
      <c r="B12" s="6">
        <v>186</v>
      </c>
      <c r="C12" s="21"/>
      <c r="D12" s="11">
        <v>0</v>
      </c>
      <c r="E12" s="21"/>
      <c r="F12" s="30"/>
    </row>
    <row r="13" spans="2:6" x14ac:dyDescent="0.3">
      <c r="B13" s="6">
        <v>193</v>
      </c>
      <c r="C13" s="21"/>
      <c r="D13" s="11">
        <v>0.3</v>
      </c>
      <c r="E13" s="21"/>
      <c r="F13" s="30"/>
    </row>
    <row r="14" spans="2:6" x14ac:dyDescent="0.3">
      <c r="B14" s="6">
        <v>198</v>
      </c>
      <c r="C14" s="21"/>
      <c r="D14" s="11"/>
      <c r="E14" s="21"/>
      <c r="F14" s="30"/>
    </row>
    <row r="15" spans="2:6" x14ac:dyDescent="0.3">
      <c r="B15" s="6">
        <v>206</v>
      </c>
      <c r="C15" s="21"/>
      <c r="D15" s="11">
        <v>0</v>
      </c>
      <c r="E15" s="21"/>
      <c r="F15" s="30"/>
    </row>
    <row r="16" spans="2:6" x14ac:dyDescent="0.3">
      <c r="B16" s="6">
        <v>212</v>
      </c>
      <c r="C16" s="24"/>
      <c r="D16" s="11"/>
      <c r="E16" s="21"/>
      <c r="F16" s="30"/>
    </row>
    <row r="17" spans="2:6" x14ac:dyDescent="0.3">
      <c r="B17" s="6">
        <v>221</v>
      </c>
      <c r="C17" s="24"/>
      <c r="D17" s="11">
        <v>0</v>
      </c>
      <c r="E17" s="21"/>
      <c r="F17" s="30"/>
    </row>
    <row r="18" spans="2:6" x14ac:dyDescent="0.3">
      <c r="B18" s="6">
        <v>226</v>
      </c>
      <c r="C18" s="21"/>
      <c r="D18" s="11"/>
      <c r="E18" s="21"/>
      <c r="F18" s="30"/>
    </row>
    <row r="19" spans="2:6" x14ac:dyDescent="0.3">
      <c r="B19" s="6">
        <v>235</v>
      </c>
      <c r="C19" s="21"/>
      <c r="D19" s="11">
        <v>0</v>
      </c>
      <c r="E19" s="21"/>
      <c r="F19" s="30"/>
    </row>
    <row r="20" spans="2:6" x14ac:dyDescent="0.3">
      <c r="B20" s="6">
        <v>246</v>
      </c>
      <c r="C20" s="21"/>
      <c r="D20" s="11">
        <v>0</v>
      </c>
      <c r="E20" s="21"/>
      <c r="F20" s="30"/>
    </row>
    <row r="21" spans="2:6" x14ac:dyDescent="0.3">
      <c r="B21" s="6">
        <v>265</v>
      </c>
      <c r="C21" s="21"/>
      <c r="D21" s="11">
        <v>0.5</v>
      </c>
      <c r="E21" s="21"/>
      <c r="F21" s="30"/>
    </row>
    <row r="22" spans="2:6" x14ac:dyDescent="0.3">
      <c r="B22" s="6"/>
      <c r="C22" s="1"/>
      <c r="D22" s="1"/>
      <c r="E22" s="1"/>
      <c r="F22" s="2"/>
    </row>
    <row r="23" spans="2:6" x14ac:dyDescent="0.3">
      <c r="B23" s="6" t="s">
        <v>6</v>
      </c>
      <c r="C23" s="24"/>
      <c r="D23" s="13">
        <f>AVERAGE(D4:D21)</f>
        <v>0.16666666666666666</v>
      </c>
      <c r="E23" s="22"/>
      <c r="F23" s="31"/>
    </row>
    <row r="24" spans="2:6" x14ac:dyDescent="0.3">
      <c r="B24" s="6" t="s">
        <v>7</v>
      </c>
      <c r="C24" s="24"/>
      <c r="D24" s="13">
        <f>MIN(D4:D21)</f>
        <v>0</v>
      </c>
      <c r="E24" s="22"/>
      <c r="F24" s="31"/>
    </row>
    <row r="25" spans="2:6" x14ac:dyDescent="0.3">
      <c r="B25" s="6" t="s">
        <v>8</v>
      </c>
      <c r="C25" s="24"/>
      <c r="D25" s="13">
        <f>MAX(D4:D21)</f>
        <v>0.7</v>
      </c>
      <c r="E25" s="22"/>
      <c r="F25" s="31"/>
    </row>
    <row r="26" spans="2:6" x14ac:dyDescent="0.3">
      <c r="B26" s="6"/>
      <c r="C26" s="1"/>
      <c r="D26" s="1"/>
      <c r="E26" s="1"/>
      <c r="F26" s="2"/>
    </row>
    <row r="27" spans="2:6" x14ac:dyDescent="0.3">
      <c r="B27" s="7"/>
      <c r="C27" s="1"/>
      <c r="D27" s="1"/>
      <c r="E27" s="1"/>
      <c r="F27" s="3"/>
    </row>
  </sheetData>
  <mergeCells count="1">
    <mergeCell ref="C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DC7D4-ABC4-485E-BE8C-5491CE85EA46}">
  <dimension ref="B2:J45"/>
  <sheetViews>
    <sheetView topLeftCell="A19" workbookViewId="0">
      <selection activeCell="R29" sqref="R29"/>
    </sheetView>
  </sheetViews>
  <sheetFormatPr defaultRowHeight="15.6" x14ac:dyDescent="0.3"/>
  <cols>
    <col min="2" max="2" width="8.88671875" style="4"/>
    <col min="8" max="10" width="8.88671875" style="38"/>
  </cols>
  <sheetData>
    <row r="2" spans="2:10" x14ac:dyDescent="0.3">
      <c r="C2" s="34" t="s">
        <v>5</v>
      </c>
      <c r="D2" s="34"/>
      <c r="E2" s="34"/>
      <c r="F2" s="34"/>
    </row>
    <row r="3" spans="2:10" x14ac:dyDescent="0.3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H3" s="33" t="s">
        <v>9</v>
      </c>
      <c r="I3" s="33" t="s">
        <v>10</v>
      </c>
      <c r="J3" s="33" t="s">
        <v>11</v>
      </c>
    </row>
    <row r="4" spans="2:10" x14ac:dyDescent="0.3">
      <c r="B4" s="33">
        <v>128</v>
      </c>
      <c r="C4" s="33"/>
      <c r="D4" s="33"/>
      <c r="E4" s="33"/>
      <c r="F4" s="33"/>
      <c r="H4" s="35">
        <v>0.4</v>
      </c>
      <c r="I4" s="35"/>
      <c r="J4" s="35"/>
    </row>
    <row r="5" spans="2:10" x14ac:dyDescent="0.3">
      <c r="B5" s="6">
        <v>134</v>
      </c>
      <c r="C5" s="23"/>
      <c r="D5" s="26"/>
      <c r="E5" s="21"/>
      <c r="F5" s="32"/>
      <c r="H5" s="39"/>
      <c r="I5" s="39"/>
      <c r="J5" s="39"/>
    </row>
    <row r="6" spans="2:10" x14ac:dyDescent="0.3">
      <c r="B6" s="6">
        <v>140</v>
      </c>
      <c r="C6" s="21"/>
      <c r="D6" s="26"/>
      <c r="E6" s="21"/>
      <c r="F6" s="32"/>
      <c r="H6" s="39"/>
      <c r="I6" s="39"/>
      <c r="J6" s="39"/>
    </row>
    <row r="7" spans="2:10" x14ac:dyDescent="0.3">
      <c r="B7" s="6">
        <v>142</v>
      </c>
      <c r="C7" s="21"/>
      <c r="D7" s="26"/>
      <c r="E7" s="21"/>
      <c r="F7" s="32"/>
      <c r="H7" s="39">
        <v>0</v>
      </c>
      <c r="I7" s="39"/>
      <c r="J7" s="39"/>
    </row>
    <row r="8" spans="2:10" x14ac:dyDescent="0.3">
      <c r="B8" s="6">
        <v>149</v>
      </c>
      <c r="C8" s="21"/>
      <c r="D8" s="26"/>
      <c r="E8" s="21"/>
      <c r="F8" s="32"/>
      <c r="H8" s="39">
        <v>0.2</v>
      </c>
      <c r="I8" s="39"/>
      <c r="J8" s="39"/>
    </row>
    <row r="9" spans="2:10" x14ac:dyDescent="0.3">
      <c r="B9" s="6">
        <v>154</v>
      </c>
      <c r="C9" s="21"/>
      <c r="D9" s="26"/>
      <c r="E9" s="21"/>
      <c r="F9" s="32"/>
      <c r="H9" s="39"/>
      <c r="I9" s="39"/>
      <c r="J9" s="39"/>
    </row>
    <row r="10" spans="2:10" x14ac:dyDescent="0.3">
      <c r="B10" s="6">
        <v>155</v>
      </c>
      <c r="C10" s="21"/>
      <c r="D10" s="26"/>
      <c r="E10" s="21"/>
      <c r="F10" s="32"/>
      <c r="H10" s="39"/>
      <c r="I10" s="39">
        <v>0</v>
      </c>
      <c r="J10" s="39"/>
    </row>
    <row r="11" spans="2:10" x14ac:dyDescent="0.3">
      <c r="B11" s="6">
        <v>156</v>
      </c>
      <c r="C11" s="21"/>
      <c r="D11" s="26"/>
      <c r="E11" s="21"/>
      <c r="F11" s="32"/>
      <c r="H11" s="39">
        <v>0.2</v>
      </c>
      <c r="I11" s="39"/>
      <c r="J11" s="39"/>
    </row>
    <row r="12" spans="2:10" x14ac:dyDescent="0.3">
      <c r="B12" s="6">
        <v>157</v>
      </c>
      <c r="C12" s="21"/>
      <c r="D12" s="26"/>
      <c r="E12" s="21"/>
      <c r="F12" s="32">
        <v>0.5</v>
      </c>
      <c r="H12" s="39"/>
      <c r="I12" s="39"/>
      <c r="J12" s="39"/>
    </row>
    <row r="13" spans="2:10" x14ac:dyDescent="0.3">
      <c r="B13" s="6">
        <v>162</v>
      </c>
      <c r="C13" s="21"/>
      <c r="D13" s="26"/>
      <c r="E13" s="21"/>
      <c r="F13" s="32">
        <v>0.2</v>
      </c>
      <c r="H13" s="39"/>
      <c r="I13" s="39"/>
      <c r="J13" s="39"/>
    </row>
    <row r="14" spans="2:10" x14ac:dyDescent="0.3">
      <c r="B14" s="6">
        <v>163</v>
      </c>
      <c r="C14" s="21"/>
      <c r="D14" s="26"/>
      <c r="E14" s="21"/>
      <c r="F14" s="32"/>
      <c r="H14" s="39"/>
      <c r="I14" s="39">
        <v>0.2</v>
      </c>
      <c r="J14" s="39"/>
    </row>
    <row r="15" spans="2:10" x14ac:dyDescent="0.3">
      <c r="B15" s="6">
        <v>164</v>
      </c>
      <c r="C15" s="21"/>
      <c r="D15" s="26"/>
      <c r="E15" s="21"/>
      <c r="F15" s="32"/>
      <c r="H15" s="39">
        <v>0</v>
      </c>
      <c r="I15" s="39"/>
      <c r="J15" s="39"/>
    </row>
    <row r="16" spans="2:10" x14ac:dyDescent="0.3">
      <c r="B16" s="6">
        <v>168</v>
      </c>
      <c r="C16" s="21"/>
      <c r="D16" s="26"/>
      <c r="E16" s="21"/>
      <c r="F16" s="32"/>
      <c r="H16" s="39"/>
      <c r="I16" s="39"/>
      <c r="J16" s="39"/>
    </row>
    <row r="17" spans="2:10" x14ac:dyDescent="0.3">
      <c r="B17" s="6">
        <v>170</v>
      </c>
      <c r="C17" s="21"/>
      <c r="D17" s="26"/>
      <c r="E17" s="21"/>
      <c r="F17" s="32">
        <v>0.3</v>
      </c>
      <c r="H17" s="39"/>
      <c r="I17" s="39">
        <v>0.2</v>
      </c>
      <c r="J17" s="39"/>
    </row>
    <row r="18" spans="2:10" x14ac:dyDescent="0.3">
      <c r="B18" s="6">
        <v>172</v>
      </c>
      <c r="C18" s="21"/>
      <c r="D18" s="26"/>
      <c r="E18" s="21"/>
      <c r="F18" s="32"/>
      <c r="H18" s="39">
        <v>0</v>
      </c>
      <c r="I18" s="39"/>
      <c r="J18" s="39"/>
    </row>
    <row r="19" spans="2:10" x14ac:dyDescent="0.3">
      <c r="B19" s="6">
        <v>177</v>
      </c>
      <c r="C19" s="21"/>
      <c r="D19" s="26"/>
      <c r="E19" s="21"/>
      <c r="F19" s="32">
        <v>0.3</v>
      </c>
      <c r="H19" s="39"/>
      <c r="I19" s="39">
        <v>0.4</v>
      </c>
      <c r="J19" s="39"/>
    </row>
    <row r="20" spans="2:10" x14ac:dyDescent="0.3">
      <c r="B20" s="6">
        <v>178</v>
      </c>
      <c r="C20" s="21"/>
      <c r="D20" s="26"/>
      <c r="E20" s="21"/>
      <c r="F20" s="32"/>
      <c r="H20" s="39"/>
      <c r="I20" s="39"/>
      <c r="J20" s="39"/>
    </row>
    <row r="21" spans="2:10" x14ac:dyDescent="0.3">
      <c r="B21" s="6">
        <v>184</v>
      </c>
      <c r="C21" s="21"/>
      <c r="D21" s="26"/>
      <c r="E21" s="21"/>
      <c r="F21" s="32"/>
      <c r="H21" s="39"/>
      <c r="I21" s="39">
        <v>0.2</v>
      </c>
      <c r="J21" s="39"/>
    </row>
    <row r="22" spans="2:10" x14ac:dyDescent="0.3">
      <c r="B22" s="6">
        <v>185</v>
      </c>
      <c r="C22" s="21"/>
      <c r="D22" s="26"/>
      <c r="E22" s="21"/>
      <c r="F22" s="32"/>
      <c r="H22" s="39">
        <v>0</v>
      </c>
      <c r="I22" s="39"/>
      <c r="J22" s="39"/>
    </row>
    <row r="23" spans="2:10" x14ac:dyDescent="0.3">
      <c r="B23" s="6">
        <v>186</v>
      </c>
      <c r="C23" s="21"/>
      <c r="D23" s="26"/>
      <c r="E23" s="21"/>
      <c r="F23" s="32"/>
      <c r="H23" s="39"/>
      <c r="I23" s="39"/>
      <c r="J23" s="39"/>
    </row>
    <row r="24" spans="2:10" x14ac:dyDescent="0.3">
      <c r="B24" s="6">
        <v>191</v>
      </c>
      <c r="C24" s="21"/>
      <c r="D24" s="26"/>
      <c r="E24" s="21"/>
      <c r="F24" s="32"/>
      <c r="H24" s="39"/>
      <c r="I24" s="39">
        <v>0</v>
      </c>
      <c r="J24" s="39"/>
    </row>
    <row r="25" spans="2:10" x14ac:dyDescent="0.3">
      <c r="B25" s="6">
        <v>192</v>
      </c>
      <c r="C25" s="21"/>
      <c r="D25" s="26"/>
      <c r="E25" s="21"/>
      <c r="F25" s="32">
        <v>0</v>
      </c>
      <c r="H25" s="39"/>
      <c r="I25" s="39"/>
      <c r="J25" s="39"/>
    </row>
    <row r="26" spans="2:10" x14ac:dyDescent="0.3">
      <c r="B26" s="6">
        <v>193</v>
      </c>
      <c r="C26" s="21"/>
      <c r="D26" s="26"/>
      <c r="E26" s="21"/>
      <c r="F26" s="32"/>
      <c r="H26" s="39"/>
      <c r="I26" s="39"/>
      <c r="J26" s="39"/>
    </row>
    <row r="27" spans="2:10" x14ac:dyDescent="0.3">
      <c r="B27" s="6">
        <v>198</v>
      </c>
      <c r="C27" s="21"/>
      <c r="D27" s="26"/>
      <c r="E27" s="21"/>
      <c r="F27" s="32"/>
      <c r="H27" s="39">
        <v>1.2</v>
      </c>
      <c r="I27" s="39"/>
      <c r="J27" s="39"/>
    </row>
    <row r="28" spans="2:10" x14ac:dyDescent="0.3">
      <c r="B28" s="6">
        <v>205</v>
      </c>
      <c r="C28" s="21"/>
      <c r="D28" s="26"/>
      <c r="E28" s="21"/>
      <c r="F28" s="32">
        <v>0</v>
      </c>
      <c r="H28" s="39"/>
      <c r="I28" s="39">
        <v>0.6</v>
      </c>
      <c r="J28" s="39"/>
    </row>
    <row r="29" spans="2:10" x14ac:dyDescent="0.3">
      <c r="B29" s="6">
        <v>206</v>
      </c>
      <c r="C29" s="21"/>
      <c r="D29" s="26"/>
      <c r="E29" s="21"/>
      <c r="F29" s="32"/>
      <c r="H29" s="39"/>
      <c r="I29" s="39"/>
      <c r="J29" s="39"/>
    </row>
    <row r="30" spans="2:10" x14ac:dyDescent="0.3">
      <c r="B30" s="6">
        <v>212</v>
      </c>
      <c r="C30" s="24"/>
      <c r="D30" s="26"/>
      <c r="E30" s="21"/>
      <c r="F30" s="32"/>
      <c r="H30" s="39">
        <v>7</v>
      </c>
      <c r="I30" s="39"/>
      <c r="J30" s="39"/>
    </row>
    <row r="31" spans="2:10" x14ac:dyDescent="0.3">
      <c r="B31" s="6">
        <v>218</v>
      </c>
      <c r="C31" s="24"/>
      <c r="D31" s="26"/>
      <c r="E31" s="21"/>
      <c r="F31" s="32">
        <v>0.2</v>
      </c>
      <c r="H31" s="39"/>
      <c r="I31" s="39"/>
      <c r="J31" s="39"/>
    </row>
    <row r="32" spans="2:10" x14ac:dyDescent="0.3">
      <c r="B32" s="6">
        <v>219</v>
      </c>
      <c r="C32" s="24"/>
      <c r="D32" s="26"/>
      <c r="E32" s="21"/>
      <c r="F32" s="32"/>
      <c r="H32" s="39"/>
      <c r="I32" s="39">
        <v>0.8</v>
      </c>
      <c r="J32" s="39"/>
    </row>
    <row r="33" spans="2:10" x14ac:dyDescent="0.3">
      <c r="B33" s="6">
        <v>221</v>
      </c>
      <c r="C33" s="24"/>
      <c r="D33" s="26"/>
      <c r="E33" s="21"/>
      <c r="F33" s="32"/>
      <c r="H33" s="39"/>
      <c r="I33" s="39"/>
      <c r="J33" s="39"/>
    </row>
    <row r="34" spans="2:10" x14ac:dyDescent="0.3">
      <c r="B34" s="6">
        <v>226</v>
      </c>
      <c r="C34" s="21"/>
      <c r="D34" s="26"/>
      <c r="E34" s="21"/>
      <c r="F34" s="32"/>
      <c r="H34" s="39">
        <v>3.4</v>
      </c>
      <c r="I34" s="39"/>
      <c r="J34" s="39"/>
    </row>
    <row r="35" spans="2:10" x14ac:dyDescent="0.3">
      <c r="B35" s="6">
        <v>234</v>
      </c>
      <c r="C35" s="21"/>
      <c r="D35" s="26"/>
      <c r="E35" s="21"/>
      <c r="F35" s="32">
        <v>0.3</v>
      </c>
      <c r="H35" s="39"/>
      <c r="I35" s="39">
        <v>0.2</v>
      </c>
      <c r="J35" s="39"/>
    </row>
    <row r="36" spans="2:10" x14ac:dyDescent="0.3">
      <c r="B36" s="6">
        <v>235</v>
      </c>
      <c r="C36" s="21"/>
      <c r="D36" s="26"/>
      <c r="E36" s="21"/>
      <c r="F36" s="32"/>
      <c r="H36" s="39"/>
      <c r="I36" s="39"/>
      <c r="J36" s="39"/>
    </row>
    <row r="37" spans="2:10" x14ac:dyDescent="0.3">
      <c r="B37" s="6">
        <v>246</v>
      </c>
      <c r="C37" s="21"/>
      <c r="D37" s="26"/>
      <c r="E37" s="21"/>
      <c r="F37" s="32">
        <v>0.2</v>
      </c>
      <c r="H37" s="39"/>
      <c r="I37" s="39"/>
      <c r="J37" s="39"/>
    </row>
    <row r="38" spans="2:10" x14ac:dyDescent="0.3">
      <c r="B38" s="6">
        <v>248</v>
      </c>
      <c r="C38" s="21"/>
      <c r="D38" s="26"/>
      <c r="E38" s="21"/>
      <c r="F38" s="32"/>
      <c r="H38" s="39"/>
      <c r="I38" s="39">
        <v>0.4</v>
      </c>
      <c r="J38" s="39"/>
    </row>
    <row r="39" spans="2:10" x14ac:dyDescent="0.3">
      <c r="B39" s="6">
        <v>265</v>
      </c>
      <c r="C39" s="21"/>
      <c r="D39" s="26"/>
      <c r="E39" s="21"/>
      <c r="F39" s="32"/>
      <c r="H39" s="39"/>
      <c r="I39" s="39"/>
      <c r="J39" s="39"/>
    </row>
    <row r="40" spans="2:10" x14ac:dyDescent="0.3">
      <c r="B40" s="6"/>
      <c r="C40" s="1"/>
      <c r="D40" s="1"/>
      <c r="E40" s="1"/>
      <c r="F40" s="2"/>
      <c r="H40" s="39"/>
      <c r="I40" s="39"/>
      <c r="J40" s="39"/>
    </row>
    <row r="41" spans="2:10" x14ac:dyDescent="0.3">
      <c r="B41" s="6" t="s">
        <v>6</v>
      </c>
      <c r="C41" s="24"/>
      <c r="D41" s="29"/>
      <c r="E41" s="22"/>
      <c r="F41" s="32">
        <f>AVERAGE(F5:F39)</f>
        <v>0.22222222222222221</v>
      </c>
      <c r="H41" s="32">
        <f>AVERAGE(H5:H39)</f>
        <v>1.3333333333333333</v>
      </c>
      <c r="I41" s="32">
        <f>AVERAGE(I5:I39)</f>
        <v>0.30000000000000004</v>
      </c>
      <c r="J41" s="39"/>
    </row>
    <row r="42" spans="2:10" x14ac:dyDescent="0.3">
      <c r="B42" s="6" t="s">
        <v>7</v>
      </c>
      <c r="C42" s="24"/>
      <c r="D42" s="29"/>
      <c r="E42" s="22"/>
      <c r="F42" s="32">
        <f>MIN(F5:F39)</f>
        <v>0</v>
      </c>
      <c r="H42" s="32">
        <f>MIN(H5:H39)</f>
        <v>0</v>
      </c>
      <c r="I42" s="32">
        <f>MIN(I5:I39)</f>
        <v>0</v>
      </c>
      <c r="J42" s="39"/>
    </row>
    <row r="43" spans="2:10" x14ac:dyDescent="0.3">
      <c r="B43" s="6" t="s">
        <v>8</v>
      </c>
      <c r="C43" s="24"/>
      <c r="D43" s="29"/>
      <c r="E43" s="22"/>
      <c r="F43" s="32">
        <f>MAX(F5:F39)</f>
        <v>0.5</v>
      </c>
      <c r="H43" s="32">
        <f>MAX(H5:H39)</f>
        <v>7</v>
      </c>
      <c r="I43" s="32">
        <f>MAX(I5:I39)</f>
        <v>0.8</v>
      </c>
      <c r="J43" s="39"/>
    </row>
    <row r="44" spans="2:10" x14ac:dyDescent="0.3">
      <c r="B44" s="6"/>
      <c r="C44" s="1"/>
      <c r="D44" s="1"/>
      <c r="E44" s="1"/>
      <c r="F44" s="2"/>
    </row>
    <row r="45" spans="2:10" x14ac:dyDescent="0.3">
      <c r="B45" s="7"/>
      <c r="C45" s="1"/>
      <c r="D45" s="1"/>
      <c r="E45" s="1"/>
      <c r="F45" s="3"/>
    </row>
  </sheetData>
  <mergeCells count="1">
    <mergeCell ref="C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07CAD-897D-4CCE-AF85-53ABA83CE30C}">
  <dimension ref="B2:J50"/>
  <sheetViews>
    <sheetView workbookViewId="0">
      <selection activeCell="N8" sqref="N8"/>
    </sheetView>
  </sheetViews>
  <sheetFormatPr defaultRowHeight="15.6" x14ac:dyDescent="0.3"/>
  <cols>
    <col min="2" max="2" width="8.88671875" style="4"/>
    <col min="8" max="10" width="8.88671875" style="38"/>
  </cols>
  <sheetData>
    <row r="2" spans="2:10" x14ac:dyDescent="0.3">
      <c r="C2" s="34" t="s">
        <v>5</v>
      </c>
      <c r="D2" s="34"/>
      <c r="E2" s="34"/>
      <c r="F2" s="34"/>
    </row>
    <row r="3" spans="2:10" x14ac:dyDescent="0.3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H3" s="33" t="s">
        <v>9</v>
      </c>
      <c r="I3" s="33" t="s">
        <v>10</v>
      </c>
      <c r="J3" s="33" t="s">
        <v>11</v>
      </c>
    </row>
    <row r="4" spans="2:10" x14ac:dyDescent="0.3">
      <c r="B4" s="33">
        <v>128</v>
      </c>
      <c r="C4" s="33"/>
      <c r="D4" s="33"/>
      <c r="E4" s="33"/>
      <c r="F4" s="33"/>
      <c r="H4" s="35">
        <v>6.2</v>
      </c>
      <c r="I4" s="35"/>
      <c r="J4" s="35"/>
    </row>
    <row r="5" spans="2:10" x14ac:dyDescent="0.3">
      <c r="B5" s="6">
        <v>134</v>
      </c>
      <c r="C5" s="8">
        <v>25</v>
      </c>
      <c r="D5" s="13"/>
      <c r="E5" s="11"/>
      <c r="F5" s="10"/>
      <c r="H5" s="39"/>
      <c r="I5" s="39"/>
      <c r="J5" s="39"/>
    </row>
    <row r="6" spans="2:10" x14ac:dyDescent="0.3">
      <c r="B6" s="6">
        <v>140</v>
      </c>
      <c r="C6" s="11">
        <v>20.8</v>
      </c>
      <c r="D6" s="13"/>
      <c r="E6" s="11"/>
      <c r="F6" s="10"/>
      <c r="H6" s="39"/>
      <c r="I6" s="39"/>
      <c r="J6" s="39"/>
    </row>
    <row r="7" spans="2:10" x14ac:dyDescent="0.3">
      <c r="B7" s="6">
        <v>142</v>
      </c>
      <c r="C7" s="11"/>
      <c r="D7" s="13"/>
      <c r="E7" s="11"/>
      <c r="F7" s="10"/>
      <c r="H7" s="39">
        <v>10.8</v>
      </c>
      <c r="I7" s="39"/>
      <c r="J7" s="39"/>
    </row>
    <row r="8" spans="2:10" x14ac:dyDescent="0.3">
      <c r="B8" s="6">
        <v>144</v>
      </c>
      <c r="C8" s="11"/>
      <c r="D8" s="13"/>
      <c r="E8" s="11">
        <v>54.6</v>
      </c>
      <c r="F8" s="10"/>
      <c r="H8" s="39"/>
      <c r="I8" s="39"/>
      <c r="J8" s="39"/>
    </row>
    <row r="9" spans="2:10" x14ac:dyDescent="0.3">
      <c r="B9" s="6">
        <v>149</v>
      </c>
      <c r="C9" s="11">
        <v>22.3</v>
      </c>
      <c r="D9" s="13"/>
      <c r="E9" s="11">
        <v>114.6</v>
      </c>
      <c r="F9" s="10"/>
      <c r="H9" s="39">
        <v>7.4</v>
      </c>
      <c r="I9" s="39"/>
      <c r="J9" s="39"/>
    </row>
    <row r="10" spans="2:10" x14ac:dyDescent="0.3">
      <c r="B10" s="6">
        <v>154</v>
      </c>
      <c r="C10" s="11">
        <v>30.2</v>
      </c>
      <c r="D10" s="13"/>
      <c r="E10" s="11"/>
      <c r="F10" s="10"/>
      <c r="H10" s="39"/>
      <c r="I10" s="39"/>
      <c r="J10" s="39"/>
    </row>
    <row r="11" spans="2:10" x14ac:dyDescent="0.3">
      <c r="B11" s="6">
        <v>155</v>
      </c>
      <c r="C11" s="11"/>
      <c r="D11" s="13"/>
      <c r="E11" s="11"/>
      <c r="F11" s="10"/>
      <c r="H11" s="39"/>
      <c r="I11" s="39">
        <v>28.2</v>
      </c>
      <c r="J11" s="39"/>
    </row>
    <row r="12" spans="2:10" x14ac:dyDescent="0.3">
      <c r="B12" s="6">
        <v>156</v>
      </c>
      <c r="C12" s="11"/>
      <c r="D12" s="13"/>
      <c r="E12" s="11"/>
      <c r="F12" s="10"/>
      <c r="H12" s="39">
        <v>1.2</v>
      </c>
      <c r="I12" s="39"/>
      <c r="J12" s="39"/>
    </row>
    <row r="13" spans="2:10" x14ac:dyDescent="0.3">
      <c r="B13" s="6">
        <v>157</v>
      </c>
      <c r="C13" s="11"/>
      <c r="D13" s="13"/>
      <c r="E13" s="11">
        <v>44.8</v>
      </c>
      <c r="F13" s="10">
        <v>3.5</v>
      </c>
      <c r="H13" s="39"/>
      <c r="I13" s="39"/>
      <c r="J13" s="39"/>
    </row>
    <row r="14" spans="2:10" x14ac:dyDescent="0.3">
      <c r="B14" s="6">
        <v>162</v>
      </c>
      <c r="C14" s="11"/>
      <c r="D14" s="13"/>
      <c r="E14" s="11"/>
      <c r="F14" s="10">
        <v>3</v>
      </c>
      <c r="H14" s="39"/>
      <c r="I14" s="39"/>
      <c r="J14" s="39"/>
    </row>
    <row r="15" spans="2:10" x14ac:dyDescent="0.3">
      <c r="B15" s="6">
        <v>163</v>
      </c>
      <c r="C15" s="11">
        <v>31.7</v>
      </c>
      <c r="D15" s="13"/>
      <c r="E15" s="11"/>
      <c r="F15" s="10"/>
      <c r="H15" s="39"/>
      <c r="I15" s="39">
        <v>13.6</v>
      </c>
      <c r="J15" s="39"/>
    </row>
    <row r="16" spans="2:10" x14ac:dyDescent="0.3">
      <c r="B16" s="6">
        <v>164</v>
      </c>
      <c r="C16" s="11"/>
      <c r="D16" s="13"/>
      <c r="E16" s="11"/>
      <c r="F16" s="10"/>
      <c r="H16" s="39">
        <v>0.4</v>
      </c>
      <c r="I16" s="39"/>
      <c r="J16" s="39"/>
    </row>
    <row r="17" spans="2:10" x14ac:dyDescent="0.3">
      <c r="B17" s="6">
        <v>165</v>
      </c>
      <c r="C17" s="11"/>
      <c r="D17" s="13"/>
      <c r="E17" s="11">
        <v>74.599999999999994</v>
      </c>
      <c r="F17" s="10"/>
      <c r="H17" s="39"/>
      <c r="I17" s="39"/>
      <c r="J17" s="39"/>
    </row>
    <row r="18" spans="2:10" x14ac:dyDescent="0.3">
      <c r="B18" s="6">
        <v>168</v>
      </c>
      <c r="C18" s="11">
        <v>23.7</v>
      </c>
      <c r="D18" s="13">
        <v>9.1999999999999993</v>
      </c>
      <c r="E18" s="11"/>
      <c r="F18" s="10"/>
      <c r="H18" s="39"/>
      <c r="I18" s="39"/>
      <c r="J18" s="39"/>
    </row>
    <row r="19" spans="2:10" x14ac:dyDescent="0.3">
      <c r="B19" s="6">
        <v>170</v>
      </c>
      <c r="C19" s="11"/>
      <c r="D19" s="13"/>
      <c r="E19" s="11"/>
      <c r="F19" s="10">
        <v>4</v>
      </c>
      <c r="H19" s="39"/>
      <c r="I19" s="39">
        <v>15</v>
      </c>
      <c r="J19" s="39"/>
    </row>
    <row r="20" spans="2:10" x14ac:dyDescent="0.3">
      <c r="B20" s="6">
        <v>172</v>
      </c>
      <c r="C20" s="11"/>
      <c r="D20" s="13"/>
      <c r="E20" s="11"/>
      <c r="F20" s="10"/>
      <c r="H20" s="39">
        <v>2</v>
      </c>
      <c r="I20" s="39"/>
      <c r="J20" s="39"/>
    </row>
    <row r="21" spans="2:10" x14ac:dyDescent="0.3">
      <c r="B21" s="6">
        <v>173</v>
      </c>
      <c r="C21" s="11"/>
      <c r="D21" s="13"/>
      <c r="E21" s="11">
        <v>52.4</v>
      </c>
      <c r="F21" s="10"/>
      <c r="H21" s="39"/>
      <c r="I21" s="39"/>
      <c r="J21" s="39"/>
    </row>
    <row r="22" spans="2:10" x14ac:dyDescent="0.3">
      <c r="B22" s="6">
        <v>177</v>
      </c>
      <c r="C22" s="11"/>
      <c r="D22" s="13"/>
      <c r="E22" s="11"/>
      <c r="F22" s="10">
        <v>2.2000000000000002</v>
      </c>
      <c r="H22" s="39"/>
      <c r="I22" s="39">
        <v>20.8</v>
      </c>
      <c r="J22" s="39"/>
    </row>
    <row r="23" spans="2:10" x14ac:dyDescent="0.3">
      <c r="B23" s="6">
        <v>178</v>
      </c>
      <c r="C23" s="11"/>
      <c r="D23" s="13">
        <v>9.3000000000000007</v>
      </c>
      <c r="E23" s="11"/>
      <c r="F23" s="10"/>
      <c r="H23" s="39"/>
      <c r="I23" s="39"/>
      <c r="J23" s="39"/>
    </row>
    <row r="24" spans="2:10" x14ac:dyDescent="0.3">
      <c r="B24" s="6">
        <v>179</v>
      </c>
      <c r="C24" s="11"/>
      <c r="D24" s="13"/>
      <c r="E24" s="11">
        <v>127.8</v>
      </c>
      <c r="F24" s="10"/>
      <c r="H24" s="39"/>
      <c r="I24" s="39"/>
      <c r="J24" s="39"/>
    </row>
    <row r="25" spans="2:10" x14ac:dyDescent="0.3">
      <c r="B25" s="6">
        <v>184</v>
      </c>
      <c r="C25" s="11">
        <v>24.5</v>
      </c>
      <c r="D25" s="13"/>
      <c r="E25" s="11"/>
      <c r="F25" s="10"/>
      <c r="H25" s="39"/>
      <c r="I25" s="39">
        <v>17.8</v>
      </c>
      <c r="J25" s="39"/>
    </row>
    <row r="26" spans="2:10" x14ac:dyDescent="0.3">
      <c r="B26" s="6">
        <v>185</v>
      </c>
      <c r="C26" s="11"/>
      <c r="D26" s="13"/>
      <c r="E26" s="11"/>
      <c r="F26" s="10"/>
      <c r="H26" s="39">
        <v>4</v>
      </c>
      <c r="I26" s="39"/>
      <c r="J26" s="39"/>
    </row>
    <row r="27" spans="2:10" x14ac:dyDescent="0.3">
      <c r="B27" s="6">
        <v>186</v>
      </c>
      <c r="C27" s="11"/>
      <c r="D27" s="13">
        <v>13.3</v>
      </c>
      <c r="E27" s="11"/>
      <c r="F27" s="10"/>
      <c r="H27" s="39"/>
      <c r="I27" s="39"/>
      <c r="J27" s="39"/>
    </row>
    <row r="28" spans="2:10" x14ac:dyDescent="0.3">
      <c r="B28" s="6">
        <v>192</v>
      </c>
      <c r="C28" s="11"/>
      <c r="D28" s="13"/>
      <c r="E28" s="11">
        <v>65.599999999999994</v>
      </c>
      <c r="F28" s="10">
        <v>1.5</v>
      </c>
      <c r="H28" s="39"/>
      <c r="I28" s="39"/>
      <c r="J28" s="39"/>
    </row>
    <row r="29" spans="2:10" x14ac:dyDescent="0.3">
      <c r="B29" s="6">
        <v>191</v>
      </c>
      <c r="C29" s="11"/>
      <c r="D29" s="13"/>
      <c r="E29" s="11"/>
      <c r="F29" s="10"/>
      <c r="H29" s="39"/>
      <c r="I29" s="39">
        <v>11</v>
      </c>
      <c r="J29" s="39"/>
    </row>
    <row r="30" spans="2:10" x14ac:dyDescent="0.3">
      <c r="B30" s="6">
        <v>193</v>
      </c>
      <c r="C30" s="11"/>
      <c r="D30" s="13">
        <v>14.7</v>
      </c>
      <c r="E30" s="11"/>
      <c r="F30" s="10"/>
      <c r="H30" s="39"/>
      <c r="I30" s="39"/>
      <c r="J30" s="39"/>
    </row>
    <row r="31" spans="2:10" x14ac:dyDescent="0.3">
      <c r="B31" s="6">
        <v>198</v>
      </c>
      <c r="C31" s="11">
        <v>15.3</v>
      </c>
      <c r="D31" s="13"/>
      <c r="E31" s="11"/>
      <c r="F31" s="10"/>
      <c r="H31" s="39">
        <v>4.2</v>
      </c>
      <c r="I31" s="39"/>
      <c r="J31" s="39"/>
    </row>
    <row r="32" spans="2:10" x14ac:dyDescent="0.3">
      <c r="B32" s="6">
        <v>205</v>
      </c>
      <c r="C32" s="11"/>
      <c r="D32" s="13"/>
      <c r="E32" s="11"/>
      <c r="F32" s="10">
        <v>8.3000000000000007</v>
      </c>
      <c r="H32" s="39"/>
      <c r="I32" s="39">
        <v>11</v>
      </c>
      <c r="J32" s="39"/>
    </row>
    <row r="33" spans="2:10" x14ac:dyDescent="0.3">
      <c r="B33" s="6">
        <v>206</v>
      </c>
      <c r="C33" s="11"/>
      <c r="D33" s="13">
        <v>10.3</v>
      </c>
      <c r="E33" s="11">
        <v>72</v>
      </c>
      <c r="F33" s="10"/>
      <c r="H33" s="39"/>
      <c r="I33" s="39"/>
      <c r="J33" s="39"/>
    </row>
    <row r="34" spans="2:10" x14ac:dyDescent="0.3">
      <c r="B34" s="6">
        <v>212</v>
      </c>
      <c r="C34" s="13">
        <v>28</v>
      </c>
      <c r="D34" s="13"/>
      <c r="E34" s="11"/>
      <c r="F34" s="10"/>
      <c r="H34" s="39">
        <v>2</v>
      </c>
      <c r="I34" s="39"/>
      <c r="J34" s="39"/>
    </row>
    <row r="35" spans="2:10" x14ac:dyDescent="0.3">
      <c r="B35" s="6">
        <v>218</v>
      </c>
      <c r="C35" s="13"/>
      <c r="D35" s="13"/>
      <c r="E35" s="11"/>
      <c r="F35" s="10">
        <v>18.3</v>
      </c>
      <c r="H35" s="39"/>
      <c r="I35" s="39"/>
      <c r="J35" s="39"/>
    </row>
    <row r="36" spans="2:10" x14ac:dyDescent="0.3">
      <c r="B36" s="6">
        <v>219</v>
      </c>
      <c r="C36" s="13"/>
      <c r="D36" s="13"/>
      <c r="E36" s="11"/>
      <c r="F36" s="10"/>
      <c r="H36" s="39"/>
      <c r="I36" s="39">
        <v>20</v>
      </c>
      <c r="J36" s="39"/>
    </row>
    <row r="37" spans="2:10" x14ac:dyDescent="0.3">
      <c r="B37" s="6">
        <v>220</v>
      </c>
      <c r="C37" s="13"/>
      <c r="D37" s="13"/>
      <c r="E37" s="11">
        <v>27.6</v>
      </c>
      <c r="F37" s="10"/>
      <c r="H37" s="39"/>
      <c r="I37" s="39"/>
      <c r="J37" s="39"/>
    </row>
    <row r="38" spans="2:10" x14ac:dyDescent="0.3">
      <c r="B38" s="6">
        <v>221</v>
      </c>
      <c r="C38" s="13"/>
      <c r="D38" s="13">
        <v>11.7</v>
      </c>
      <c r="E38" s="11"/>
      <c r="F38" s="10"/>
      <c r="H38" s="39"/>
      <c r="I38" s="39"/>
      <c r="J38" s="39"/>
    </row>
    <row r="39" spans="2:10" x14ac:dyDescent="0.3">
      <c r="B39" s="6">
        <v>226</v>
      </c>
      <c r="C39" s="11">
        <v>21.7</v>
      </c>
      <c r="D39" s="13"/>
      <c r="E39" s="11"/>
      <c r="F39" s="10"/>
      <c r="H39" s="39">
        <v>2.6</v>
      </c>
      <c r="I39" s="39"/>
      <c r="J39" s="39"/>
    </row>
    <row r="40" spans="2:10" x14ac:dyDescent="0.3">
      <c r="B40" s="6">
        <v>234</v>
      </c>
      <c r="C40" s="11"/>
      <c r="D40" s="13"/>
      <c r="E40" s="11">
        <v>23.2</v>
      </c>
      <c r="F40" s="10">
        <v>13.2</v>
      </c>
      <c r="H40" s="39"/>
      <c r="I40" s="39">
        <v>19.8</v>
      </c>
      <c r="J40" s="39"/>
    </row>
    <row r="41" spans="2:10" x14ac:dyDescent="0.3">
      <c r="B41" s="6">
        <v>235</v>
      </c>
      <c r="C41" s="11"/>
      <c r="D41" s="13">
        <v>14</v>
      </c>
      <c r="E41" s="11"/>
      <c r="F41" s="10"/>
      <c r="H41" s="39"/>
      <c r="I41" s="39"/>
      <c r="J41" s="39"/>
    </row>
    <row r="42" spans="2:10" x14ac:dyDescent="0.3">
      <c r="B42" s="6">
        <v>246</v>
      </c>
      <c r="C42" s="11"/>
      <c r="D42" s="13">
        <v>8</v>
      </c>
      <c r="E42" s="11"/>
      <c r="F42" s="10">
        <v>23.2</v>
      </c>
      <c r="H42" s="39"/>
      <c r="I42" s="39"/>
      <c r="J42" s="39"/>
    </row>
    <row r="43" spans="2:10" x14ac:dyDescent="0.3">
      <c r="B43" s="6">
        <v>248</v>
      </c>
      <c r="C43" s="11"/>
      <c r="D43" s="13"/>
      <c r="E43" s="11"/>
      <c r="F43" s="10"/>
      <c r="H43" s="39"/>
      <c r="I43" s="39">
        <v>16.2</v>
      </c>
      <c r="J43" s="39"/>
    </row>
    <row r="44" spans="2:10" x14ac:dyDescent="0.3">
      <c r="B44" s="6">
        <v>265</v>
      </c>
      <c r="C44" s="11"/>
      <c r="D44" s="13">
        <v>15.2</v>
      </c>
      <c r="E44" s="11"/>
      <c r="F44" s="10"/>
      <c r="H44" s="39"/>
      <c r="I44" s="39"/>
      <c r="J44" s="39"/>
    </row>
    <row r="45" spans="2:10" x14ac:dyDescent="0.3">
      <c r="B45" s="6"/>
      <c r="C45" s="1"/>
      <c r="D45" s="1"/>
      <c r="E45" s="1"/>
      <c r="F45" s="2"/>
    </row>
    <row r="46" spans="2:10" x14ac:dyDescent="0.3">
      <c r="B46" s="6" t="s">
        <v>6</v>
      </c>
      <c r="C46" s="13">
        <f>AVERAGE(C5:C44)</f>
        <v>24.32</v>
      </c>
      <c r="D46" s="13">
        <f>AVERAGE(D5:D44)</f>
        <v>11.744444444444445</v>
      </c>
      <c r="E46" s="13">
        <f>AVERAGE(E5:E44)</f>
        <v>65.72</v>
      </c>
      <c r="F46" s="13">
        <f>AVERAGE(F5:F44)</f>
        <v>8.5777777777777775</v>
      </c>
      <c r="H46" s="13">
        <f>AVERAGE(H5:H44)</f>
        <v>3.8444444444444446</v>
      </c>
      <c r="I46" s="13">
        <f>AVERAGE(I5:I44)</f>
        <v>17.339999999999996</v>
      </c>
    </row>
    <row r="47" spans="2:10" x14ac:dyDescent="0.3">
      <c r="B47" s="6" t="s">
        <v>7</v>
      </c>
      <c r="C47" s="13">
        <f>MIN(C5:C44)</f>
        <v>15.3</v>
      </c>
      <c r="D47" s="13">
        <f>MIN(D5:D44)</f>
        <v>8</v>
      </c>
      <c r="E47" s="13">
        <f>MIN(E5:E44)</f>
        <v>23.2</v>
      </c>
      <c r="F47" s="13">
        <f>MIN(F5:F44)</f>
        <v>1.5</v>
      </c>
      <c r="H47" s="13">
        <f>MIN(H5:H44)</f>
        <v>0.4</v>
      </c>
      <c r="I47" s="13">
        <f>MIN(I5:I44)</f>
        <v>11</v>
      </c>
    </row>
    <row r="48" spans="2:10" x14ac:dyDescent="0.3">
      <c r="B48" s="6" t="s">
        <v>8</v>
      </c>
      <c r="C48" s="13">
        <f>MAX(C5:C44)</f>
        <v>31.7</v>
      </c>
      <c r="D48" s="13">
        <f>MAX(D5:D44)</f>
        <v>15.2</v>
      </c>
      <c r="E48" s="13">
        <f>MAX(E5:E44)</f>
        <v>127.8</v>
      </c>
      <c r="F48" s="13">
        <f>MAX(F5:F44)</f>
        <v>23.2</v>
      </c>
      <c r="H48" s="13">
        <f>MAX(H5:H44)</f>
        <v>10.8</v>
      </c>
      <c r="I48" s="13">
        <f>MAX(I5:I44)</f>
        <v>28.2</v>
      </c>
    </row>
    <row r="49" spans="2:6" x14ac:dyDescent="0.3">
      <c r="B49" s="6"/>
      <c r="C49" s="1"/>
      <c r="D49" s="1"/>
      <c r="E49" s="1"/>
      <c r="F49" s="2"/>
    </row>
    <row r="50" spans="2:6" x14ac:dyDescent="0.3">
      <c r="B50" s="7"/>
      <c r="C50" s="1"/>
      <c r="D50" s="1"/>
      <c r="E50" s="1"/>
      <c r="F50" s="3"/>
    </row>
  </sheetData>
  <mergeCells count="1">
    <mergeCell ref="C2:F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E0142-18BB-4CC0-9510-0DD894ACCC57}">
  <dimension ref="B2:N60"/>
  <sheetViews>
    <sheetView topLeftCell="A26" workbookViewId="0">
      <selection activeCell="K45" sqref="K45"/>
    </sheetView>
  </sheetViews>
  <sheetFormatPr defaultRowHeight="15.6" x14ac:dyDescent="0.3"/>
  <cols>
    <col min="2" max="2" width="8.88671875" style="4"/>
    <col min="8" max="10" width="8.88671875" style="38"/>
    <col min="14" max="14" width="12.6640625" style="9" bestFit="1" customWidth="1"/>
  </cols>
  <sheetData>
    <row r="2" spans="2:14" x14ac:dyDescent="0.3">
      <c r="C2" s="34" t="s">
        <v>5</v>
      </c>
      <c r="D2" s="34"/>
      <c r="E2" s="34"/>
      <c r="F2" s="34"/>
    </row>
    <row r="3" spans="2:14" x14ac:dyDescent="0.3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H3" s="33" t="s">
        <v>9</v>
      </c>
      <c r="I3" s="33" t="s">
        <v>10</v>
      </c>
      <c r="J3" s="33" t="s">
        <v>11</v>
      </c>
    </row>
    <row r="4" spans="2:14" x14ac:dyDescent="0.3">
      <c r="B4" s="33">
        <v>128</v>
      </c>
      <c r="C4" s="33"/>
      <c r="D4" s="33"/>
      <c r="E4" s="33"/>
      <c r="F4" s="33"/>
      <c r="H4" s="35">
        <v>117</v>
      </c>
      <c r="I4" s="35"/>
      <c r="J4" s="35"/>
    </row>
    <row r="5" spans="2:14" x14ac:dyDescent="0.3">
      <c r="B5" s="6">
        <v>134</v>
      </c>
      <c r="C5" s="15">
        <v>73.166666666666671</v>
      </c>
      <c r="D5" s="11"/>
      <c r="E5" s="11"/>
      <c r="F5" s="10"/>
      <c r="H5" s="39"/>
      <c r="I5" s="39"/>
      <c r="J5" s="39"/>
    </row>
    <row r="6" spans="2:14" x14ac:dyDescent="0.3">
      <c r="B6" s="6">
        <v>140</v>
      </c>
      <c r="C6" s="15">
        <v>37.5</v>
      </c>
      <c r="D6" s="11"/>
      <c r="E6" s="11"/>
      <c r="F6" s="10"/>
      <c r="H6" s="39"/>
      <c r="I6" s="39"/>
      <c r="J6" s="39"/>
      <c r="N6" s="16"/>
    </row>
    <row r="7" spans="2:14" x14ac:dyDescent="0.3">
      <c r="B7" s="6">
        <v>142</v>
      </c>
      <c r="C7" s="15"/>
      <c r="D7" s="11"/>
      <c r="E7" s="11"/>
      <c r="F7" s="10"/>
      <c r="H7" s="39">
        <v>71.400000000000006</v>
      </c>
      <c r="I7" s="39"/>
      <c r="J7" s="39"/>
      <c r="N7" s="16"/>
    </row>
    <row r="8" spans="2:14" x14ac:dyDescent="0.3">
      <c r="B8" s="6">
        <v>144</v>
      </c>
      <c r="C8" s="15"/>
      <c r="D8" s="11"/>
      <c r="E8" s="11">
        <v>81.599999999999994</v>
      </c>
      <c r="F8" s="10"/>
      <c r="H8" s="39"/>
      <c r="I8" s="39"/>
      <c r="J8" s="39"/>
      <c r="N8" s="16"/>
    </row>
    <row r="9" spans="2:14" x14ac:dyDescent="0.3">
      <c r="B9" s="6">
        <v>149</v>
      </c>
      <c r="C9" s="15">
        <v>55.833333333333336</v>
      </c>
      <c r="D9" s="11"/>
      <c r="E9" s="11">
        <v>123.2</v>
      </c>
      <c r="F9" s="10"/>
      <c r="H9" s="39">
        <v>80.599999999999994</v>
      </c>
      <c r="I9" s="39"/>
      <c r="J9" s="39"/>
      <c r="N9" s="16"/>
    </row>
    <row r="10" spans="2:14" x14ac:dyDescent="0.3">
      <c r="B10" s="6">
        <v>154</v>
      </c>
      <c r="C10" s="15">
        <v>77.333333333333329</v>
      </c>
      <c r="D10" s="11"/>
      <c r="E10" s="11"/>
      <c r="F10" s="10"/>
      <c r="H10" s="39"/>
      <c r="I10" s="39"/>
      <c r="J10" s="39"/>
    </row>
    <row r="11" spans="2:14" x14ac:dyDescent="0.3">
      <c r="B11" s="6">
        <v>155</v>
      </c>
      <c r="C11" s="15"/>
      <c r="D11" s="11"/>
      <c r="E11" s="11"/>
      <c r="F11" s="10"/>
      <c r="H11" s="39"/>
      <c r="I11" s="39">
        <v>156</v>
      </c>
      <c r="J11" s="39"/>
    </row>
    <row r="12" spans="2:14" x14ac:dyDescent="0.3">
      <c r="B12" s="6">
        <v>157</v>
      </c>
      <c r="C12" s="15"/>
      <c r="D12" s="11"/>
      <c r="E12" s="11">
        <v>100.2</v>
      </c>
      <c r="F12" s="10">
        <v>72.3</v>
      </c>
      <c r="H12" s="39"/>
      <c r="I12" s="39"/>
      <c r="J12" s="39"/>
    </row>
    <row r="13" spans="2:14" x14ac:dyDescent="0.3">
      <c r="B13" s="6">
        <v>162</v>
      </c>
      <c r="C13" s="15"/>
      <c r="D13" s="11"/>
      <c r="E13" s="11"/>
      <c r="F13" s="10">
        <v>130.5</v>
      </c>
      <c r="H13" s="39"/>
      <c r="I13" s="39"/>
      <c r="J13" s="39"/>
    </row>
    <row r="14" spans="2:14" x14ac:dyDescent="0.3">
      <c r="B14" s="6">
        <v>163</v>
      </c>
      <c r="C14" s="15">
        <v>86</v>
      </c>
      <c r="D14" s="11"/>
      <c r="E14" s="11"/>
      <c r="F14" s="10"/>
      <c r="H14" s="39"/>
      <c r="I14" s="39">
        <v>134</v>
      </c>
      <c r="J14" s="39"/>
      <c r="N14" s="16"/>
    </row>
    <row r="15" spans="2:14" x14ac:dyDescent="0.3">
      <c r="B15" s="6">
        <v>164</v>
      </c>
      <c r="C15" s="15"/>
      <c r="D15" s="11"/>
      <c r="E15" s="11"/>
      <c r="F15" s="10"/>
      <c r="H15" s="39">
        <v>60.8</v>
      </c>
      <c r="I15" s="39"/>
      <c r="J15" s="39"/>
      <c r="N15" s="16"/>
    </row>
    <row r="16" spans="2:14" x14ac:dyDescent="0.3">
      <c r="B16" s="6">
        <v>165</v>
      </c>
      <c r="C16" s="15"/>
      <c r="D16" s="11"/>
      <c r="E16" s="11">
        <v>82.4</v>
      </c>
      <c r="F16" s="10"/>
      <c r="H16" s="39"/>
      <c r="I16" s="39"/>
      <c r="J16" s="39"/>
      <c r="N16" s="16"/>
    </row>
    <row r="17" spans="2:14" x14ac:dyDescent="0.3">
      <c r="B17" s="6">
        <v>168</v>
      </c>
      <c r="C17" s="15">
        <v>93.166666666666671</v>
      </c>
      <c r="D17" s="11">
        <v>40.299999999999997</v>
      </c>
      <c r="E17" s="11"/>
      <c r="F17" s="10"/>
      <c r="H17" s="39"/>
      <c r="I17" s="39"/>
      <c r="J17" s="39"/>
      <c r="N17" s="16"/>
    </row>
    <row r="18" spans="2:14" x14ac:dyDescent="0.3">
      <c r="B18" s="6">
        <v>170</v>
      </c>
      <c r="C18" s="15"/>
      <c r="D18" s="11"/>
      <c r="E18" s="11"/>
      <c r="F18" s="10"/>
      <c r="H18" s="39"/>
      <c r="I18" s="39">
        <v>138</v>
      </c>
      <c r="J18" s="39"/>
      <c r="N18" s="16"/>
    </row>
    <row r="19" spans="2:14" x14ac:dyDescent="0.3">
      <c r="B19" s="6">
        <v>172</v>
      </c>
      <c r="C19" s="15"/>
      <c r="D19" s="11"/>
      <c r="E19" s="11"/>
      <c r="F19" s="10"/>
      <c r="H19" s="39">
        <v>34</v>
      </c>
      <c r="I19" s="39"/>
      <c r="J19" s="39"/>
      <c r="N19" s="16"/>
    </row>
    <row r="20" spans="2:14" x14ac:dyDescent="0.3">
      <c r="B20" s="6">
        <v>173</v>
      </c>
      <c r="C20" s="15"/>
      <c r="D20" s="11"/>
      <c r="E20" s="11">
        <v>39.200000000000003</v>
      </c>
      <c r="F20" s="10"/>
      <c r="H20" s="39"/>
      <c r="I20" s="39"/>
      <c r="J20" s="39"/>
      <c r="N20" s="16"/>
    </row>
    <row r="21" spans="2:14" x14ac:dyDescent="0.3">
      <c r="B21" s="6">
        <v>177</v>
      </c>
      <c r="C21" s="15"/>
      <c r="D21" s="11"/>
      <c r="E21" s="11"/>
      <c r="F21" s="10">
        <v>182.2</v>
      </c>
      <c r="H21" s="39"/>
      <c r="I21" s="39">
        <v>102</v>
      </c>
      <c r="J21" s="39"/>
      <c r="N21" s="16"/>
    </row>
    <row r="22" spans="2:14" x14ac:dyDescent="0.3">
      <c r="B22" s="6">
        <v>178</v>
      </c>
      <c r="C22" s="15"/>
      <c r="D22" s="11">
        <v>74.3</v>
      </c>
      <c r="E22" s="11"/>
      <c r="F22" s="10"/>
      <c r="H22" s="39"/>
      <c r="I22" s="39"/>
      <c r="J22" s="39"/>
      <c r="N22" s="16"/>
    </row>
    <row r="23" spans="2:14" x14ac:dyDescent="0.3">
      <c r="B23" s="6">
        <v>179</v>
      </c>
      <c r="C23" s="15"/>
      <c r="D23" s="11"/>
      <c r="E23" s="11">
        <v>27.4</v>
      </c>
      <c r="F23" s="10"/>
      <c r="H23" s="39"/>
      <c r="I23" s="39"/>
      <c r="J23" s="39"/>
      <c r="N23" s="16"/>
    </row>
    <row r="24" spans="2:14" x14ac:dyDescent="0.3">
      <c r="B24" s="6">
        <v>184</v>
      </c>
      <c r="C24" s="15">
        <v>117.33333333333333</v>
      </c>
      <c r="D24" s="11"/>
      <c r="E24" s="11"/>
      <c r="F24" s="10"/>
      <c r="H24" s="39"/>
      <c r="I24" s="39">
        <v>129</v>
      </c>
      <c r="J24" s="39"/>
    </row>
    <row r="25" spans="2:14" x14ac:dyDescent="0.3">
      <c r="B25" s="6">
        <v>185</v>
      </c>
      <c r="C25" s="15"/>
      <c r="D25" s="11"/>
      <c r="E25" s="11"/>
      <c r="F25" s="10"/>
      <c r="H25" s="39">
        <v>47.8</v>
      </c>
      <c r="I25" s="39"/>
      <c r="J25" s="39"/>
    </row>
    <row r="26" spans="2:14" x14ac:dyDescent="0.3">
      <c r="B26" s="6">
        <v>186</v>
      </c>
      <c r="C26" s="15"/>
      <c r="D26" s="11">
        <v>53.5</v>
      </c>
      <c r="E26" s="11"/>
      <c r="F26" s="10"/>
      <c r="H26" s="39"/>
      <c r="I26" s="39"/>
      <c r="J26" s="39"/>
    </row>
    <row r="27" spans="2:14" x14ac:dyDescent="0.3">
      <c r="B27" s="6">
        <v>191</v>
      </c>
      <c r="C27" s="15"/>
      <c r="D27" s="11"/>
      <c r="E27" s="11"/>
      <c r="F27" s="10"/>
      <c r="H27" s="39"/>
      <c r="I27" s="39">
        <v>86</v>
      </c>
      <c r="J27" s="39"/>
    </row>
    <row r="28" spans="2:14" x14ac:dyDescent="0.3">
      <c r="B28" s="6">
        <v>192</v>
      </c>
      <c r="C28" s="15"/>
      <c r="D28" s="11"/>
      <c r="E28" s="11">
        <v>33.799999999999997</v>
      </c>
      <c r="F28" s="10">
        <v>119.8</v>
      </c>
      <c r="H28" s="39"/>
      <c r="I28" s="39"/>
      <c r="J28" s="39"/>
    </row>
    <row r="29" spans="2:14" x14ac:dyDescent="0.3">
      <c r="B29" s="6">
        <v>193</v>
      </c>
      <c r="C29" s="15"/>
      <c r="D29" s="11">
        <v>87.5</v>
      </c>
      <c r="E29" s="11"/>
      <c r="F29" s="10"/>
      <c r="H29" s="39"/>
      <c r="I29" s="39"/>
      <c r="J29" s="39"/>
    </row>
    <row r="30" spans="2:14" x14ac:dyDescent="0.3">
      <c r="B30" s="6">
        <v>198</v>
      </c>
      <c r="C30" s="15">
        <v>133</v>
      </c>
      <c r="D30" s="11"/>
      <c r="E30" s="11"/>
      <c r="F30" s="10"/>
      <c r="H30" s="39">
        <v>39.6</v>
      </c>
      <c r="I30" s="39"/>
      <c r="J30" s="39"/>
      <c r="N30" s="16"/>
    </row>
    <row r="31" spans="2:14" x14ac:dyDescent="0.3">
      <c r="B31" s="6">
        <v>205</v>
      </c>
      <c r="C31" s="15"/>
      <c r="D31" s="11"/>
      <c r="E31" s="11"/>
      <c r="F31" s="10">
        <v>139.5</v>
      </c>
      <c r="H31" s="39"/>
      <c r="I31" s="39"/>
      <c r="J31" s="39"/>
      <c r="N31" s="16"/>
    </row>
    <row r="32" spans="2:14" x14ac:dyDescent="0.3">
      <c r="B32" s="6">
        <v>206</v>
      </c>
      <c r="C32" s="15"/>
      <c r="D32" s="11">
        <v>48.3</v>
      </c>
      <c r="E32" s="11">
        <v>31.4</v>
      </c>
      <c r="F32" s="10"/>
      <c r="H32" s="39"/>
      <c r="I32" s="39"/>
      <c r="J32" s="39"/>
      <c r="N32" s="16"/>
    </row>
    <row r="33" spans="2:14" x14ac:dyDescent="0.3">
      <c r="B33" s="6">
        <v>212</v>
      </c>
      <c r="C33" s="15">
        <v>154.83333333333334</v>
      </c>
      <c r="D33" s="11"/>
      <c r="E33" s="11"/>
      <c r="F33" s="10"/>
      <c r="H33" s="39">
        <v>17</v>
      </c>
      <c r="I33" s="39"/>
      <c r="J33" s="39"/>
      <c r="N33" s="16"/>
    </row>
    <row r="34" spans="2:14" x14ac:dyDescent="0.3">
      <c r="B34" s="6">
        <v>218</v>
      </c>
      <c r="C34" s="15"/>
      <c r="D34" s="11"/>
      <c r="E34" s="11"/>
      <c r="F34" s="10">
        <v>115.7</v>
      </c>
      <c r="H34" s="39"/>
      <c r="I34" s="39"/>
      <c r="J34" s="39"/>
      <c r="N34" s="16"/>
    </row>
    <row r="35" spans="2:14" x14ac:dyDescent="0.3">
      <c r="B35" s="6">
        <v>219</v>
      </c>
      <c r="C35" s="15"/>
      <c r="D35" s="11"/>
      <c r="E35" s="11"/>
      <c r="F35" s="10"/>
      <c r="H35" s="39"/>
      <c r="I35" s="39">
        <v>41.6</v>
      </c>
      <c r="J35" s="39"/>
      <c r="N35" s="16"/>
    </row>
    <row r="36" spans="2:14" x14ac:dyDescent="0.3">
      <c r="B36" s="6">
        <v>220</v>
      </c>
      <c r="C36" s="15"/>
      <c r="D36" s="11"/>
      <c r="E36" s="11">
        <v>18.600000000000001</v>
      </c>
      <c r="F36" s="10"/>
      <c r="H36" s="39"/>
      <c r="I36" s="39"/>
      <c r="J36" s="39"/>
      <c r="N36" s="16"/>
    </row>
    <row r="37" spans="2:14" x14ac:dyDescent="0.3">
      <c r="B37" s="6">
        <v>221</v>
      </c>
      <c r="C37" s="15"/>
      <c r="D37" s="11">
        <v>26.5</v>
      </c>
      <c r="E37" s="11"/>
      <c r="F37" s="10"/>
      <c r="H37" s="39"/>
      <c r="I37" s="39"/>
      <c r="J37" s="39"/>
      <c r="N37" s="16"/>
    </row>
    <row r="38" spans="2:14" x14ac:dyDescent="0.3">
      <c r="B38" s="6">
        <v>226</v>
      </c>
      <c r="C38" s="13">
        <v>134.33333333333334</v>
      </c>
      <c r="D38" s="11"/>
      <c r="E38" s="11"/>
      <c r="F38" s="10"/>
      <c r="H38" s="39">
        <v>32.6</v>
      </c>
      <c r="I38" s="39"/>
      <c r="J38" s="39"/>
    </row>
    <row r="39" spans="2:14" x14ac:dyDescent="0.3">
      <c r="B39" s="6">
        <v>234</v>
      </c>
      <c r="C39" s="13"/>
      <c r="D39" s="11"/>
      <c r="E39" s="11">
        <v>21.8</v>
      </c>
      <c r="F39" s="10">
        <v>90.3</v>
      </c>
      <c r="H39" s="39"/>
      <c r="I39" s="39">
        <v>78</v>
      </c>
      <c r="J39" s="39"/>
    </row>
    <row r="40" spans="2:14" x14ac:dyDescent="0.3">
      <c r="B40" s="6">
        <v>235</v>
      </c>
      <c r="C40" s="13"/>
      <c r="D40" s="11">
        <v>18</v>
      </c>
      <c r="E40" s="11"/>
      <c r="F40" s="10"/>
      <c r="H40" s="39"/>
      <c r="I40" s="39"/>
      <c r="J40" s="39"/>
    </row>
    <row r="41" spans="2:14" x14ac:dyDescent="0.3">
      <c r="B41" s="6">
        <v>246</v>
      </c>
      <c r="C41" s="13"/>
      <c r="D41" s="11">
        <v>13</v>
      </c>
      <c r="E41" s="11"/>
      <c r="F41" s="10">
        <v>94.8</v>
      </c>
      <c r="H41" s="39"/>
      <c r="I41" s="39"/>
      <c r="J41" s="39"/>
    </row>
    <row r="42" spans="2:14" x14ac:dyDescent="0.3">
      <c r="B42" s="6">
        <v>248</v>
      </c>
      <c r="C42" s="13"/>
      <c r="D42" s="11"/>
      <c r="E42" s="11"/>
      <c r="F42" s="10"/>
      <c r="H42" s="39"/>
      <c r="I42" s="39">
        <v>68.400000000000006</v>
      </c>
      <c r="J42" s="39"/>
    </row>
    <row r="43" spans="2:14" x14ac:dyDescent="0.3">
      <c r="B43" s="6">
        <v>265</v>
      </c>
      <c r="C43" s="13"/>
      <c r="D43" s="11">
        <v>19.7</v>
      </c>
      <c r="E43" s="11"/>
      <c r="F43" s="10"/>
      <c r="H43" s="39"/>
      <c r="I43" s="39"/>
      <c r="J43" s="39"/>
    </row>
    <row r="44" spans="2:14" x14ac:dyDescent="0.3">
      <c r="B44" s="6"/>
      <c r="C44" s="1"/>
      <c r="D44" s="1"/>
      <c r="E44" s="1"/>
      <c r="F44" s="2"/>
      <c r="H44" s="39"/>
      <c r="I44" s="39"/>
      <c r="J44" s="39"/>
      <c r="N44" s="16"/>
    </row>
    <row r="45" spans="2:14" x14ac:dyDescent="0.3">
      <c r="B45" s="6" t="s">
        <v>6</v>
      </c>
      <c r="C45" s="13">
        <f>AVERAGE(C5:C43)</f>
        <v>96.250000000000014</v>
      </c>
      <c r="D45" s="13">
        <f>AVERAGE(D5:D43)</f>
        <v>42.344444444444441</v>
      </c>
      <c r="E45" s="13">
        <f>AVERAGE(E5:E43)</f>
        <v>55.959999999999994</v>
      </c>
      <c r="F45" s="13">
        <f>AVERAGE(F5:F43)</f>
        <v>118.13749999999999</v>
      </c>
      <c r="H45" s="13">
        <f>AVERAGE(H5:H43)</f>
        <v>47.975000000000009</v>
      </c>
      <c r="I45" s="13">
        <f>AVERAGE(I5:I43)</f>
        <v>103.66666666666667</v>
      </c>
      <c r="J45" s="39"/>
      <c r="N45" s="16"/>
    </row>
    <row r="46" spans="2:14" x14ac:dyDescent="0.3">
      <c r="B46" s="6" t="s">
        <v>7</v>
      </c>
      <c r="C46" s="13">
        <f>MIN(C5:C43)</f>
        <v>37.5</v>
      </c>
      <c r="D46" s="13">
        <f>MIN(D5:D43)</f>
        <v>13</v>
      </c>
      <c r="E46" s="13">
        <f>MIN(E5:E43)</f>
        <v>18.600000000000001</v>
      </c>
      <c r="F46" s="13">
        <f>MIN(F5:F43)</f>
        <v>72.3</v>
      </c>
      <c r="H46" s="13">
        <f>MIN(H5:H43)</f>
        <v>17</v>
      </c>
      <c r="I46" s="13">
        <f>MIN(I5:I43)</f>
        <v>41.6</v>
      </c>
      <c r="J46" s="39"/>
    </row>
    <row r="47" spans="2:14" x14ac:dyDescent="0.3">
      <c r="B47" s="6" t="s">
        <v>8</v>
      </c>
      <c r="C47" s="13">
        <f>MAX(C5:C43)</f>
        <v>154.83333333333334</v>
      </c>
      <c r="D47" s="13">
        <f>MAX(D5:D43)</f>
        <v>87.5</v>
      </c>
      <c r="E47" s="13">
        <f>MAX(E5:E43)</f>
        <v>123.2</v>
      </c>
      <c r="F47" s="13">
        <f>MAX(F5:F43)</f>
        <v>182.2</v>
      </c>
      <c r="H47" s="13">
        <f>MAX(H5:H43)</f>
        <v>80.599999999999994</v>
      </c>
      <c r="I47" s="13">
        <f>MAX(I5:I43)</f>
        <v>156</v>
      </c>
      <c r="J47" s="39"/>
      <c r="N47" s="15"/>
    </row>
    <row r="48" spans="2:14" x14ac:dyDescent="0.3">
      <c r="B48" s="6"/>
      <c r="C48" s="1"/>
      <c r="D48" s="1"/>
      <c r="E48" s="1"/>
      <c r="F48" s="2"/>
      <c r="N48" s="16"/>
    </row>
    <row r="49" spans="2:14" x14ac:dyDescent="0.3">
      <c r="B49" s="7"/>
      <c r="C49" s="1"/>
      <c r="D49" s="1"/>
      <c r="E49" s="1"/>
      <c r="F49" s="3"/>
    </row>
    <row r="50" spans="2:14" x14ac:dyDescent="0.3">
      <c r="N50" s="15"/>
    </row>
    <row r="51" spans="2:14" x14ac:dyDescent="0.3">
      <c r="N51" s="16"/>
    </row>
    <row r="53" spans="2:14" x14ac:dyDescent="0.3">
      <c r="N53" s="15"/>
    </row>
    <row r="54" spans="2:14" x14ac:dyDescent="0.3">
      <c r="N54" s="16"/>
    </row>
    <row r="56" spans="2:14" x14ac:dyDescent="0.3">
      <c r="N56" s="15"/>
    </row>
    <row r="57" spans="2:14" x14ac:dyDescent="0.3">
      <c r="N57" s="16"/>
    </row>
    <row r="59" spans="2:14" x14ac:dyDescent="0.3">
      <c r="N59" s="16"/>
    </row>
    <row r="60" spans="2:14" x14ac:dyDescent="0.3">
      <c r="N60" s="16"/>
    </row>
  </sheetData>
  <mergeCells count="1">
    <mergeCell ref="C2:F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60053-85C5-493C-8D01-E60F58BE3C65}">
  <dimension ref="B2:N62"/>
  <sheetViews>
    <sheetView topLeftCell="A24" workbookViewId="0">
      <selection activeCell="N40" sqref="N40"/>
    </sheetView>
  </sheetViews>
  <sheetFormatPr defaultRowHeight="15.6" x14ac:dyDescent="0.3"/>
  <cols>
    <col min="2" max="2" width="8.88671875" style="4"/>
    <col min="8" max="10" width="8.88671875" style="38"/>
    <col min="14" max="14" width="12.6640625" style="9" bestFit="1" customWidth="1"/>
  </cols>
  <sheetData>
    <row r="2" spans="2:14" x14ac:dyDescent="0.3">
      <c r="C2" s="34" t="s">
        <v>5</v>
      </c>
      <c r="D2" s="34"/>
      <c r="E2" s="34"/>
      <c r="F2" s="34"/>
    </row>
    <row r="3" spans="2:14" x14ac:dyDescent="0.3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H3" s="33" t="s">
        <v>9</v>
      </c>
      <c r="I3" s="33" t="s">
        <v>10</v>
      </c>
      <c r="J3" s="33" t="s">
        <v>11</v>
      </c>
    </row>
    <row r="4" spans="2:14" x14ac:dyDescent="0.3">
      <c r="B4" s="33">
        <v>128</v>
      </c>
      <c r="C4" s="33"/>
      <c r="D4" s="33"/>
      <c r="E4" s="33"/>
      <c r="F4" s="33"/>
      <c r="H4" s="35">
        <v>0.2</v>
      </c>
      <c r="I4" s="35"/>
      <c r="J4" s="35"/>
    </row>
    <row r="5" spans="2:14" x14ac:dyDescent="0.3">
      <c r="B5" s="6">
        <v>134</v>
      </c>
      <c r="C5" s="15">
        <v>1.8333333333333333</v>
      </c>
      <c r="D5" s="11"/>
      <c r="E5" s="11"/>
      <c r="F5" s="10"/>
      <c r="H5" s="39"/>
      <c r="I5" s="39"/>
      <c r="J5" s="39"/>
      <c r="K5" s="15"/>
    </row>
    <row r="6" spans="2:14" x14ac:dyDescent="0.3">
      <c r="B6" s="6">
        <v>140</v>
      </c>
      <c r="C6" s="15">
        <v>1</v>
      </c>
      <c r="D6" s="11"/>
      <c r="E6" s="11"/>
      <c r="F6" s="10"/>
      <c r="H6" s="39"/>
      <c r="I6" s="39"/>
      <c r="J6" s="39"/>
      <c r="N6" s="16"/>
    </row>
    <row r="7" spans="2:14" x14ac:dyDescent="0.3">
      <c r="B7" s="6">
        <v>142</v>
      </c>
      <c r="C7" s="15"/>
      <c r="D7" s="11"/>
      <c r="E7" s="11"/>
      <c r="F7" s="10"/>
      <c r="H7" s="39">
        <v>0.2</v>
      </c>
      <c r="I7" s="39"/>
      <c r="J7" s="39"/>
      <c r="N7" s="16"/>
    </row>
    <row r="8" spans="2:14" x14ac:dyDescent="0.3">
      <c r="B8" s="6">
        <v>144</v>
      </c>
      <c r="C8" s="15"/>
      <c r="D8" s="11"/>
      <c r="E8" s="11">
        <v>0.2</v>
      </c>
      <c r="F8" s="10"/>
      <c r="H8" s="39"/>
      <c r="I8" s="39"/>
      <c r="J8" s="39"/>
      <c r="N8" s="16"/>
    </row>
    <row r="9" spans="2:14" x14ac:dyDescent="0.3">
      <c r="B9" s="6">
        <v>149</v>
      </c>
      <c r="C9" s="15">
        <v>0</v>
      </c>
      <c r="D9" s="11"/>
      <c r="E9" s="11">
        <v>0.2</v>
      </c>
      <c r="F9" s="10"/>
      <c r="H9" s="39">
        <v>0.2</v>
      </c>
      <c r="I9" s="39"/>
      <c r="J9" s="39"/>
      <c r="K9" s="15"/>
      <c r="N9" s="16"/>
    </row>
    <row r="10" spans="2:14" x14ac:dyDescent="0.3">
      <c r="B10" s="6">
        <v>154</v>
      </c>
      <c r="C10" s="15">
        <v>0.33333333333333331</v>
      </c>
      <c r="D10" s="11"/>
      <c r="E10" s="11"/>
      <c r="F10" s="10"/>
      <c r="H10" s="39"/>
      <c r="I10" s="39"/>
      <c r="J10" s="39"/>
      <c r="K10" s="15"/>
    </row>
    <row r="11" spans="2:14" x14ac:dyDescent="0.3">
      <c r="B11" s="6">
        <v>155</v>
      </c>
      <c r="C11" s="15"/>
      <c r="D11" s="11"/>
      <c r="E11" s="11"/>
      <c r="F11" s="10"/>
      <c r="H11" s="39"/>
      <c r="I11" s="39">
        <v>14</v>
      </c>
      <c r="J11" s="39"/>
      <c r="K11" s="15"/>
    </row>
    <row r="12" spans="2:14" x14ac:dyDescent="0.3">
      <c r="B12" s="6">
        <v>156</v>
      </c>
      <c r="C12" s="15"/>
      <c r="D12" s="11"/>
      <c r="E12" s="11"/>
      <c r="F12" s="10"/>
      <c r="H12" s="39">
        <v>0.2</v>
      </c>
      <c r="I12" s="39"/>
      <c r="J12" s="39"/>
      <c r="K12" s="15"/>
    </row>
    <row r="13" spans="2:14" x14ac:dyDescent="0.3">
      <c r="B13" s="6">
        <v>157</v>
      </c>
      <c r="C13" s="15"/>
      <c r="D13" s="11"/>
      <c r="E13" s="11">
        <v>0.2</v>
      </c>
      <c r="F13" s="10">
        <v>6.3</v>
      </c>
      <c r="H13" s="39"/>
      <c r="I13" s="39"/>
      <c r="J13" s="39"/>
      <c r="K13" s="15"/>
    </row>
    <row r="14" spans="2:14" x14ac:dyDescent="0.3">
      <c r="B14" s="6">
        <v>162</v>
      </c>
      <c r="C14" s="15"/>
      <c r="D14" s="11"/>
      <c r="E14" s="11"/>
      <c r="F14" s="10">
        <v>1</v>
      </c>
      <c r="H14" s="39"/>
      <c r="I14" s="39"/>
      <c r="J14" s="39"/>
      <c r="K14" s="15"/>
    </row>
    <row r="15" spans="2:14" x14ac:dyDescent="0.3">
      <c r="B15" s="6">
        <v>163</v>
      </c>
      <c r="C15" s="15">
        <v>0.5</v>
      </c>
      <c r="D15" s="11"/>
      <c r="E15" s="11"/>
      <c r="F15" s="10"/>
      <c r="H15" s="39"/>
      <c r="I15" s="39">
        <v>2</v>
      </c>
      <c r="J15" s="39"/>
      <c r="N15" s="16"/>
    </row>
    <row r="16" spans="2:14" x14ac:dyDescent="0.3">
      <c r="B16" s="6">
        <v>164</v>
      </c>
      <c r="C16" s="15"/>
      <c r="D16" s="11"/>
      <c r="E16" s="11"/>
      <c r="F16" s="10"/>
      <c r="H16" s="39">
        <v>0</v>
      </c>
      <c r="I16" s="39"/>
      <c r="J16" s="39"/>
      <c r="N16" s="16"/>
    </row>
    <row r="17" spans="2:14" x14ac:dyDescent="0.3">
      <c r="B17" s="6">
        <v>165</v>
      </c>
      <c r="C17" s="15"/>
      <c r="D17" s="11"/>
      <c r="E17" s="11">
        <v>0</v>
      </c>
      <c r="F17" s="10"/>
      <c r="H17" s="39"/>
      <c r="I17" s="39"/>
      <c r="J17" s="39"/>
      <c r="N17" s="16"/>
    </row>
    <row r="18" spans="2:14" x14ac:dyDescent="0.3">
      <c r="B18" s="6">
        <v>168</v>
      </c>
      <c r="C18" s="15">
        <v>0.5</v>
      </c>
      <c r="D18" s="11">
        <v>9.5</v>
      </c>
      <c r="E18" s="11"/>
      <c r="F18" s="10"/>
      <c r="H18" s="39"/>
      <c r="I18" s="39"/>
      <c r="J18" s="39"/>
      <c r="K18" s="15"/>
      <c r="N18" s="16"/>
    </row>
    <row r="19" spans="2:14" x14ac:dyDescent="0.3">
      <c r="B19" s="6">
        <v>170</v>
      </c>
      <c r="C19" s="15"/>
      <c r="D19" s="11"/>
      <c r="E19" s="11"/>
      <c r="F19" s="10">
        <v>2.7</v>
      </c>
      <c r="H19" s="39"/>
      <c r="I19" s="39">
        <v>0</v>
      </c>
      <c r="J19" s="39"/>
      <c r="K19" s="15"/>
      <c r="N19" s="16"/>
    </row>
    <row r="20" spans="2:14" x14ac:dyDescent="0.3">
      <c r="B20" s="6">
        <v>172</v>
      </c>
      <c r="C20" s="15"/>
      <c r="D20" s="11"/>
      <c r="E20" s="11"/>
      <c r="F20" s="10"/>
      <c r="H20" s="39">
        <v>0.4</v>
      </c>
      <c r="I20" s="39"/>
      <c r="J20" s="39"/>
      <c r="K20" s="15"/>
      <c r="N20" s="16"/>
    </row>
    <row r="21" spans="2:14" x14ac:dyDescent="0.3">
      <c r="B21" s="6">
        <v>173</v>
      </c>
      <c r="C21" s="15"/>
      <c r="D21" s="11"/>
      <c r="E21" s="11">
        <v>0</v>
      </c>
      <c r="F21" s="10"/>
      <c r="H21" s="39"/>
      <c r="I21" s="39"/>
      <c r="J21" s="39"/>
      <c r="K21" s="15"/>
      <c r="N21" s="16"/>
    </row>
    <row r="22" spans="2:14" x14ac:dyDescent="0.3">
      <c r="B22" s="6">
        <v>177</v>
      </c>
      <c r="C22" s="15"/>
      <c r="D22" s="11"/>
      <c r="E22" s="11"/>
      <c r="F22" s="10">
        <v>2.2999999999999998</v>
      </c>
      <c r="H22" s="39"/>
      <c r="I22" s="39">
        <v>0.8</v>
      </c>
      <c r="J22" s="39"/>
      <c r="K22" s="15"/>
      <c r="N22" s="16"/>
    </row>
    <row r="23" spans="2:14" x14ac:dyDescent="0.3">
      <c r="B23" s="6">
        <v>178</v>
      </c>
      <c r="C23" s="15"/>
      <c r="D23" s="11">
        <v>7.3</v>
      </c>
      <c r="E23" s="11"/>
      <c r="F23" s="10"/>
      <c r="H23" s="39"/>
      <c r="I23" s="39"/>
      <c r="J23" s="39"/>
      <c r="K23" s="15"/>
      <c r="N23" s="16"/>
    </row>
    <row r="24" spans="2:14" x14ac:dyDescent="0.3">
      <c r="B24" s="6">
        <v>179</v>
      </c>
      <c r="C24" s="15"/>
      <c r="D24" s="11"/>
      <c r="E24" s="11">
        <v>0</v>
      </c>
      <c r="F24" s="10"/>
      <c r="H24" s="39"/>
      <c r="I24" s="39"/>
      <c r="J24" s="39"/>
      <c r="K24" s="15"/>
      <c r="N24" s="16"/>
    </row>
    <row r="25" spans="2:14" x14ac:dyDescent="0.3">
      <c r="B25" s="6">
        <v>184</v>
      </c>
      <c r="C25" s="15">
        <v>1.1666666666666667</v>
      </c>
      <c r="D25" s="11"/>
      <c r="E25" s="11"/>
      <c r="F25" s="10"/>
      <c r="H25" s="39"/>
      <c r="I25" s="39">
        <v>0.8</v>
      </c>
      <c r="J25" s="39"/>
      <c r="K25" s="15"/>
    </row>
    <row r="26" spans="2:14" x14ac:dyDescent="0.3">
      <c r="B26" s="6">
        <v>185</v>
      </c>
      <c r="C26" s="15"/>
      <c r="D26" s="11"/>
      <c r="E26" s="11"/>
      <c r="F26" s="10"/>
      <c r="H26" s="39">
        <v>1.6</v>
      </c>
      <c r="I26" s="39"/>
      <c r="J26" s="39"/>
      <c r="K26" s="15"/>
    </row>
    <row r="27" spans="2:14" x14ac:dyDescent="0.3">
      <c r="B27" s="6">
        <v>186</v>
      </c>
      <c r="C27" s="15"/>
      <c r="D27" s="11">
        <v>4.2</v>
      </c>
      <c r="E27" s="11"/>
      <c r="F27" s="10"/>
      <c r="H27" s="39"/>
      <c r="I27" s="39"/>
      <c r="J27" s="39"/>
      <c r="K27" s="15"/>
    </row>
    <row r="28" spans="2:14" x14ac:dyDescent="0.3">
      <c r="B28" s="6">
        <v>191</v>
      </c>
      <c r="C28" s="15"/>
      <c r="D28" s="11"/>
      <c r="E28" s="11"/>
      <c r="F28" s="10"/>
      <c r="H28" s="39"/>
      <c r="I28" s="39">
        <v>0.4</v>
      </c>
      <c r="J28" s="39"/>
      <c r="K28" s="15"/>
    </row>
    <row r="29" spans="2:14" x14ac:dyDescent="0.3">
      <c r="B29" s="6">
        <v>192</v>
      </c>
      <c r="C29" s="15"/>
      <c r="D29" s="11"/>
      <c r="E29" s="11">
        <v>0.6</v>
      </c>
      <c r="F29" s="10">
        <v>6.7</v>
      </c>
      <c r="H29" s="39"/>
      <c r="I29" s="39"/>
      <c r="J29" s="39"/>
      <c r="K29" s="15"/>
    </row>
    <row r="30" spans="2:14" x14ac:dyDescent="0.3">
      <c r="B30" s="6">
        <v>193</v>
      </c>
      <c r="C30" s="15"/>
      <c r="D30" s="11">
        <v>6</v>
      </c>
      <c r="E30" s="11"/>
      <c r="F30" s="10"/>
      <c r="H30" s="39"/>
      <c r="I30" s="39"/>
      <c r="J30" s="39"/>
      <c r="K30" s="15"/>
    </row>
    <row r="31" spans="2:14" x14ac:dyDescent="0.3">
      <c r="B31" s="6">
        <v>198</v>
      </c>
      <c r="C31" s="15">
        <v>0.66666666666666663</v>
      </c>
      <c r="D31" s="11"/>
      <c r="E31" s="11"/>
      <c r="F31" s="10"/>
      <c r="H31" s="39">
        <v>1.2</v>
      </c>
      <c r="I31" s="39"/>
      <c r="J31" s="39"/>
      <c r="N31" s="16"/>
    </row>
    <row r="32" spans="2:14" x14ac:dyDescent="0.3">
      <c r="B32" s="6">
        <v>205</v>
      </c>
      <c r="C32" s="15"/>
      <c r="D32" s="11"/>
      <c r="E32" s="11"/>
      <c r="F32" s="10">
        <v>7.2</v>
      </c>
      <c r="H32" s="39"/>
      <c r="I32" s="39">
        <v>1</v>
      </c>
      <c r="J32" s="39"/>
      <c r="N32" s="16"/>
    </row>
    <row r="33" spans="2:14" x14ac:dyDescent="0.3">
      <c r="B33" s="6">
        <v>206</v>
      </c>
      <c r="C33" s="15"/>
      <c r="D33" s="11">
        <v>11.8</v>
      </c>
      <c r="E33" s="11">
        <v>0.4</v>
      </c>
      <c r="F33" s="10"/>
      <c r="H33" s="39"/>
      <c r="I33" s="39"/>
      <c r="J33" s="39"/>
      <c r="N33" s="16"/>
    </row>
    <row r="34" spans="2:14" x14ac:dyDescent="0.3">
      <c r="B34" s="6">
        <v>212</v>
      </c>
      <c r="C34" s="15">
        <v>0.66666666666666663</v>
      </c>
      <c r="D34" s="11"/>
      <c r="E34" s="11"/>
      <c r="F34" s="10"/>
      <c r="H34" s="39">
        <v>3.4</v>
      </c>
      <c r="I34" s="39"/>
      <c r="J34" s="39"/>
      <c r="K34" s="15"/>
      <c r="N34" s="16"/>
    </row>
    <row r="35" spans="2:14" x14ac:dyDescent="0.3">
      <c r="B35" s="6">
        <v>218</v>
      </c>
      <c r="C35" s="15"/>
      <c r="D35" s="11"/>
      <c r="E35" s="11"/>
      <c r="F35" s="10">
        <v>13.7</v>
      </c>
      <c r="H35" s="39"/>
      <c r="I35" s="39"/>
      <c r="J35" s="39"/>
      <c r="K35" s="15"/>
      <c r="N35" s="16"/>
    </row>
    <row r="36" spans="2:14" x14ac:dyDescent="0.3">
      <c r="B36" s="6">
        <v>219</v>
      </c>
      <c r="C36" s="15"/>
      <c r="D36" s="11"/>
      <c r="E36" s="11"/>
      <c r="F36" s="10"/>
      <c r="H36" s="39"/>
      <c r="I36" s="39">
        <v>1</v>
      </c>
      <c r="J36" s="39"/>
      <c r="K36" s="15"/>
      <c r="N36" s="16"/>
    </row>
    <row r="37" spans="2:14" x14ac:dyDescent="0.3">
      <c r="B37" s="6">
        <v>220</v>
      </c>
      <c r="C37" s="15"/>
      <c r="D37" s="11"/>
      <c r="E37" s="11">
        <v>0</v>
      </c>
      <c r="F37" s="10"/>
      <c r="H37" s="39"/>
      <c r="I37" s="39"/>
      <c r="J37" s="39"/>
      <c r="K37" s="15"/>
      <c r="N37" s="16"/>
    </row>
    <row r="38" spans="2:14" x14ac:dyDescent="0.3">
      <c r="B38" s="6">
        <v>221</v>
      </c>
      <c r="C38" s="15"/>
      <c r="D38" s="11">
        <v>11.8</v>
      </c>
      <c r="E38" s="11"/>
      <c r="F38" s="10"/>
      <c r="H38" s="39"/>
      <c r="I38" s="39"/>
      <c r="J38" s="39"/>
      <c r="K38" s="15"/>
      <c r="N38" s="16"/>
    </row>
    <row r="39" spans="2:14" x14ac:dyDescent="0.3">
      <c r="B39" s="6">
        <v>226</v>
      </c>
      <c r="C39" s="13">
        <v>1.8333333333333333</v>
      </c>
      <c r="D39" s="11"/>
      <c r="E39" s="11"/>
      <c r="F39" s="10"/>
      <c r="H39" s="39">
        <v>3</v>
      </c>
      <c r="I39" s="39"/>
      <c r="J39" s="39"/>
      <c r="K39" s="15"/>
    </row>
    <row r="40" spans="2:14" x14ac:dyDescent="0.3">
      <c r="B40" s="6">
        <v>234</v>
      </c>
      <c r="C40" s="13"/>
      <c r="D40" s="11"/>
      <c r="E40" s="11">
        <v>0</v>
      </c>
      <c r="F40" s="10">
        <v>4.5</v>
      </c>
      <c r="H40" s="39"/>
      <c r="I40" s="39">
        <v>1</v>
      </c>
      <c r="J40" s="39"/>
      <c r="K40" s="15"/>
    </row>
    <row r="41" spans="2:14" x14ac:dyDescent="0.3">
      <c r="B41" s="6">
        <v>235</v>
      </c>
      <c r="C41" s="13"/>
      <c r="D41" s="11">
        <v>8.8000000000000007</v>
      </c>
      <c r="E41" s="11"/>
      <c r="F41" s="10"/>
      <c r="H41" s="39"/>
      <c r="I41" s="39"/>
      <c r="J41" s="39"/>
      <c r="K41" s="15"/>
    </row>
    <row r="42" spans="2:14" x14ac:dyDescent="0.3">
      <c r="B42" s="6">
        <v>246</v>
      </c>
      <c r="C42" s="13"/>
      <c r="D42" s="11">
        <v>3.8</v>
      </c>
      <c r="E42" s="11"/>
      <c r="F42" s="10">
        <v>4.8</v>
      </c>
      <c r="H42" s="39"/>
      <c r="I42" s="39"/>
      <c r="J42" s="39"/>
      <c r="K42" s="15"/>
    </row>
    <row r="43" spans="2:14" x14ac:dyDescent="0.3">
      <c r="B43" s="6">
        <v>248</v>
      </c>
      <c r="C43" s="13"/>
      <c r="D43" s="11"/>
      <c r="E43" s="11"/>
      <c r="F43" s="10"/>
      <c r="H43" s="39"/>
      <c r="I43" s="39">
        <v>2.4</v>
      </c>
      <c r="J43" s="39"/>
      <c r="K43" s="15"/>
    </row>
    <row r="44" spans="2:14" x14ac:dyDescent="0.3">
      <c r="B44" s="6">
        <v>265</v>
      </c>
      <c r="C44" s="13"/>
      <c r="D44" s="11">
        <v>6</v>
      </c>
      <c r="E44" s="11"/>
      <c r="F44" s="10"/>
      <c r="H44" s="39"/>
      <c r="I44" s="39"/>
      <c r="J44" s="39"/>
      <c r="K44" s="15"/>
    </row>
    <row r="45" spans="2:14" x14ac:dyDescent="0.3">
      <c r="B45" s="6"/>
      <c r="C45" s="1"/>
      <c r="D45" s="1"/>
      <c r="E45" s="1"/>
      <c r="F45" s="2"/>
      <c r="H45" s="39"/>
      <c r="I45" s="39"/>
      <c r="J45" s="39"/>
      <c r="N45" s="16"/>
    </row>
    <row r="46" spans="2:14" x14ac:dyDescent="0.3">
      <c r="B46" s="6" t="s">
        <v>6</v>
      </c>
      <c r="C46" s="13">
        <f>AVERAGE(C5:C44)</f>
        <v>0.85</v>
      </c>
      <c r="D46" s="13">
        <f>AVERAGE(D5:D44)</f>
        <v>7.6888888888888873</v>
      </c>
      <c r="E46" s="13">
        <f>AVERAGE(E5:E44)</f>
        <v>0.16</v>
      </c>
      <c r="F46" s="13">
        <f>AVERAGE(F5:F44)</f>
        <v>5.4666666666666659</v>
      </c>
      <c r="H46" s="13">
        <f>AVERAGE(H5:H44)</f>
        <v>1.1333333333333333</v>
      </c>
      <c r="I46" s="13">
        <f>AVERAGE(I5:I44)</f>
        <v>2.34</v>
      </c>
      <c r="J46" s="39"/>
      <c r="K46" s="15"/>
      <c r="N46" s="16"/>
    </row>
    <row r="47" spans="2:14" x14ac:dyDescent="0.3">
      <c r="B47" s="6" t="s">
        <v>7</v>
      </c>
      <c r="C47" s="13">
        <f>MIN(C5:C44)</f>
        <v>0</v>
      </c>
      <c r="D47" s="13">
        <f>MIN(D5:D44)</f>
        <v>3.8</v>
      </c>
      <c r="E47" s="13">
        <f>MIN(E5:E44)</f>
        <v>0</v>
      </c>
      <c r="F47" s="13">
        <f>MIN(F5:F44)</f>
        <v>1</v>
      </c>
      <c r="H47" s="13">
        <f>MIN(H5:H44)</f>
        <v>0</v>
      </c>
      <c r="I47" s="13">
        <f>MIN(I5:I44)</f>
        <v>0</v>
      </c>
      <c r="J47" s="39"/>
      <c r="K47" s="15"/>
    </row>
    <row r="48" spans="2:14" x14ac:dyDescent="0.3">
      <c r="B48" s="6" t="s">
        <v>8</v>
      </c>
      <c r="C48" s="13">
        <f>MAX(C5:C44)</f>
        <v>1.8333333333333333</v>
      </c>
      <c r="D48" s="13">
        <f>MAX(D5:D44)</f>
        <v>11.8</v>
      </c>
      <c r="E48" s="13">
        <f>MAX(E5:E44)</f>
        <v>0.6</v>
      </c>
      <c r="F48" s="13">
        <f>MAX(F5:F44)</f>
        <v>13.7</v>
      </c>
      <c r="H48" s="13">
        <f>MAX(H5:H44)</f>
        <v>3.4</v>
      </c>
      <c r="I48" s="13">
        <f>MAX(I5:I44)</f>
        <v>14</v>
      </c>
      <c r="J48" s="39"/>
      <c r="N48" s="15"/>
    </row>
    <row r="49" spans="2:14" x14ac:dyDescent="0.3">
      <c r="B49" s="6"/>
      <c r="C49" s="1"/>
      <c r="D49" s="1"/>
      <c r="E49" s="1"/>
      <c r="F49" s="2"/>
      <c r="N49" s="16"/>
    </row>
    <row r="50" spans="2:14" x14ac:dyDescent="0.3">
      <c r="B50" s="7"/>
      <c r="C50" s="1"/>
      <c r="D50" s="1"/>
      <c r="E50" s="1"/>
      <c r="F50" s="3"/>
    </row>
    <row r="51" spans="2:14" x14ac:dyDescent="0.3">
      <c r="N51" s="15"/>
    </row>
    <row r="52" spans="2:14" x14ac:dyDescent="0.3">
      <c r="N52" s="16"/>
    </row>
    <row r="54" spans="2:14" x14ac:dyDescent="0.3">
      <c r="N54" s="15"/>
    </row>
    <row r="55" spans="2:14" x14ac:dyDescent="0.3">
      <c r="N55" s="16"/>
    </row>
    <row r="57" spans="2:14" x14ac:dyDescent="0.3">
      <c r="N57" s="15"/>
    </row>
    <row r="58" spans="2:14" x14ac:dyDescent="0.3">
      <c r="N58" s="16"/>
    </row>
    <row r="60" spans="2:14" x14ac:dyDescent="0.3">
      <c r="N60" s="16"/>
    </row>
    <row r="61" spans="2:14" x14ac:dyDescent="0.3">
      <c r="N61" s="16"/>
    </row>
    <row r="62" spans="2:14" x14ac:dyDescent="0.3">
      <c r="K62" s="17"/>
    </row>
  </sheetData>
  <mergeCells count="1">
    <mergeCell ref="C2:F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1498B-F689-4EBE-9859-CE85D1E52A7E}">
  <dimension ref="B2:N62"/>
  <sheetViews>
    <sheetView topLeftCell="A23" workbookViewId="0">
      <selection activeCell="N46" sqref="N46"/>
    </sheetView>
  </sheetViews>
  <sheetFormatPr defaultRowHeight="15.6" x14ac:dyDescent="0.3"/>
  <cols>
    <col min="2" max="2" width="8.88671875" style="4"/>
    <col min="8" max="8" width="8.88671875" style="38"/>
    <col min="9" max="9" width="12.6640625" style="11" bestFit="1" customWidth="1"/>
    <col min="10" max="10" width="8.88671875" style="38"/>
    <col min="14" max="14" width="12.6640625" style="9" bestFit="1" customWidth="1"/>
  </cols>
  <sheetData>
    <row r="2" spans="2:14" x14ac:dyDescent="0.3">
      <c r="C2" s="34" t="s">
        <v>5</v>
      </c>
      <c r="D2" s="34"/>
      <c r="E2" s="34"/>
      <c r="F2" s="34"/>
      <c r="I2" s="16"/>
    </row>
    <row r="3" spans="2:14" x14ac:dyDescent="0.3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H3" s="33" t="s">
        <v>9</v>
      </c>
      <c r="I3" s="33" t="s">
        <v>10</v>
      </c>
      <c r="J3" s="33" t="s">
        <v>11</v>
      </c>
    </row>
    <row r="4" spans="2:14" x14ac:dyDescent="0.3">
      <c r="B4" s="33">
        <v>128</v>
      </c>
      <c r="C4" s="33"/>
      <c r="D4" s="33"/>
      <c r="E4" s="33"/>
      <c r="F4" s="33"/>
      <c r="H4" s="35">
        <v>7.2</v>
      </c>
      <c r="I4" s="35"/>
      <c r="J4" s="35"/>
    </row>
    <row r="5" spans="2:14" x14ac:dyDescent="0.3">
      <c r="B5" s="6">
        <v>134</v>
      </c>
      <c r="C5" s="15">
        <v>8.5</v>
      </c>
      <c r="D5" s="11"/>
      <c r="E5" s="11"/>
      <c r="F5" s="10"/>
      <c r="H5" s="39"/>
      <c r="I5" s="12"/>
      <c r="J5" s="39"/>
      <c r="K5" s="15"/>
    </row>
    <row r="6" spans="2:14" x14ac:dyDescent="0.3">
      <c r="B6" s="6">
        <v>140</v>
      </c>
      <c r="C6" s="15">
        <v>10.333333333333334</v>
      </c>
      <c r="D6" s="11"/>
      <c r="E6" s="11"/>
      <c r="F6" s="10"/>
      <c r="H6" s="39"/>
      <c r="I6" s="37"/>
      <c r="J6" s="39"/>
      <c r="N6" s="16"/>
    </row>
    <row r="7" spans="2:14" x14ac:dyDescent="0.3">
      <c r="B7" s="6">
        <v>142</v>
      </c>
      <c r="C7" s="15"/>
      <c r="D7" s="11"/>
      <c r="E7" s="11"/>
      <c r="F7" s="10"/>
      <c r="H7" s="39">
        <v>4.8</v>
      </c>
      <c r="I7" s="37"/>
      <c r="J7" s="39"/>
      <c r="N7" s="16"/>
    </row>
    <row r="8" spans="2:14" x14ac:dyDescent="0.3">
      <c r="B8" s="6">
        <v>144</v>
      </c>
      <c r="C8" s="15"/>
      <c r="D8" s="11"/>
      <c r="E8" s="11">
        <v>24.8</v>
      </c>
      <c r="F8" s="10"/>
      <c r="H8" s="39"/>
      <c r="I8" s="37"/>
      <c r="J8" s="39"/>
      <c r="N8" s="16"/>
    </row>
    <row r="9" spans="2:14" x14ac:dyDescent="0.3">
      <c r="B9" s="6">
        <v>149</v>
      </c>
      <c r="C9" s="15">
        <v>14.833333333333334</v>
      </c>
      <c r="D9" s="11"/>
      <c r="E9" s="11">
        <v>30.8</v>
      </c>
      <c r="F9" s="10"/>
      <c r="G9" s="15"/>
      <c r="H9" s="39">
        <v>5.4</v>
      </c>
      <c r="I9" s="37"/>
      <c r="J9" s="39"/>
      <c r="K9" s="15"/>
      <c r="N9" s="16"/>
    </row>
    <row r="10" spans="2:14" x14ac:dyDescent="0.3">
      <c r="B10" s="6">
        <v>154</v>
      </c>
      <c r="C10" s="15">
        <v>11.166666666666666</v>
      </c>
      <c r="D10" s="11"/>
      <c r="E10" s="11"/>
      <c r="F10" s="10"/>
      <c r="G10" s="16"/>
      <c r="H10" s="39"/>
      <c r="I10" s="12"/>
      <c r="J10" s="39"/>
      <c r="K10" s="15"/>
    </row>
    <row r="11" spans="2:14" x14ac:dyDescent="0.3">
      <c r="B11" s="6">
        <v>155</v>
      </c>
      <c r="C11" s="15"/>
      <c r="D11" s="11"/>
      <c r="E11" s="11"/>
      <c r="F11" s="10"/>
      <c r="G11" s="16"/>
      <c r="H11" s="39"/>
      <c r="I11" s="12">
        <v>8.8000000000000007</v>
      </c>
      <c r="J11" s="39"/>
      <c r="K11" s="15"/>
    </row>
    <row r="12" spans="2:14" x14ac:dyDescent="0.3">
      <c r="B12" s="6">
        <v>156</v>
      </c>
      <c r="C12" s="15"/>
      <c r="D12" s="11"/>
      <c r="E12" s="11"/>
      <c r="F12" s="10"/>
      <c r="G12" s="16"/>
      <c r="H12" s="39">
        <v>1.4</v>
      </c>
      <c r="I12" s="12"/>
      <c r="J12" s="39"/>
      <c r="K12" s="15"/>
    </row>
    <row r="13" spans="2:14" x14ac:dyDescent="0.3">
      <c r="B13" s="6">
        <v>157</v>
      </c>
      <c r="C13" s="15"/>
      <c r="D13" s="11"/>
      <c r="E13" s="11">
        <v>15.6</v>
      </c>
      <c r="F13" s="10">
        <v>2.2000000000000002</v>
      </c>
      <c r="G13" s="16"/>
      <c r="H13" s="39"/>
      <c r="I13" s="12"/>
      <c r="J13" s="39"/>
      <c r="K13" s="15"/>
    </row>
    <row r="14" spans="2:14" x14ac:dyDescent="0.3">
      <c r="B14" s="6">
        <v>162</v>
      </c>
      <c r="C14" s="15"/>
      <c r="D14" s="11"/>
      <c r="E14" s="11"/>
      <c r="F14" s="10">
        <v>4.8</v>
      </c>
      <c r="G14" s="16"/>
      <c r="H14" s="39"/>
      <c r="I14" s="12"/>
      <c r="J14" s="39"/>
      <c r="K14" s="15"/>
    </row>
    <row r="15" spans="2:14" x14ac:dyDescent="0.3">
      <c r="B15" s="6">
        <v>163</v>
      </c>
      <c r="C15" s="15">
        <v>4.5</v>
      </c>
      <c r="D15" s="11"/>
      <c r="E15" s="11"/>
      <c r="F15" s="10"/>
      <c r="H15" s="39"/>
      <c r="I15" s="37">
        <v>3.8</v>
      </c>
      <c r="J15" s="39"/>
      <c r="N15" s="16"/>
    </row>
    <row r="16" spans="2:14" x14ac:dyDescent="0.3">
      <c r="B16" s="6">
        <v>164</v>
      </c>
      <c r="C16" s="15"/>
      <c r="D16" s="11"/>
      <c r="E16" s="11"/>
      <c r="F16" s="10"/>
      <c r="H16" s="39">
        <v>0.6</v>
      </c>
      <c r="I16" s="37"/>
      <c r="J16" s="39"/>
      <c r="N16" s="16"/>
    </row>
    <row r="17" spans="2:14" x14ac:dyDescent="0.3">
      <c r="B17" s="6">
        <v>165</v>
      </c>
      <c r="C17" s="15"/>
      <c r="D17" s="11"/>
      <c r="E17" s="11">
        <v>10.199999999999999</v>
      </c>
      <c r="F17" s="10"/>
      <c r="H17" s="39"/>
      <c r="I17" s="37"/>
      <c r="J17" s="39"/>
      <c r="N17" s="16"/>
    </row>
    <row r="18" spans="2:14" x14ac:dyDescent="0.3">
      <c r="B18" s="6">
        <v>168</v>
      </c>
      <c r="C18" s="15">
        <v>3.5</v>
      </c>
      <c r="D18" s="11">
        <v>19.3</v>
      </c>
      <c r="E18" s="11"/>
      <c r="F18" s="10"/>
      <c r="G18" s="15"/>
      <c r="H18" s="39"/>
      <c r="I18" s="37"/>
      <c r="J18" s="39"/>
      <c r="K18" s="15"/>
      <c r="N18" s="16"/>
    </row>
    <row r="19" spans="2:14" x14ac:dyDescent="0.3">
      <c r="B19" s="6">
        <v>170</v>
      </c>
      <c r="C19" s="15"/>
      <c r="D19" s="11"/>
      <c r="E19" s="11"/>
      <c r="F19" s="10">
        <v>4.2</v>
      </c>
      <c r="G19" s="15"/>
      <c r="H19" s="39"/>
      <c r="I19" s="37">
        <v>7.2</v>
      </c>
      <c r="J19" s="39"/>
      <c r="K19" s="15"/>
      <c r="N19" s="16"/>
    </row>
    <row r="20" spans="2:14" x14ac:dyDescent="0.3">
      <c r="B20" s="6">
        <v>172</v>
      </c>
      <c r="C20" s="15"/>
      <c r="D20" s="11"/>
      <c r="E20" s="11"/>
      <c r="F20" s="10"/>
      <c r="G20" s="15"/>
      <c r="H20" s="39">
        <v>2.4</v>
      </c>
      <c r="I20" s="37"/>
      <c r="J20" s="39"/>
      <c r="K20" s="15"/>
      <c r="N20" s="16"/>
    </row>
    <row r="21" spans="2:14" x14ac:dyDescent="0.3">
      <c r="B21" s="6">
        <v>173</v>
      </c>
      <c r="C21" s="15"/>
      <c r="D21" s="11"/>
      <c r="E21" s="11">
        <v>7</v>
      </c>
      <c r="F21" s="10"/>
      <c r="G21" s="15"/>
      <c r="H21" s="39"/>
      <c r="I21" s="37"/>
      <c r="J21" s="39"/>
      <c r="K21" s="15"/>
      <c r="N21" s="16"/>
    </row>
    <row r="22" spans="2:14" x14ac:dyDescent="0.3">
      <c r="B22" s="6">
        <v>177</v>
      </c>
      <c r="C22" s="15"/>
      <c r="D22" s="11"/>
      <c r="E22" s="11"/>
      <c r="F22" s="10">
        <v>2.2999999999999998</v>
      </c>
      <c r="G22" s="15"/>
      <c r="H22" s="39"/>
      <c r="I22" s="37">
        <v>7.2</v>
      </c>
      <c r="J22" s="39"/>
      <c r="K22" s="15"/>
      <c r="N22" s="16"/>
    </row>
    <row r="23" spans="2:14" x14ac:dyDescent="0.3">
      <c r="B23" s="6">
        <v>178</v>
      </c>
      <c r="C23" s="15"/>
      <c r="D23" s="11">
        <v>6.3</v>
      </c>
      <c r="E23" s="11"/>
      <c r="F23" s="10"/>
      <c r="G23" s="15"/>
      <c r="H23" s="39"/>
      <c r="I23" s="37"/>
      <c r="J23" s="39"/>
      <c r="K23" s="15"/>
      <c r="N23" s="16"/>
    </row>
    <row r="24" spans="2:14" x14ac:dyDescent="0.3">
      <c r="B24" s="6">
        <v>179</v>
      </c>
      <c r="C24" s="15"/>
      <c r="D24" s="11"/>
      <c r="E24" s="11">
        <v>25.4</v>
      </c>
      <c r="F24" s="10"/>
      <c r="G24" s="15"/>
      <c r="H24" s="39"/>
      <c r="I24" s="37"/>
      <c r="J24" s="39"/>
      <c r="K24" s="15"/>
      <c r="N24" s="16"/>
    </row>
    <row r="25" spans="2:14" x14ac:dyDescent="0.3">
      <c r="B25" s="6">
        <v>184</v>
      </c>
      <c r="C25" s="15">
        <v>8.5</v>
      </c>
      <c r="D25" s="11"/>
      <c r="E25" s="11"/>
      <c r="F25" s="10"/>
      <c r="G25" s="16"/>
      <c r="H25" s="39"/>
      <c r="I25" s="12">
        <v>7.2</v>
      </c>
      <c r="J25" s="39"/>
      <c r="K25" s="15"/>
    </row>
    <row r="26" spans="2:14" x14ac:dyDescent="0.3">
      <c r="B26" s="6">
        <v>185</v>
      </c>
      <c r="C26" s="15"/>
      <c r="D26" s="11"/>
      <c r="E26" s="11"/>
      <c r="F26" s="10"/>
      <c r="G26" s="16"/>
      <c r="H26" s="39">
        <v>11.4</v>
      </c>
      <c r="I26" s="12"/>
      <c r="J26" s="39"/>
      <c r="K26" s="15"/>
    </row>
    <row r="27" spans="2:14" x14ac:dyDescent="0.3">
      <c r="B27" s="6">
        <v>186</v>
      </c>
      <c r="C27" s="15"/>
      <c r="D27" s="11">
        <v>4.2</v>
      </c>
      <c r="E27" s="11"/>
      <c r="F27" s="10"/>
      <c r="G27" s="16"/>
      <c r="H27" s="39"/>
      <c r="I27" s="12"/>
      <c r="J27" s="39"/>
      <c r="K27" s="15"/>
    </row>
    <row r="28" spans="2:14" x14ac:dyDescent="0.3">
      <c r="B28" s="6">
        <v>191</v>
      </c>
      <c r="C28" s="15"/>
      <c r="D28" s="11"/>
      <c r="E28" s="11"/>
      <c r="F28" s="10"/>
      <c r="G28" s="16"/>
      <c r="H28" s="39"/>
      <c r="I28" s="12">
        <v>4.4000000000000004</v>
      </c>
      <c r="J28" s="39"/>
      <c r="K28" s="15"/>
    </row>
    <row r="29" spans="2:14" x14ac:dyDescent="0.3">
      <c r="B29" s="6">
        <v>193</v>
      </c>
      <c r="C29" s="15"/>
      <c r="D29" s="11">
        <v>10</v>
      </c>
      <c r="E29" s="11"/>
      <c r="F29" s="10"/>
      <c r="G29" s="16"/>
      <c r="H29" s="39"/>
      <c r="I29" s="12"/>
      <c r="J29" s="39"/>
      <c r="K29" s="15"/>
    </row>
    <row r="30" spans="2:14" x14ac:dyDescent="0.3">
      <c r="B30" s="6">
        <v>192</v>
      </c>
      <c r="C30" s="15"/>
      <c r="D30" s="11"/>
      <c r="E30" s="11">
        <v>20.2</v>
      </c>
      <c r="F30" s="10">
        <v>4.5</v>
      </c>
      <c r="G30" s="16"/>
      <c r="H30" s="39"/>
      <c r="I30" s="12"/>
      <c r="J30" s="39"/>
      <c r="K30" s="15"/>
    </row>
    <row r="31" spans="2:14" x14ac:dyDescent="0.3">
      <c r="B31" s="6">
        <v>198</v>
      </c>
      <c r="C31" s="15">
        <v>9.3333333333333339</v>
      </c>
      <c r="D31" s="11"/>
      <c r="E31" s="11"/>
      <c r="F31" s="10"/>
      <c r="H31" s="39">
        <v>20.6</v>
      </c>
      <c r="I31" s="37"/>
      <c r="J31" s="39"/>
      <c r="N31" s="16"/>
    </row>
    <row r="32" spans="2:14" x14ac:dyDescent="0.3">
      <c r="B32" s="6">
        <v>205</v>
      </c>
      <c r="C32" s="15"/>
      <c r="D32" s="11"/>
      <c r="E32" s="11"/>
      <c r="F32" s="10">
        <v>11.3</v>
      </c>
      <c r="H32" s="39"/>
      <c r="I32" s="37">
        <v>8.6</v>
      </c>
      <c r="J32" s="39"/>
      <c r="N32" s="16"/>
    </row>
    <row r="33" spans="2:14" x14ac:dyDescent="0.3">
      <c r="B33" s="6">
        <v>206</v>
      </c>
      <c r="C33" s="15"/>
      <c r="D33" s="11">
        <v>7.3</v>
      </c>
      <c r="E33" s="11">
        <v>35.799999999999997</v>
      </c>
      <c r="F33" s="10"/>
      <c r="H33" s="39"/>
      <c r="I33" s="37"/>
      <c r="J33" s="39"/>
      <c r="N33" s="16"/>
    </row>
    <row r="34" spans="2:14" x14ac:dyDescent="0.3">
      <c r="B34" s="6">
        <v>212</v>
      </c>
      <c r="C34" s="15">
        <v>7.666666666666667</v>
      </c>
      <c r="D34" s="11"/>
      <c r="E34" s="11"/>
      <c r="F34" s="10"/>
      <c r="G34" s="16"/>
      <c r="H34" s="39">
        <v>35.200000000000003</v>
      </c>
      <c r="I34" s="37"/>
      <c r="J34" s="39"/>
      <c r="K34" s="15"/>
      <c r="N34" s="16"/>
    </row>
    <row r="35" spans="2:14" x14ac:dyDescent="0.3">
      <c r="B35" s="6">
        <v>218</v>
      </c>
      <c r="C35" s="15"/>
      <c r="D35" s="11"/>
      <c r="E35" s="11"/>
      <c r="F35" s="10">
        <v>14.2</v>
      </c>
      <c r="G35" s="16"/>
      <c r="H35" s="39"/>
      <c r="I35" s="37"/>
      <c r="J35" s="39"/>
      <c r="K35" s="15"/>
      <c r="N35" s="16"/>
    </row>
    <row r="36" spans="2:14" x14ac:dyDescent="0.3">
      <c r="B36" s="6">
        <v>219</v>
      </c>
      <c r="C36" s="15"/>
      <c r="D36" s="11"/>
      <c r="E36" s="11"/>
      <c r="F36" s="10"/>
      <c r="G36" s="16"/>
      <c r="H36" s="39"/>
      <c r="I36" s="37">
        <v>16</v>
      </c>
      <c r="J36" s="39"/>
      <c r="K36" s="15"/>
      <c r="N36" s="16"/>
    </row>
    <row r="37" spans="2:14" x14ac:dyDescent="0.3">
      <c r="B37" s="6">
        <v>220</v>
      </c>
      <c r="C37" s="15"/>
      <c r="D37" s="11"/>
      <c r="E37" s="11">
        <v>12.8</v>
      </c>
      <c r="F37" s="10"/>
      <c r="G37" s="16"/>
      <c r="H37" s="39"/>
      <c r="I37" s="37"/>
      <c r="J37" s="39"/>
      <c r="K37" s="15"/>
      <c r="N37" s="16"/>
    </row>
    <row r="38" spans="2:14" x14ac:dyDescent="0.3">
      <c r="B38" s="6">
        <v>221</v>
      </c>
      <c r="C38" s="15"/>
      <c r="D38" s="11">
        <v>4.7</v>
      </c>
      <c r="E38" s="11"/>
      <c r="F38" s="10"/>
      <c r="G38" s="16"/>
      <c r="H38" s="39"/>
      <c r="I38" s="37"/>
      <c r="J38" s="39"/>
      <c r="K38" s="15"/>
      <c r="N38" s="16"/>
    </row>
    <row r="39" spans="2:14" x14ac:dyDescent="0.3">
      <c r="B39" s="6">
        <v>226</v>
      </c>
      <c r="C39" s="13">
        <v>10</v>
      </c>
      <c r="D39" s="11"/>
      <c r="E39" s="11"/>
      <c r="F39" s="10"/>
      <c r="G39" s="16"/>
      <c r="H39" s="39">
        <v>31.8</v>
      </c>
      <c r="I39" s="12"/>
      <c r="J39" s="39"/>
      <c r="K39" s="15"/>
    </row>
    <row r="40" spans="2:14" x14ac:dyDescent="0.3">
      <c r="B40" s="6">
        <v>234</v>
      </c>
      <c r="C40" s="13"/>
      <c r="D40" s="11"/>
      <c r="E40" s="11">
        <v>37.4</v>
      </c>
      <c r="F40" s="10">
        <v>7.2</v>
      </c>
      <c r="G40" s="16"/>
      <c r="H40" s="39"/>
      <c r="I40" s="12">
        <v>32.799999999999997</v>
      </c>
      <c r="J40" s="39"/>
      <c r="K40" s="15"/>
    </row>
    <row r="41" spans="2:14" x14ac:dyDescent="0.3">
      <c r="B41" s="6">
        <v>235</v>
      </c>
      <c r="C41" s="13"/>
      <c r="D41" s="11">
        <v>5.5</v>
      </c>
      <c r="E41" s="11"/>
      <c r="F41" s="10"/>
      <c r="G41" s="16"/>
      <c r="H41" s="39"/>
      <c r="I41" s="12"/>
      <c r="J41" s="39"/>
      <c r="K41" s="15"/>
    </row>
    <row r="42" spans="2:14" x14ac:dyDescent="0.3">
      <c r="B42" s="6">
        <v>246</v>
      </c>
      <c r="C42" s="13"/>
      <c r="D42" s="11">
        <v>17.3</v>
      </c>
      <c r="E42" s="11"/>
      <c r="F42" s="10">
        <v>25.5</v>
      </c>
      <c r="G42" s="16"/>
      <c r="H42" s="39"/>
      <c r="I42" s="12"/>
      <c r="J42" s="39"/>
      <c r="K42" s="15"/>
    </row>
    <row r="43" spans="2:14" x14ac:dyDescent="0.3">
      <c r="B43" s="6">
        <v>248</v>
      </c>
      <c r="C43" s="13"/>
      <c r="D43" s="11"/>
      <c r="E43" s="11"/>
      <c r="F43" s="10"/>
      <c r="G43" s="16"/>
      <c r="H43" s="39"/>
      <c r="I43" s="12">
        <v>31</v>
      </c>
      <c r="J43" s="39"/>
      <c r="K43" s="15"/>
    </row>
    <row r="44" spans="2:14" x14ac:dyDescent="0.3">
      <c r="B44" s="6">
        <v>265</v>
      </c>
      <c r="C44" s="13"/>
      <c r="D44" s="11">
        <v>25.3</v>
      </c>
      <c r="E44" s="11"/>
      <c r="F44" s="10"/>
      <c r="G44" s="16"/>
      <c r="H44" s="39"/>
      <c r="I44" s="12"/>
      <c r="J44" s="39"/>
      <c r="K44" s="15"/>
    </row>
    <row r="45" spans="2:14" x14ac:dyDescent="0.3">
      <c r="B45" s="6"/>
      <c r="C45" s="1"/>
      <c r="D45" s="1"/>
      <c r="E45" s="1"/>
      <c r="F45" s="2"/>
      <c r="H45" s="39"/>
      <c r="I45" s="37"/>
      <c r="J45" s="39"/>
      <c r="N45" s="16"/>
    </row>
    <row r="46" spans="2:14" x14ac:dyDescent="0.3">
      <c r="B46" s="6" t="s">
        <v>6</v>
      </c>
      <c r="C46" s="13">
        <f>AVERAGE(C5:C44)</f>
        <v>8.8333333333333339</v>
      </c>
      <c r="D46" s="13">
        <f>AVERAGE(D5:D44)</f>
        <v>11.1</v>
      </c>
      <c r="E46" s="13">
        <f>AVERAGE(E5:E44)</f>
        <v>22.000000000000004</v>
      </c>
      <c r="F46" s="13">
        <f>AVERAGE(F5:F44)</f>
        <v>8.4666666666666668</v>
      </c>
      <c r="H46" s="13">
        <f>AVERAGE(H5:H44)</f>
        <v>12.622222222222224</v>
      </c>
      <c r="I46" s="13">
        <f>AVERAGE(I5:I44)</f>
        <v>12.7</v>
      </c>
      <c r="J46" s="39"/>
      <c r="K46" s="15"/>
      <c r="N46" s="16"/>
    </row>
    <row r="47" spans="2:14" x14ac:dyDescent="0.3">
      <c r="B47" s="6" t="s">
        <v>7</v>
      </c>
      <c r="C47" s="13">
        <f>MIN(C5:C44)</f>
        <v>3.5</v>
      </c>
      <c r="D47" s="13">
        <f>MIN(D5:D44)</f>
        <v>4.2</v>
      </c>
      <c r="E47" s="13">
        <f>MIN(E5:E44)</f>
        <v>7</v>
      </c>
      <c r="F47" s="13">
        <f>MIN(F5:F44)</f>
        <v>2.2000000000000002</v>
      </c>
      <c r="H47" s="13">
        <f>MIN(H5:H44)</f>
        <v>0.6</v>
      </c>
      <c r="I47" s="13">
        <f>MIN(I5:I44)</f>
        <v>3.8</v>
      </c>
      <c r="J47" s="39"/>
      <c r="K47" s="15"/>
    </row>
    <row r="48" spans="2:14" x14ac:dyDescent="0.3">
      <c r="B48" s="6" t="s">
        <v>8</v>
      </c>
      <c r="C48" s="13">
        <f>MAX(C5:C44)</f>
        <v>14.833333333333334</v>
      </c>
      <c r="D48" s="13">
        <f>MAX(D5:D44)</f>
        <v>25.3</v>
      </c>
      <c r="E48" s="13">
        <f>MAX(E5:E44)</f>
        <v>37.4</v>
      </c>
      <c r="F48" s="13">
        <f>MAX(F5:F44)</f>
        <v>25.5</v>
      </c>
      <c r="H48" s="13">
        <f>MAX(H5:H44)</f>
        <v>35.200000000000003</v>
      </c>
      <c r="I48" s="13">
        <f>MAX(I5:I44)</f>
        <v>32.799999999999997</v>
      </c>
      <c r="J48" s="39"/>
      <c r="N48" s="15"/>
    </row>
    <row r="49" spans="2:14" x14ac:dyDescent="0.3">
      <c r="B49" s="6"/>
      <c r="C49" s="1"/>
      <c r="D49" s="1"/>
      <c r="E49" s="1"/>
      <c r="F49" s="2"/>
      <c r="I49" s="16"/>
      <c r="N49" s="16"/>
    </row>
    <row r="50" spans="2:14" x14ac:dyDescent="0.3">
      <c r="B50" s="7"/>
      <c r="C50" s="1"/>
      <c r="D50" s="1"/>
      <c r="E50" s="1"/>
      <c r="F50" s="3"/>
    </row>
    <row r="51" spans="2:14" x14ac:dyDescent="0.3">
      <c r="N51" s="15"/>
    </row>
    <row r="52" spans="2:14" x14ac:dyDescent="0.3">
      <c r="N52" s="16"/>
    </row>
    <row r="54" spans="2:14" x14ac:dyDescent="0.3">
      <c r="N54" s="15"/>
    </row>
    <row r="55" spans="2:14" x14ac:dyDescent="0.3">
      <c r="N55" s="16"/>
    </row>
    <row r="57" spans="2:14" x14ac:dyDescent="0.3">
      <c r="N57" s="15"/>
    </row>
    <row r="58" spans="2:14" x14ac:dyDescent="0.3">
      <c r="N58" s="16"/>
    </row>
    <row r="60" spans="2:14" x14ac:dyDescent="0.3">
      <c r="N60" s="16"/>
    </row>
    <row r="61" spans="2:14" x14ac:dyDescent="0.3">
      <c r="N61" s="16"/>
    </row>
    <row r="62" spans="2:14" x14ac:dyDescent="0.3">
      <c r="K62" s="17"/>
    </row>
  </sheetData>
  <mergeCells count="1">
    <mergeCell ref="C2:F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ADC37-3D1C-4825-ABB8-A2D0B8212B8B}">
  <dimension ref="B2:N39"/>
  <sheetViews>
    <sheetView workbookViewId="0">
      <selection activeCell="H3" sqref="H3:J3"/>
    </sheetView>
  </sheetViews>
  <sheetFormatPr defaultRowHeight="15.6" x14ac:dyDescent="0.3"/>
  <cols>
    <col min="2" max="2" width="8.88671875" style="4"/>
    <col min="7" max="7" width="12.6640625" style="17" bestFit="1" customWidth="1"/>
    <col min="8" max="8" width="8.88671875" style="19"/>
    <col min="9" max="9" width="8.33203125" style="13" customWidth="1"/>
    <col min="14" max="14" width="12.6640625" style="9" bestFit="1" customWidth="1"/>
  </cols>
  <sheetData>
    <row r="2" spans="2:14" x14ac:dyDescent="0.3">
      <c r="C2" s="34" t="s">
        <v>5</v>
      </c>
      <c r="D2" s="34"/>
      <c r="E2" s="34"/>
      <c r="F2" s="34"/>
      <c r="I2" s="15"/>
    </row>
    <row r="3" spans="2:14" x14ac:dyDescent="0.3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H3" s="33" t="s">
        <v>9</v>
      </c>
      <c r="I3" s="33" t="s">
        <v>10</v>
      </c>
      <c r="J3" s="33" t="s">
        <v>11</v>
      </c>
    </row>
    <row r="4" spans="2:14" x14ac:dyDescent="0.3">
      <c r="B4" s="6">
        <v>134</v>
      </c>
      <c r="C4" s="19">
        <v>12.666666666666666</v>
      </c>
      <c r="D4" s="11"/>
      <c r="E4" s="26"/>
      <c r="F4" s="30"/>
      <c r="K4" s="15"/>
    </row>
    <row r="5" spans="2:14" x14ac:dyDescent="0.3">
      <c r="B5" s="6">
        <v>140</v>
      </c>
      <c r="C5" s="19">
        <v>8.3333333333333339</v>
      </c>
      <c r="D5" s="11"/>
      <c r="E5" s="26"/>
      <c r="F5" s="30"/>
      <c r="G5" s="15"/>
      <c r="I5" s="15"/>
      <c r="N5" s="16"/>
    </row>
    <row r="6" spans="2:14" x14ac:dyDescent="0.3">
      <c r="B6" s="6">
        <v>149</v>
      </c>
      <c r="C6" s="19">
        <v>14.833333333333334</v>
      </c>
      <c r="D6" s="11"/>
      <c r="E6" s="26"/>
      <c r="F6" s="30"/>
      <c r="G6" s="15"/>
      <c r="I6" s="15"/>
      <c r="K6" s="15"/>
      <c r="N6" s="16"/>
    </row>
    <row r="7" spans="2:14" x14ac:dyDescent="0.3">
      <c r="B7" s="6">
        <v>154</v>
      </c>
      <c r="C7" s="19">
        <v>9.5</v>
      </c>
      <c r="D7" s="11"/>
      <c r="E7" s="26"/>
      <c r="F7" s="30"/>
      <c r="K7" s="15"/>
    </row>
    <row r="8" spans="2:14" x14ac:dyDescent="0.3">
      <c r="B8" s="6">
        <v>163</v>
      </c>
      <c r="C8" s="19">
        <v>8</v>
      </c>
      <c r="D8" s="11"/>
      <c r="E8" s="26"/>
      <c r="F8" s="30"/>
      <c r="G8" s="15"/>
      <c r="I8" s="15"/>
      <c r="N8" s="16"/>
    </row>
    <row r="9" spans="2:14" x14ac:dyDescent="0.3">
      <c r="B9" s="6">
        <v>168</v>
      </c>
      <c r="C9" s="19">
        <v>6.7114716744214746</v>
      </c>
      <c r="D9" s="11">
        <v>22.8</v>
      </c>
      <c r="E9" s="26"/>
      <c r="F9" s="30"/>
      <c r="G9" s="15"/>
      <c r="I9" s="15"/>
      <c r="K9" s="15"/>
      <c r="N9" s="16"/>
    </row>
    <row r="10" spans="2:14" x14ac:dyDescent="0.3">
      <c r="B10" s="6">
        <v>178</v>
      </c>
      <c r="C10" s="19"/>
      <c r="D10" s="11">
        <v>19.8</v>
      </c>
      <c r="E10" s="26"/>
      <c r="F10" s="30"/>
      <c r="G10" s="15"/>
      <c r="I10" s="15"/>
      <c r="K10" s="15"/>
      <c r="N10" s="16"/>
    </row>
    <row r="11" spans="2:14" x14ac:dyDescent="0.3">
      <c r="B11" s="6">
        <v>184</v>
      </c>
      <c r="C11" s="19">
        <v>3.3333333333333335</v>
      </c>
      <c r="D11" s="11"/>
      <c r="E11" s="26"/>
      <c r="F11" s="30"/>
      <c r="K11" s="15"/>
    </row>
    <row r="12" spans="2:14" x14ac:dyDescent="0.3">
      <c r="B12" s="6">
        <v>186</v>
      </c>
      <c r="C12" s="19"/>
      <c r="D12" s="11">
        <v>8.1999999999999993</v>
      </c>
      <c r="E12" s="26"/>
      <c r="F12" s="30"/>
      <c r="K12" s="15"/>
    </row>
    <row r="13" spans="2:14" x14ac:dyDescent="0.3">
      <c r="B13" s="6">
        <v>193</v>
      </c>
      <c r="C13" s="19"/>
      <c r="D13" s="11">
        <v>10.8</v>
      </c>
      <c r="E13" s="26"/>
      <c r="F13" s="30"/>
      <c r="K13" s="15"/>
    </row>
    <row r="14" spans="2:14" x14ac:dyDescent="0.3">
      <c r="B14" s="6">
        <v>198</v>
      </c>
      <c r="C14" s="19">
        <v>2.8333333333333335</v>
      </c>
      <c r="D14" s="11"/>
      <c r="E14" s="26"/>
      <c r="F14" s="30"/>
      <c r="G14" s="15"/>
      <c r="I14" s="15"/>
      <c r="N14" s="16"/>
    </row>
    <row r="15" spans="2:14" x14ac:dyDescent="0.3">
      <c r="B15" s="6">
        <v>206</v>
      </c>
      <c r="C15" s="19"/>
      <c r="D15" s="11">
        <v>7</v>
      </c>
      <c r="E15" s="26"/>
      <c r="F15" s="30"/>
      <c r="G15" s="15"/>
      <c r="I15" s="15"/>
      <c r="N15" s="16"/>
    </row>
    <row r="16" spans="2:14" x14ac:dyDescent="0.3">
      <c r="B16" s="6">
        <v>212</v>
      </c>
      <c r="C16" s="19">
        <v>1.8333333333333333</v>
      </c>
      <c r="D16" s="11"/>
      <c r="E16" s="26"/>
      <c r="F16" s="30"/>
      <c r="I16" s="15"/>
      <c r="K16" s="15"/>
      <c r="N16" s="16"/>
    </row>
    <row r="17" spans="2:14" x14ac:dyDescent="0.3">
      <c r="B17" s="6">
        <v>221</v>
      </c>
      <c r="C17" s="19"/>
      <c r="D17" s="11">
        <v>7.5</v>
      </c>
      <c r="E17" s="26"/>
      <c r="F17" s="30"/>
      <c r="I17" s="15"/>
      <c r="K17" s="15"/>
      <c r="N17" s="16"/>
    </row>
    <row r="18" spans="2:14" x14ac:dyDescent="0.3">
      <c r="B18" s="6">
        <v>226</v>
      </c>
      <c r="C18" s="19">
        <v>3.1666666666666665</v>
      </c>
      <c r="D18" s="11"/>
      <c r="E18" s="26"/>
      <c r="F18" s="30"/>
      <c r="K18" s="15"/>
    </row>
    <row r="19" spans="2:14" x14ac:dyDescent="0.3">
      <c r="B19" s="6">
        <v>235</v>
      </c>
      <c r="C19" s="19"/>
      <c r="D19" s="11">
        <v>8.8000000000000007</v>
      </c>
      <c r="E19" s="26"/>
      <c r="F19" s="30"/>
      <c r="K19" s="15"/>
    </row>
    <row r="20" spans="2:14" x14ac:dyDescent="0.3">
      <c r="B20" s="6">
        <v>246</v>
      </c>
      <c r="C20" s="19"/>
      <c r="D20" s="11">
        <v>16.5</v>
      </c>
      <c r="E20" s="26"/>
      <c r="F20" s="30"/>
      <c r="K20" s="15"/>
    </row>
    <row r="21" spans="2:14" x14ac:dyDescent="0.3">
      <c r="B21" s="6">
        <v>265</v>
      </c>
      <c r="C21" s="19"/>
      <c r="D21" s="11">
        <v>13.5</v>
      </c>
      <c r="E21" s="26"/>
      <c r="F21" s="30"/>
      <c r="K21" s="15"/>
    </row>
    <row r="22" spans="2:14" x14ac:dyDescent="0.3">
      <c r="B22" s="6"/>
      <c r="C22" s="1"/>
      <c r="D22" s="1"/>
      <c r="E22" s="1"/>
      <c r="F22" s="2"/>
      <c r="G22" s="15"/>
      <c r="I22" s="15"/>
      <c r="N22" s="16"/>
    </row>
    <row r="23" spans="2:14" x14ac:dyDescent="0.3">
      <c r="B23" s="6" t="s">
        <v>6</v>
      </c>
      <c r="C23" s="13">
        <f>AVERAGE(C4:C21)</f>
        <v>7.1211471674421478</v>
      </c>
      <c r="D23" s="13">
        <f>AVERAGE(D4:D21)</f>
        <v>12.766666666666666</v>
      </c>
      <c r="E23" s="27"/>
      <c r="F23" s="31"/>
      <c r="G23" s="15"/>
      <c r="I23" s="15"/>
      <c r="K23" s="15"/>
      <c r="N23" s="16"/>
    </row>
    <row r="24" spans="2:14" x14ac:dyDescent="0.3">
      <c r="B24" s="6" t="s">
        <v>7</v>
      </c>
      <c r="C24" s="13">
        <f>MIN(C4:C21)</f>
        <v>1.8333333333333333</v>
      </c>
      <c r="D24" s="13">
        <f>MIN(D4:D21)</f>
        <v>7</v>
      </c>
      <c r="E24" s="27"/>
      <c r="F24" s="31"/>
      <c r="K24" s="15"/>
    </row>
    <row r="25" spans="2:14" x14ac:dyDescent="0.3">
      <c r="B25" s="6" t="s">
        <v>8</v>
      </c>
      <c r="C25" s="13">
        <f>MAX(C4:C21)</f>
        <v>14.833333333333334</v>
      </c>
      <c r="D25" s="13">
        <f>MAX(D4:D21)</f>
        <v>22.8</v>
      </c>
      <c r="E25" s="27"/>
      <c r="F25" s="31"/>
      <c r="G25" s="15"/>
      <c r="I25" s="15"/>
      <c r="N25" s="15"/>
    </row>
    <row r="26" spans="2:14" x14ac:dyDescent="0.3">
      <c r="B26" s="6"/>
      <c r="C26" s="1"/>
      <c r="D26" s="1"/>
      <c r="E26" s="1"/>
      <c r="F26" s="2"/>
      <c r="G26" s="15"/>
      <c r="I26" s="15"/>
      <c r="N26" s="16"/>
    </row>
    <row r="27" spans="2:14" x14ac:dyDescent="0.3">
      <c r="B27" s="7"/>
      <c r="C27" s="1"/>
      <c r="D27" s="1"/>
      <c r="E27" s="1"/>
      <c r="F27" s="3"/>
      <c r="G27" s="15"/>
    </row>
    <row r="28" spans="2:14" x14ac:dyDescent="0.3">
      <c r="G28" s="15"/>
      <c r="N28" s="15"/>
    </row>
    <row r="29" spans="2:14" x14ac:dyDescent="0.3">
      <c r="G29" s="15"/>
      <c r="N29" s="16"/>
    </row>
    <row r="31" spans="2:14" x14ac:dyDescent="0.3">
      <c r="G31" s="15"/>
      <c r="N31" s="15"/>
    </row>
    <row r="32" spans="2:14" x14ac:dyDescent="0.3">
      <c r="G32" s="15"/>
      <c r="N32" s="16"/>
    </row>
    <row r="34" spans="7:14" x14ac:dyDescent="0.3">
      <c r="G34" s="15"/>
      <c r="N34" s="15"/>
    </row>
    <row r="35" spans="7:14" x14ac:dyDescent="0.3">
      <c r="G35" s="15"/>
      <c r="N35" s="16"/>
    </row>
    <row r="37" spans="7:14" x14ac:dyDescent="0.3">
      <c r="G37" s="18"/>
      <c r="N37" s="16"/>
    </row>
    <row r="38" spans="7:14" x14ac:dyDescent="0.3">
      <c r="G38" s="18"/>
      <c r="N38" s="16"/>
    </row>
    <row r="39" spans="7:14" x14ac:dyDescent="0.3">
      <c r="K39" s="17"/>
    </row>
  </sheetData>
  <mergeCells count="1">
    <mergeCell ref="C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EDCA9-F3EA-400F-8EF0-0F93782D2187}">
  <dimension ref="B2:N58"/>
  <sheetViews>
    <sheetView workbookViewId="0">
      <selection activeCell="H3" sqref="H3:J3"/>
    </sheetView>
  </sheetViews>
  <sheetFormatPr defaultRowHeight="15.6" x14ac:dyDescent="0.3"/>
  <cols>
    <col min="2" max="2" width="8.88671875" style="4"/>
    <col min="7" max="7" width="12.6640625" style="17" bestFit="1" customWidth="1"/>
    <col min="8" max="8" width="8.88671875" style="19"/>
    <col min="9" max="9" width="8.33203125" style="13" customWidth="1"/>
    <col min="14" max="14" width="12.6640625" style="9" bestFit="1" customWidth="1"/>
  </cols>
  <sheetData>
    <row r="2" spans="2:14" x14ac:dyDescent="0.3">
      <c r="C2" s="34" t="s">
        <v>5</v>
      </c>
      <c r="D2" s="34"/>
      <c r="E2" s="34"/>
      <c r="F2" s="34"/>
      <c r="I2" s="15"/>
      <c r="J2" s="19"/>
    </row>
    <row r="3" spans="2:14" x14ac:dyDescent="0.3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H3" s="33" t="s">
        <v>9</v>
      </c>
      <c r="I3" s="33" t="s">
        <v>10</v>
      </c>
      <c r="J3" s="33" t="s">
        <v>11</v>
      </c>
    </row>
    <row r="4" spans="2:14" x14ac:dyDescent="0.3">
      <c r="B4" s="33">
        <v>128</v>
      </c>
      <c r="C4" s="33"/>
      <c r="D4" s="33"/>
      <c r="E4" s="33"/>
      <c r="F4" s="33"/>
      <c r="H4" s="35">
        <v>0</v>
      </c>
      <c r="I4" s="35"/>
      <c r="J4" s="35"/>
    </row>
    <row r="5" spans="2:14" x14ac:dyDescent="0.3">
      <c r="B5" s="6">
        <v>134</v>
      </c>
      <c r="C5" s="19">
        <v>2.6666666666666665</v>
      </c>
      <c r="D5" s="11"/>
      <c r="E5" s="11"/>
      <c r="F5" s="10"/>
      <c r="H5" s="35"/>
      <c r="I5" s="12"/>
      <c r="J5" s="36"/>
      <c r="K5" s="15"/>
    </row>
    <row r="6" spans="2:14" x14ac:dyDescent="0.3">
      <c r="B6" s="6">
        <v>140</v>
      </c>
      <c r="C6" s="19">
        <v>3.1666666666666665</v>
      </c>
      <c r="D6" s="11"/>
      <c r="E6" s="11"/>
      <c r="F6" s="10"/>
      <c r="G6" s="15"/>
      <c r="H6" s="35"/>
      <c r="I6" s="37"/>
      <c r="J6" s="35"/>
      <c r="N6" s="16"/>
    </row>
    <row r="7" spans="2:14" x14ac:dyDescent="0.3">
      <c r="B7" s="6">
        <v>142</v>
      </c>
      <c r="C7" s="19"/>
      <c r="D7" s="11"/>
      <c r="E7" s="11"/>
      <c r="F7" s="10"/>
      <c r="G7" s="15"/>
      <c r="H7" s="35">
        <v>0</v>
      </c>
      <c r="I7" s="37"/>
      <c r="J7" s="35"/>
      <c r="N7" s="16"/>
    </row>
    <row r="8" spans="2:14" x14ac:dyDescent="0.3">
      <c r="B8" s="6">
        <v>144</v>
      </c>
      <c r="C8" s="19"/>
      <c r="D8" s="11"/>
      <c r="E8" s="11">
        <v>0</v>
      </c>
      <c r="F8" s="10"/>
      <c r="G8" s="15"/>
      <c r="H8" s="35"/>
      <c r="I8" s="37"/>
      <c r="J8" s="35"/>
      <c r="N8" s="16"/>
    </row>
    <row r="9" spans="2:14" x14ac:dyDescent="0.3">
      <c r="B9" s="6">
        <v>149</v>
      </c>
      <c r="C9" s="19">
        <v>3.3333333333333335</v>
      </c>
      <c r="D9" s="11"/>
      <c r="E9" s="11">
        <v>0</v>
      </c>
      <c r="F9" s="10"/>
      <c r="G9" s="15"/>
      <c r="H9" s="35">
        <v>0</v>
      </c>
      <c r="I9" s="37"/>
      <c r="J9" s="35"/>
      <c r="K9" s="15"/>
      <c r="N9" s="16"/>
    </row>
    <row r="10" spans="2:14" x14ac:dyDescent="0.3">
      <c r="B10" s="6">
        <v>154</v>
      </c>
      <c r="C10" s="19">
        <v>4.5</v>
      </c>
      <c r="D10" s="11"/>
      <c r="E10" s="11"/>
      <c r="F10" s="10"/>
      <c r="H10" s="35"/>
      <c r="I10" s="12"/>
      <c r="J10" s="36"/>
      <c r="K10" s="15"/>
    </row>
    <row r="11" spans="2:14" x14ac:dyDescent="0.3">
      <c r="B11" s="6">
        <v>156</v>
      </c>
      <c r="C11" s="19"/>
      <c r="D11" s="11"/>
      <c r="E11" s="11"/>
      <c r="F11" s="10"/>
      <c r="H11" s="35">
        <v>0.2</v>
      </c>
      <c r="I11" s="12"/>
      <c r="J11" s="36"/>
      <c r="K11" s="15"/>
    </row>
    <row r="12" spans="2:14" x14ac:dyDescent="0.3">
      <c r="B12" s="6">
        <v>157</v>
      </c>
      <c r="C12" s="19"/>
      <c r="D12" s="11"/>
      <c r="E12" s="11">
        <v>0</v>
      </c>
      <c r="F12" s="10">
        <v>0.2</v>
      </c>
      <c r="H12" s="35"/>
      <c r="I12" s="12"/>
      <c r="J12" s="36"/>
      <c r="K12" s="15"/>
    </row>
    <row r="13" spans="2:14" x14ac:dyDescent="0.3">
      <c r="B13" s="6">
        <v>162</v>
      </c>
      <c r="C13" s="19"/>
      <c r="D13" s="11"/>
      <c r="E13" s="11"/>
      <c r="F13" s="10">
        <v>0</v>
      </c>
      <c r="H13" s="35"/>
      <c r="I13" s="12"/>
      <c r="J13" s="36"/>
      <c r="K13" s="15"/>
    </row>
    <row r="14" spans="2:14" x14ac:dyDescent="0.3">
      <c r="B14" s="6">
        <v>163</v>
      </c>
      <c r="C14" s="19">
        <v>2.8333333333333335</v>
      </c>
      <c r="D14" s="11"/>
      <c r="E14" s="11"/>
      <c r="F14" s="10"/>
      <c r="G14" s="15"/>
      <c r="H14" s="35"/>
      <c r="I14" s="37"/>
      <c r="J14" s="35"/>
      <c r="N14" s="16"/>
    </row>
    <row r="15" spans="2:14" x14ac:dyDescent="0.3">
      <c r="B15" s="6">
        <v>164</v>
      </c>
      <c r="C15" s="19"/>
      <c r="D15" s="11"/>
      <c r="E15" s="11"/>
      <c r="F15" s="10"/>
      <c r="G15" s="15"/>
      <c r="H15" s="35">
        <v>0</v>
      </c>
      <c r="I15" s="37"/>
      <c r="J15" s="35"/>
      <c r="N15" s="16"/>
    </row>
    <row r="16" spans="2:14" x14ac:dyDescent="0.3">
      <c r="B16" s="6">
        <v>165</v>
      </c>
      <c r="C16" s="19"/>
      <c r="D16" s="11"/>
      <c r="E16" s="11">
        <v>0</v>
      </c>
      <c r="F16" s="10"/>
      <c r="G16" s="15"/>
      <c r="H16" s="35"/>
      <c r="I16" s="37"/>
      <c r="J16" s="35"/>
      <c r="N16" s="16"/>
    </row>
    <row r="17" spans="2:14" x14ac:dyDescent="0.3">
      <c r="B17" s="6">
        <v>168</v>
      </c>
      <c r="C17" s="19">
        <v>2.5</v>
      </c>
      <c r="D17" s="11">
        <v>0.2</v>
      </c>
      <c r="E17" s="11"/>
      <c r="F17" s="10"/>
      <c r="G17" s="15"/>
      <c r="H17" s="35"/>
      <c r="I17" s="37"/>
      <c r="J17" s="35"/>
      <c r="K17" s="15"/>
      <c r="N17" s="16"/>
    </row>
    <row r="18" spans="2:14" x14ac:dyDescent="0.3">
      <c r="B18" s="6">
        <v>170</v>
      </c>
      <c r="C18" s="19"/>
      <c r="D18" s="11"/>
      <c r="E18" s="11"/>
      <c r="F18" s="10">
        <v>0.2</v>
      </c>
      <c r="G18" s="15"/>
      <c r="H18" s="35"/>
      <c r="I18" s="37"/>
      <c r="J18" s="35"/>
      <c r="K18" s="15"/>
      <c r="N18" s="16"/>
    </row>
    <row r="19" spans="2:14" x14ac:dyDescent="0.3">
      <c r="B19" s="6">
        <v>172</v>
      </c>
      <c r="C19" s="19"/>
      <c r="D19" s="11"/>
      <c r="E19" s="11"/>
      <c r="F19" s="10"/>
      <c r="G19" s="15"/>
      <c r="H19" s="35">
        <v>0.4</v>
      </c>
      <c r="I19" s="37"/>
      <c r="J19" s="35"/>
      <c r="K19" s="15"/>
      <c r="N19" s="16"/>
    </row>
    <row r="20" spans="2:14" x14ac:dyDescent="0.3">
      <c r="B20" s="6">
        <v>173</v>
      </c>
      <c r="C20" s="19"/>
      <c r="D20" s="11"/>
      <c r="E20" s="11">
        <v>0</v>
      </c>
      <c r="F20" s="10"/>
      <c r="G20" s="15"/>
      <c r="H20" s="35"/>
      <c r="I20" s="37"/>
      <c r="J20" s="35"/>
      <c r="K20" s="15"/>
      <c r="N20" s="16"/>
    </row>
    <row r="21" spans="2:14" x14ac:dyDescent="0.3">
      <c r="B21" s="6">
        <v>177</v>
      </c>
      <c r="C21" s="19"/>
      <c r="D21" s="11"/>
      <c r="E21" s="11"/>
      <c r="F21" s="10">
        <v>0</v>
      </c>
      <c r="G21" s="15"/>
      <c r="H21" s="35"/>
      <c r="I21" s="37"/>
      <c r="J21" s="35"/>
      <c r="K21" s="15"/>
      <c r="N21" s="16"/>
    </row>
    <row r="22" spans="2:14" x14ac:dyDescent="0.3">
      <c r="B22" s="6">
        <v>178</v>
      </c>
      <c r="C22" s="19"/>
      <c r="D22" s="11">
        <v>1.7</v>
      </c>
      <c r="E22" s="11"/>
      <c r="F22" s="10"/>
      <c r="G22" s="15"/>
      <c r="H22" s="35"/>
      <c r="I22" s="37"/>
      <c r="J22" s="35"/>
      <c r="K22" s="15"/>
      <c r="N22" s="16"/>
    </row>
    <row r="23" spans="2:14" x14ac:dyDescent="0.3">
      <c r="B23" s="6">
        <v>179</v>
      </c>
      <c r="C23" s="19"/>
      <c r="D23" s="11"/>
      <c r="E23" s="11">
        <v>0</v>
      </c>
      <c r="F23" s="10"/>
      <c r="G23" s="15"/>
      <c r="H23" s="35"/>
      <c r="I23" s="37"/>
      <c r="J23" s="35"/>
      <c r="K23" s="15"/>
      <c r="N23" s="16"/>
    </row>
    <row r="24" spans="2:14" x14ac:dyDescent="0.3">
      <c r="B24" s="6">
        <v>184</v>
      </c>
      <c r="C24" s="19">
        <v>1</v>
      </c>
      <c r="D24" s="11"/>
      <c r="E24" s="11"/>
      <c r="F24" s="10"/>
      <c r="H24" s="35"/>
      <c r="I24" s="12"/>
      <c r="J24" s="36"/>
      <c r="K24" s="15"/>
    </row>
    <row r="25" spans="2:14" x14ac:dyDescent="0.3">
      <c r="B25" s="6">
        <v>185</v>
      </c>
      <c r="C25" s="19"/>
      <c r="D25" s="11"/>
      <c r="E25" s="11"/>
      <c r="F25" s="10"/>
      <c r="H25" s="35">
        <v>0</v>
      </c>
      <c r="I25" s="12"/>
      <c r="J25" s="36"/>
      <c r="K25" s="15"/>
    </row>
    <row r="26" spans="2:14" x14ac:dyDescent="0.3">
      <c r="B26" s="6">
        <v>186</v>
      </c>
      <c r="C26" s="19"/>
      <c r="D26" s="11">
        <v>1.7</v>
      </c>
      <c r="E26" s="11"/>
      <c r="F26" s="10"/>
      <c r="H26" s="35"/>
      <c r="I26" s="12"/>
      <c r="J26" s="36"/>
      <c r="K26" s="15"/>
    </row>
    <row r="27" spans="2:14" x14ac:dyDescent="0.3">
      <c r="B27" s="6">
        <v>192</v>
      </c>
      <c r="C27" s="19"/>
      <c r="D27" s="11"/>
      <c r="E27" s="11">
        <v>0.4</v>
      </c>
      <c r="F27" s="10">
        <v>0.2</v>
      </c>
      <c r="H27" s="35"/>
      <c r="I27" s="12"/>
      <c r="J27" s="36"/>
      <c r="K27" s="15"/>
    </row>
    <row r="28" spans="2:14" x14ac:dyDescent="0.3">
      <c r="B28" s="6">
        <v>193</v>
      </c>
      <c r="C28" s="19"/>
      <c r="D28" s="11">
        <v>1.8</v>
      </c>
      <c r="E28" s="11"/>
      <c r="F28" s="10"/>
      <c r="H28" s="35"/>
      <c r="I28" s="12"/>
      <c r="J28" s="36"/>
      <c r="K28" s="15"/>
    </row>
    <row r="29" spans="2:14" x14ac:dyDescent="0.3">
      <c r="B29" s="6">
        <v>198</v>
      </c>
      <c r="C29" s="19">
        <v>1.8333333333333333</v>
      </c>
      <c r="D29" s="11"/>
      <c r="E29" s="11"/>
      <c r="F29" s="10"/>
      <c r="G29" s="15"/>
      <c r="H29" s="35">
        <v>0</v>
      </c>
      <c r="I29" s="37"/>
      <c r="J29" s="35"/>
      <c r="N29" s="16"/>
    </row>
    <row r="30" spans="2:14" x14ac:dyDescent="0.3">
      <c r="B30" s="6">
        <v>205</v>
      </c>
      <c r="C30" s="19"/>
      <c r="D30" s="11"/>
      <c r="E30" s="11"/>
      <c r="F30" s="10">
        <v>0</v>
      </c>
      <c r="G30" s="15"/>
      <c r="H30" s="35"/>
      <c r="I30" s="37"/>
      <c r="J30" s="35"/>
      <c r="N30" s="16"/>
    </row>
    <row r="31" spans="2:14" x14ac:dyDescent="0.3">
      <c r="B31" s="6">
        <v>206</v>
      </c>
      <c r="C31" s="19"/>
      <c r="D31" s="11">
        <v>0</v>
      </c>
      <c r="E31" s="11">
        <v>0</v>
      </c>
      <c r="F31" s="10"/>
      <c r="G31" s="15"/>
      <c r="H31" s="35"/>
      <c r="I31" s="37"/>
      <c r="J31" s="35"/>
      <c r="N31" s="16"/>
    </row>
    <row r="32" spans="2:14" x14ac:dyDescent="0.3">
      <c r="B32" s="6">
        <v>212</v>
      </c>
      <c r="C32" s="19">
        <v>8.3333333333333339</v>
      </c>
      <c r="D32" s="11"/>
      <c r="E32" s="11"/>
      <c r="F32" s="10"/>
      <c r="H32" s="35">
        <v>0</v>
      </c>
      <c r="I32" s="37"/>
      <c r="J32" s="35"/>
      <c r="K32" s="15"/>
      <c r="N32" s="16"/>
    </row>
    <row r="33" spans="2:14" x14ac:dyDescent="0.3">
      <c r="B33" s="6">
        <v>218</v>
      </c>
      <c r="C33" s="19"/>
      <c r="D33" s="11"/>
      <c r="E33" s="11"/>
      <c r="F33" s="10">
        <v>0</v>
      </c>
      <c r="H33" s="35"/>
      <c r="I33" s="37"/>
      <c r="J33" s="35"/>
      <c r="K33" s="15"/>
      <c r="N33" s="16"/>
    </row>
    <row r="34" spans="2:14" x14ac:dyDescent="0.3">
      <c r="B34" s="6">
        <v>220</v>
      </c>
      <c r="C34" s="19"/>
      <c r="D34" s="11"/>
      <c r="E34" s="11">
        <v>0</v>
      </c>
      <c r="F34" s="10"/>
      <c r="H34" s="35"/>
      <c r="I34" s="37"/>
      <c r="J34" s="35"/>
      <c r="K34" s="15"/>
      <c r="N34" s="16"/>
    </row>
    <row r="35" spans="2:14" x14ac:dyDescent="0.3">
      <c r="B35" s="6">
        <v>221</v>
      </c>
      <c r="C35" s="19"/>
      <c r="D35" s="11">
        <v>0.5</v>
      </c>
      <c r="E35" s="11"/>
      <c r="F35" s="10"/>
      <c r="H35" s="35"/>
      <c r="I35" s="37"/>
      <c r="J35" s="35"/>
      <c r="K35" s="15"/>
      <c r="N35" s="16"/>
    </row>
    <row r="36" spans="2:14" x14ac:dyDescent="0.3">
      <c r="B36" s="6">
        <v>226</v>
      </c>
      <c r="C36" s="19">
        <v>11.166666666666666</v>
      </c>
      <c r="D36" s="11"/>
      <c r="E36" s="11"/>
      <c r="F36" s="10"/>
      <c r="H36" s="35">
        <v>0</v>
      </c>
      <c r="I36" s="12"/>
      <c r="J36" s="36"/>
      <c r="K36" s="15"/>
    </row>
    <row r="37" spans="2:14" x14ac:dyDescent="0.3">
      <c r="B37" s="6">
        <v>234</v>
      </c>
      <c r="C37" s="19"/>
      <c r="D37" s="11"/>
      <c r="E37" s="11">
        <v>0.8</v>
      </c>
      <c r="F37" s="10">
        <v>0</v>
      </c>
      <c r="H37" s="35"/>
      <c r="I37" s="12"/>
      <c r="J37" s="36"/>
      <c r="K37" s="15"/>
    </row>
    <row r="38" spans="2:14" x14ac:dyDescent="0.3">
      <c r="B38" s="6">
        <v>235</v>
      </c>
      <c r="C38" s="19"/>
      <c r="D38" s="11">
        <v>2.5</v>
      </c>
      <c r="E38" s="11"/>
      <c r="F38" s="10"/>
      <c r="H38" s="35"/>
      <c r="I38" s="12"/>
      <c r="J38" s="36"/>
      <c r="K38" s="15"/>
    </row>
    <row r="39" spans="2:14" x14ac:dyDescent="0.3">
      <c r="B39" s="6">
        <v>246</v>
      </c>
      <c r="C39" s="19"/>
      <c r="D39" s="11">
        <v>0.3</v>
      </c>
      <c r="E39" s="11"/>
      <c r="F39" s="10">
        <v>0.8</v>
      </c>
      <c r="H39" s="35"/>
      <c r="I39" s="12"/>
      <c r="J39" s="36"/>
      <c r="K39" s="15"/>
    </row>
    <row r="40" spans="2:14" x14ac:dyDescent="0.3">
      <c r="B40" s="6">
        <v>265</v>
      </c>
      <c r="C40" s="19"/>
      <c r="D40" s="11">
        <v>0.8</v>
      </c>
      <c r="E40" s="11"/>
      <c r="F40" s="10"/>
      <c r="H40" s="35"/>
      <c r="I40" s="12"/>
      <c r="J40" s="36"/>
      <c r="K40" s="15"/>
    </row>
    <row r="41" spans="2:14" x14ac:dyDescent="0.3">
      <c r="B41" s="6"/>
      <c r="C41" s="1"/>
      <c r="D41" s="1"/>
      <c r="E41" s="1"/>
      <c r="F41" s="2"/>
      <c r="G41" s="15"/>
      <c r="H41" s="35"/>
      <c r="I41" s="37"/>
      <c r="J41" s="35"/>
      <c r="N41" s="16"/>
    </row>
    <row r="42" spans="2:14" x14ac:dyDescent="0.3">
      <c r="B42" s="6" t="s">
        <v>6</v>
      </c>
      <c r="C42" s="13">
        <f>AVERAGE(C5:C40)</f>
        <v>4.1333333333333329</v>
      </c>
      <c r="D42" s="13">
        <f>AVERAGE(D5:D40)</f>
        <v>1.0555555555555556</v>
      </c>
      <c r="E42" s="13">
        <f>AVERAGE(E5:E40)</f>
        <v>0.12000000000000002</v>
      </c>
      <c r="F42" s="13">
        <f>AVERAGE(F5:F40)</f>
        <v>0.15555555555555556</v>
      </c>
      <c r="G42" s="15"/>
      <c r="H42" s="35"/>
      <c r="I42" s="37"/>
      <c r="J42" s="35"/>
      <c r="K42" s="15"/>
      <c r="N42" s="16"/>
    </row>
    <row r="43" spans="2:14" x14ac:dyDescent="0.3">
      <c r="B43" s="6" t="s">
        <v>7</v>
      </c>
      <c r="C43" s="13">
        <f>MIN(C5:C40)</f>
        <v>1</v>
      </c>
      <c r="D43" s="13">
        <f>MIN(D5:D40)</f>
        <v>0</v>
      </c>
      <c r="E43" s="13">
        <f>MIN(E5:E40)</f>
        <v>0</v>
      </c>
      <c r="F43" s="13">
        <f>MIN(F5:F40)</f>
        <v>0</v>
      </c>
      <c r="H43" s="35"/>
      <c r="I43" s="12"/>
      <c r="J43" s="36"/>
      <c r="K43" s="15"/>
    </row>
    <row r="44" spans="2:14" x14ac:dyDescent="0.3">
      <c r="B44" s="6" t="s">
        <v>8</v>
      </c>
      <c r="C44" s="13">
        <f>MAX(C5:C40)</f>
        <v>11.166666666666666</v>
      </c>
      <c r="D44" s="13">
        <f>MAX(D5:D40)</f>
        <v>2.5</v>
      </c>
      <c r="E44" s="13">
        <f>MAX(E5:E40)</f>
        <v>0.8</v>
      </c>
      <c r="F44" s="13">
        <f>MAX(F5:F40)</f>
        <v>0.8</v>
      </c>
      <c r="G44" s="15"/>
      <c r="H44" s="35"/>
      <c r="I44" s="37"/>
      <c r="J44" s="35"/>
      <c r="N44" s="15"/>
    </row>
    <row r="45" spans="2:14" x14ac:dyDescent="0.3">
      <c r="B45" s="6"/>
      <c r="C45" s="1"/>
      <c r="D45" s="1"/>
      <c r="E45" s="1"/>
      <c r="F45" s="2"/>
      <c r="G45" s="15"/>
      <c r="I45" s="15"/>
      <c r="J45" s="19"/>
      <c r="N45" s="16"/>
    </row>
    <row r="46" spans="2:14" x14ac:dyDescent="0.3">
      <c r="B46" s="7"/>
      <c r="C46" s="1"/>
      <c r="D46" s="1"/>
      <c r="E46" s="1"/>
      <c r="F46" s="3"/>
      <c r="G46" s="15"/>
    </row>
    <row r="47" spans="2:14" x14ac:dyDescent="0.3">
      <c r="G47" s="15"/>
      <c r="J47" s="19"/>
      <c r="N47" s="15"/>
    </row>
    <row r="48" spans="2:14" x14ac:dyDescent="0.3">
      <c r="G48" s="15"/>
      <c r="J48" s="19"/>
      <c r="N48" s="16"/>
    </row>
    <row r="50" spans="7:14" x14ac:dyDescent="0.3">
      <c r="G50" s="15"/>
      <c r="J50" s="19"/>
      <c r="N50" s="15"/>
    </row>
    <row r="51" spans="7:14" x14ac:dyDescent="0.3">
      <c r="G51" s="15"/>
      <c r="J51" s="19"/>
      <c r="N51" s="16"/>
    </row>
    <row r="53" spans="7:14" x14ac:dyDescent="0.3">
      <c r="G53" s="15"/>
      <c r="J53" s="19"/>
      <c r="N53" s="15"/>
    </row>
    <row r="54" spans="7:14" x14ac:dyDescent="0.3">
      <c r="G54" s="15"/>
      <c r="J54" s="19"/>
      <c r="N54" s="16"/>
    </row>
    <row r="56" spans="7:14" x14ac:dyDescent="0.3">
      <c r="G56" s="18"/>
      <c r="J56" s="19"/>
      <c r="N56" s="16"/>
    </row>
    <row r="57" spans="7:14" x14ac:dyDescent="0.3">
      <c r="G57" s="18"/>
      <c r="N57" s="16"/>
    </row>
    <row r="58" spans="7:14" x14ac:dyDescent="0.3">
      <c r="K58" s="17"/>
    </row>
  </sheetData>
  <mergeCells count="1">
    <mergeCell ref="C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A28BA-7133-48ED-8364-9E90C0650D17}">
  <dimension ref="B2:O53"/>
  <sheetViews>
    <sheetView workbookViewId="0">
      <selection activeCell="M3" sqref="M3:O3"/>
    </sheetView>
  </sheetViews>
  <sheetFormatPr defaultRowHeight="15.6" x14ac:dyDescent="0.3"/>
  <cols>
    <col min="2" max="2" width="8.88671875" style="4"/>
    <col min="7" max="7" width="12.6640625" style="17" bestFit="1" customWidth="1"/>
    <col min="8" max="8" width="8.88671875" style="19"/>
    <col min="9" max="9" width="8.33203125" style="13" customWidth="1"/>
    <col min="12" max="12" width="12.6640625" style="9" bestFit="1" customWidth="1"/>
  </cols>
  <sheetData>
    <row r="2" spans="2:15" x14ac:dyDescent="0.3">
      <c r="C2" s="34" t="s">
        <v>5</v>
      </c>
      <c r="D2" s="34"/>
      <c r="E2" s="34"/>
      <c r="F2" s="34"/>
      <c r="I2" s="15"/>
    </row>
    <row r="3" spans="2:15" x14ac:dyDescent="0.3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I3" s="14" t="s">
        <v>0</v>
      </c>
      <c r="J3" s="14" t="s">
        <v>2</v>
      </c>
      <c r="K3" s="14" t="s">
        <v>3</v>
      </c>
      <c r="M3" s="33" t="s">
        <v>9</v>
      </c>
      <c r="N3" s="33" t="s">
        <v>10</v>
      </c>
      <c r="O3" s="33" t="s">
        <v>11</v>
      </c>
    </row>
    <row r="4" spans="2:15" x14ac:dyDescent="0.3">
      <c r="B4" s="33">
        <v>128</v>
      </c>
      <c r="C4" s="33"/>
      <c r="D4" s="33"/>
      <c r="E4" s="33"/>
      <c r="F4" s="33"/>
      <c r="I4" s="33"/>
      <c r="J4" s="33"/>
      <c r="K4" s="33"/>
      <c r="M4" s="35">
        <v>9.4</v>
      </c>
      <c r="N4" s="35"/>
      <c r="O4" s="35"/>
    </row>
    <row r="5" spans="2:15" x14ac:dyDescent="0.3">
      <c r="B5" s="6">
        <v>134</v>
      </c>
      <c r="C5" s="28"/>
      <c r="D5" s="11"/>
      <c r="E5" s="11"/>
      <c r="F5" s="30"/>
      <c r="I5" s="6">
        <v>134</v>
      </c>
      <c r="J5" s="11"/>
      <c r="K5" s="11"/>
      <c r="M5" s="36"/>
      <c r="N5" s="36"/>
      <c r="O5" s="36"/>
    </row>
    <row r="6" spans="2:15" x14ac:dyDescent="0.3">
      <c r="B6" s="6">
        <v>140</v>
      </c>
      <c r="C6" s="28"/>
      <c r="D6" s="11"/>
      <c r="E6" s="11"/>
      <c r="F6" s="30"/>
      <c r="G6" s="15"/>
      <c r="I6" s="6">
        <v>140</v>
      </c>
      <c r="J6" s="11"/>
      <c r="K6" s="11"/>
      <c r="L6" s="16"/>
      <c r="M6" s="36"/>
      <c r="N6" s="36"/>
      <c r="O6" s="36"/>
    </row>
    <row r="7" spans="2:15" x14ac:dyDescent="0.3">
      <c r="B7" s="6">
        <v>142</v>
      </c>
      <c r="C7" s="28"/>
      <c r="D7" s="11"/>
      <c r="E7" s="11"/>
      <c r="F7" s="30"/>
      <c r="G7" s="15"/>
      <c r="I7" s="6"/>
      <c r="J7" s="11"/>
      <c r="K7" s="11"/>
      <c r="L7" s="16"/>
      <c r="M7" s="36">
        <v>6.4</v>
      </c>
      <c r="N7" s="36"/>
      <c r="O7" s="36"/>
    </row>
    <row r="8" spans="2:15" x14ac:dyDescent="0.3">
      <c r="B8" s="6">
        <v>144</v>
      </c>
      <c r="C8" s="28"/>
      <c r="D8" s="11"/>
      <c r="E8" s="11">
        <v>7.4</v>
      </c>
      <c r="F8" s="30"/>
      <c r="G8" s="15"/>
      <c r="I8" s="6">
        <v>144</v>
      </c>
      <c r="J8" s="11"/>
      <c r="K8" s="11">
        <v>7.4</v>
      </c>
      <c r="L8" s="16"/>
      <c r="M8" s="36"/>
      <c r="N8" s="36"/>
      <c r="O8" s="36"/>
    </row>
    <row r="9" spans="2:15" x14ac:dyDescent="0.3">
      <c r="B9" s="6">
        <v>149</v>
      </c>
      <c r="C9" s="28"/>
      <c r="D9" s="11"/>
      <c r="E9" s="11">
        <v>5.6</v>
      </c>
      <c r="F9" s="30"/>
      <c r="G9" s="15"/>
      <c r="I9" s="6">
        <v>149</v>
      </c>
      <c r="J9" s="11"/>
      <c r="K9" s="11">
        <v>5.6</v>
      </c>
      <c r="L9" s="16"/>
      <c r="M9" s="36">
        <v>15</v>
      </c>
      <c r="N9" s="36"/>
      <c r="O9" s="36"/>
    </row>
    <row r="10" spans="2:15" x14ac:dyDescent="0.3">
      <c r="B10" s="6">
        <v>154</v>
      </c>
      <c r="C10" s="28"/>
      <c r="D10" s="11"/>
      <c r="E10" s="11"/>
      <c r="F10" s="30"/>
      <c r="I10" s="6">
        <v>154</v>
      </c>
      <c r="J10" s="11"/>
      <c r="K10" s="11"/>
      <c r="M10" s="36"/>
      <c r="N10" s="36"/>
      <c r="O10" s="36"/>
    </row>
    <row r="11" spans="2:15" x14ac:dyDescent="0.3">
      <c r="B11" s="6">
        <v>156</v>
      </c>
      <c r="C11" s="28"/>
      <c r="D11" s="11"/>
      <c r="E11" s="11"/>
      <c r="F11" s="30"/>
      <c r="I11" s="6"/>
      <c r="J11" s="11"/>
      <c r="K11" s="11"/>
      <c r="M11" s="36">
        <v>16</v>
      </c>
      <c r="N11" s="36"/>
      <c r="O11" s="36"/>
    </row>
    <row r="12" spans="2:15" x14ac:dyDescent="0.3">
      <c r="B12" s="6">
        <v>157</v>
      </c>
      <c r="C12" s="28"/>
      <c r="D12" s="11"/>
      <c r="E12" s="11">
        <v>5.6</v>
      </c>
      <c r="F12" s="30"/>
      <c r="I12" s="6">
        <v>157</v>
      </c>
      <c r="J12" s="11"/>
      <c r="K12" s="11">
        <v>5.6</v>
      </c>
      <c r="M12" s="36"/>
      <c r="N12" s="36"/>
      <c r="O12" s="36"/>
    </row>
    <row r="13" spans="2:15" x14ac:dyDescent="0.3">
      <c r="B13" s="6">
        <v>163</v>
      </c>
      <c r="C13" s="28"/>
      <c r="D13" s="11"/>
      <c r="E13" s="11"/>
      <c r="F13" s="30"/>
      <c r="G13" s="15"/>
      <c r="I13" s="6">
        <v>163</v>
      </c>
      <c r="J13" s="11"/>
      <c r="K13" s="11"/>
      <c r="L13" s="16"/>
      <c r="M13" s="36"/>
      <c r="N13" s="36"/>
      <c r="O13" s="36"/>
    </row>
    <row r="14" spans="2:15" x14ac:dyDescent="0.3">
      <c r="B14" s="6">
        <v>164</v>
      </c>
      <c r="C14" s="28"/>
      <c r="D14" s="11"/>
      <c r="E14" s="11"/>
      <c r="F14" s="30"/>
      <c r="G14" s="15"/>
      <c r="I14" s="6"/>
      <c r="J14" s="11"/>
      <c r="K14" s="11"/>
      <c r="L14" s="16"/>
      <c r="M14" s="36">
        <v>2.6</v>
      </c>
      <c r="N14" s="36"/>
      <c r="O14" s="36"/>
    </row>
    <row r="15" spans="2:15" x14ac:dyDescent="0.3">
      <c r="B15" s="6">
        <v>165</v>
      </c>
      <c r="C15" s="28"/>
      <c r="D15" s="11"/>
      <c r="E15" s="11">
        <v>2.2000000000000002</v>
      </c>
      <c r="F15" s="30"/>
      <c r="G15" s="15"/>
      <c r="I15" s="6">
        <v>165</v>
      </c>
      <c r="J15" s="11"/>
      <c r="K15" s="11">
        <v>2.2000000000000002</v>
      </c>
      <c r="L15" s="16"/>
      <c r="M15" s="36"/>
      <c r="N15" s="36"/>
      <c r="O15" s="36"/>
    </row>
    <row r="16" spans="2:15" x14ac:dyDescent="0.3">
      <c r="B16" s="6">
        <v>168</v>
      </c>
      <c r="C16" s="28"/>
      <c r="D16" s="11">
        <v>6.2</v>
      </c>
      <c r="E16" s="11"/>
      <c r="F16" s="30"/>
      <c r="G16" s="15"/>
      <c r="I16" s="6">
        <v>168</v>
      </c>
      <c r="J16" s="11">
        <v>6.2</v>
      </c>
      <c r="K16" s="11"/>
      <c r="L16" s="16"/>
      <c r="M16" s="36"/>
      <c r="N16" s="36"/>
      <c r="O16" s="36"/>
    </row>
    <row r="17" spans="2:15" x14ac:dyDescent="0.3">
      <c r="B17" s="6">
        <v>172</v>
      </c>
      <c r="C17" s="28"/>
      <c r="D17" s="11"/>
      <c r="E17" s="11"/>
      <c r="F17" s="30"/>
      <c r="G17" s="15"/>
      <c r="I17" s="6"/>
      <c r="J17" s="11"/>
      <c r="K17" s="11"/>
      <c r="L17" s="16"/>
      <c r="M17" s="36">
        <v>4.8</v>
      </c>
      <c r="N17" s="36"/>
      <c r="O17" s="36"/>
    </row>
    <row r="18" spans="2:15" x14ac:dyDescent="0.3">
      <c r="B18" s="6">
        <v>173</v>
      </c>
      <c r="C18" s="28"/>
      <c r="D18" s="11"/>
      <c r="E18" s="11">
        <v>0.2</v>
      </c>
      <c r="F18" s="30"/>
      <c r="G18" s="15"/>
      <c r="I18" s="6">
        <v>173</v>
      </c>
      <c r="J18" s="11"/>
      <c r="K18" s="11">
        <v>0.2</v>
      </c>
      <c r="L18" s="16"/>
      <c r="M18" s="36"/>
      <c r="N18" s="36"/>
      <c r="O18" s="36"/>
    </row>
    <row r="19" spans="2:15" x14ac:dyDescent="0.3">
      <c r="B19" s="6">
        <v>178</v>
      </c>
      <c r="C19" s="28"/>
      <c r="D19" s="11">
        <v>5.2</v>
      </c>
      <c r="E19" s="11"/>
      <c r="F19" s="30"/>
      <c r="G19" s="15"/>
      <c r="I19" s="6">
        <v>178</v>
      </c>
      <c r="J19" s="11">
        <v>5.2</v>
      </c>
      <c r="K19" s="11"/>
      <c r="L19" s="16"/>
      <c r="M19" s="36"/>
      <c r="N19" s="36"/>
      <c r="O19" s="36"/>
    </row>
    <row r="20" spans="2:15" x14ac:dyDescent="0.3">
      <c r="B20" s="6">
        <v>179</v>
      </c>
      <c r="C20" s="28"/>
      <c r="D20" s="11"/>
      <c r="E20" s="11">
        <v>1.4</v>
      </c>
      <c r="F20" s="30"/>
      <c r="G20" s="15"/>
      <c r="I20" s="6">
        <v>179</v>
      </c>
      <c r="J20" s="11"/>
      <c r="K20" s="11">
        <v>1.4</v>
      </c>
      <c r="L20" s="16"/>
      <c r="M20" s="36"/>
      <c r="N20" s="36"/>
      <c r="O20" s="36"/>
    </row>
    <row r="21" spans="2:15" x14ac:dyDescent="0.3">
      <c r="B21" s="6">
        <v>184</v>
      </c>
      <c r="C21" s="28"/>
      <c r="D21" s="11"/>
      <c r="E21" s="11"/>
      <c r="F21" s="30"/>
      <c r="I21" s="6">
        <v>184</v>
      </c>
      <c r="J21" s="11"/>
      <c r="K21" s="11"/>
      <c r="M21" s="36"/>
      <c r="N21" s="36"/>
      <c r="O21" s="36"/>
    </row>
    <row r="22" spans="2:15" x14ac:dyDescent="0.3">
      <c r="B22" s="6">
        <v>185</v>
      </c>
      <c r="C22" s="28"/>
      <c r="D22" s="11"/>
      <c r="E22" s="11"/>
      <c r="F22" s="30"/>
      <c r="I22" s="6"/>
      <c r="J22" s="11"/>
      <c r="K22" s="11"/>
      <c r="M22" s="36">
        <v>2.4</v>
      </c>
      <c r="N22" s="36"/>
      <c r="O22" s="36"/>
    </row>
    <row r="23" spans="2:15" x14ac:dyDescent="0.3">
      <c r="B23" s="6">
        <v>186</v>
      </c>
      <c r="C23" s="28"/>
      <c r="D23" s="11">
        <v>4</v>
      </c>
      <c r="E23" s="11"/>
      <c r="F23" s="30"/>
      <c r="I23" s="6">
        <v>186</v>
      </c>
      <c r="J23" s="11">
        <v>4</v>
      </c>
      <c r="K23" s="11"/>
      <c r="M23" s="36"/>
      <c r="N23" s="36"/>
      <c r="O23" s="36"/>
    </row>
    <row r="24" spans="2:15" x14ac:dyDescent="0.3">
      <c r="B24" s="6">
        <v>192</v>
      </c>
      <c r="C24" s="28"/>
      <c r="D24" s="11"/>
      <c r="E24" s="11">
        <v>0.5</v>
      </c>
      <c r="F24" s="30"/>
      <c r="I24" s="6">
        <v>192</v>
      </c>
      <c r="J24" s="11"/>
      <c r="K24" s="11">
        <v>0.5</v>
      </c>
      <c r="M24" s="36"/>
      <c r="N24" s="36"/>
      <c r="O24" s="36"/>
    </row>
    <row r="25" spans="2:15" x14ac:dyDescent="0.3">
      <c r="B25" s="6">
        <v>193</v>
      </c>
      <c r="C25" s="28"/>
      <c r="D25" s="11">
        <v>1.7</v>
      </c>
      <c r="E25" s="11"/>
      <c r="F25" s="30"/>
      <c r="I25" s="6">
        <v>193</v>
      </c>
      <c r="J25" s="11">
        <v>1.7</v>
      </c>
      <c r="K25" s="11"/>
      <c r="M25" s="36"/>
      <c r="N25" s="36"/>
      <c r="O25" s="36"/>
    </row>
    <row r="26" spans="2:15" x14ac:dyDescent="0.3">
      <c r="B26" s="6">
        <v>198</v>
      </c>
      <c r="C26" s="28"/>
      <c r="D26" s="11"/>
      <c r="E26" s="11"/>
      <c r="F26" s="30"/>
      <c r="G26" s="15"/>
      <c r="I26" s="6">
        <v>198</v>
      </c>
      <c r="J26" s="11"/>
      <c r="K26" s="11"/>
      <c r="L26" s="16"/>
      <c r="M26" s="36">
        <v>0.8</v>
      </c>
      <c r="N26" s="36"/>
      <c r="O26" s="36"/>
    </row>
    <row r="27" spans="2:15" x14ac:dyDescent="0.3">
      <c r="B27" s="6">
        <v>206</v>
      </c>
      <c r="C27" s="28"/>
      <c r="D27" s="11">
        <v>0.5</v>
      </c>
      <c r="E27" s="11">
        <v>0.8</v>
      </c>
      <c r="F27" s="30"/>
      <c r="G27" s="15"/>
      <c r="I27" s="6">
        <v>206</v>
      </c>
      <c r="J27" s="11">
        <v>0.5</v>
      </c>
      <c r="K27" s="11">
        <v>0.8</v>
      </c>
      <c r="L27" s="16"/>
      <c r="M27" s="36"/>
      <c r="N27" s="36"/>
      <c r="O27" s="36"/>
    </row>
    <row r="28" spans="2:15" x14ac:dyDescent="0.3">
      <c r="B28" s="6">
        <v>212</v>
      </c>
      <c r="C28" s="28"/>
      <c r="D28" s="11"/>
      <c r="E28" s="11"/>
      <c r="F28" s="30"/>
      <c r="I28" s="6">
        <v>212</v>
      </c>
      <c r="J28" s="11"/>
      <c r="K28" s="11"/>
      <c r="L28" s="16"/>
      <c r="M28" s="36">
        <v>0.2</v>
      </c>
      <c r="N28" s="36"/>
      <c r="O28" s="36"/>
    </row>
    <row r="29" spans="2:15" x14ac:dyDescent="0.3">
      <c r="B29" s="6">
        <v>220</v>
      </c>
      <c r="C29" s="28"/>
      <c r="D29" s="11"/>
      <c r="E29" s="11">
        <v>0</v>
      </c>
      <c r="F29" s="30"/>
      <c r="I29" s="6">
        <v>220</v>
      </c>
      <c r="J29" s="11"/>
      <c r="K29" s="11">
        <v>0</v>
      </c>
      <c r="L29" s="16"/>
      <c r="M29" s="36"/>
      <c r="N29" s="36"/>
      <c r="O29" s="36"/>
    </row>
    <row r="30" spans="2:15" x14ac:dyDescent="0.3">
      <c r="B30" s="6">
        <v>221</v>
      </c>
      <c r="C30" s="28"/>
      <c r="D30" s="11">
        <v>0.3</v>
      </c>
      <c r="E30" s="11"/>
      <c r="F30" s="30"/>
      <c r="I30" s="6">
        <v>221</v>
      </c>
      <c r="J30" s="11">
        <v>0.3</v>
      </c>
      <c r="K30" s="11"/>
      <c r="L30" s="16"/>
      <c r="M30" s="36"/>
      <c r="N30" s="36"/>
      <c r="O30" s="36"/>
    </row>
    <row r="31" spans="2:15" x14ac:dyDescent="0.3">
      <c r="B31" s="6">
        <v>226</v>
      </c>
      <c r="C31" s="28"/>
      <c r="D31" s="11"/>
      <c r="E31" s="11"/>
      <c r="F31" s="30"/>
      <c r="I31" s="6">
        <v>226</v>
      </c>
      <c r="J31" s="11"/>
      <c r="K31" s="11"/>
      <c r="M31" s="36">
        <v>0.2</v>
      </c>
      <c r="N31" s="36"/>
      <c r="O31" s="36"/>
    </row>
    <row r="32" spans="2:15" x14ac:dyDescent="0.3">
      <c r="B32" s="6">
        <v>234</v>
      </c>
      <c r="C32" s="28"/>
      <c r="D32" s="11"/>
      <c r="E32" s="11">
        <v>1.2</v>
      </c>
      <c r="F32" s="30"/>
      <c r="I32" s="6">
        <v>234</v>
      </c>
      <c r="J32" s="11"/>
      <c r="K32" s="11">
        <v>1.2</v>
      </c>
      <c r="M32" s="36"/>
      <c r="N32" s="36"/>
      <c r="O32" s="36"/>
    </row>
    <row r="33" spans="2:15" x14ac:dyDescent="0.3">
      <c r="B33" s="6">
        <v>235</v>
      </c>
      <c r="C33" s="28"/>
      <c r="D33" s="11">
        <v>0.2</v>
      </c>
      <c r="E33" s="11"/>
      <c r="F33" s="30"/>
      <c r="I33" s="6">
        <v>235</v>
      </c>
      <c r="J33" s="11">
        <v>0.2</v>
      </c>
      <c r="K33" s="11"/>
      <c r="M33" s="36"/>
      <c r="N33" s="36"/>
      <c r="O33" s="36"/>
    </row>
    <row r="34" spans="2:15" x14ac:dyDescent="0.3">
      <c r="B34" s="6">
        <v>246</v>
      </c>
      <c r="C34" s="28"/>
      <c r="D34" s="11">
        <v>0.2</v>
      </c>
      <c r="E34" s="11"/>
      <c r="F34" s="30"/>
      <c r="I34" s="6">
        <v>246</v>
      </c>
      <c r="J34" s="11">
        <v>0.2</v>
      </c>
      <c r="K34" s="11"/>
      <c r="M34" s="36"/>
      <c r="N34" s="36"/>
      <c r="O34" s="36"/>
    </row>
    <row r="35" spans="2:15" x14ac:dyDescent="0.3">
      <c r="B35" s="6">
        <v>265</v>
      </c>
      <c r="C35" s="28"/>
      <c r="D35" s="11">
        <v>0</v>
      </c>
      <c r="E35" s="11"/>
      <c r="F35" s="30"/>
      <c r="I35" s="6">
        <v>265</v>
      </c>
      <c r="J35" s="11">
        <v>0</v>
      </c>
      <c r="K35" s="11"/>
      <c r="M35" s="36"/>
      <c r="N35" s="36"/>
      <c r="O35" s="36"/>
    </row>
    <row r="36" spans="2:15" x14ac:dyDescent="0.3">
      <c r="B36" s="6"/>
      <c r="C36" s="1"/>
      <c r="D36" s="1"/>
      <c r="E36" s="1"/>
      <c r="F36" s="2"/>
      <c r="G36" s="15"/>
      <c r="I36" s="15"/>
      <c r="L36" s="16"/>
      <c r="M36" s="36"/>
      <c r="N36" s="36"/>
      <c r="O36" s="36"/>
    </row>
    <row r="37" spans="2:15" x14ac:dyDescent="0.3">
      <c r="B37" s="6" t="s">
        <v>6</v>
      </c>
      <c r="C37" s="29"/>
      <c r="D37" s="13">
        <f>AVERAGE(D5:D35)</f>
        <v>2.0333333333333332</v>
      </c>
      <c r="E37" s="13">
        <f>AVERAGE(E5:E35)</f>
        <v>2.4899999999999998</v>
      </c>
      <c r="F37" s="31"/>
      <c r="G37" s="15"/>
      <c r="I37" s="15"/>
      <c r="J37" s="15"/>
      <c r="L37" s="16"/>
      <c r="M37" s="13">
        <f>AVERAGE(M5:M35)</f>
        <v>5.3777777777777773</v>
      </c>
      <c r="N37" s="36"/>
      <c r="O37" s="36"/>
    </row>
    <row r="38" spans="2:15" x14ac:dyDescent="0.3">
      <c r="B38" s="6" t="s">
        <v>7</v>
      </c>
      <c r="C38" s="29"/>
      <c r="D38" s="13">
        <f>MIN(D5:D35)</f>
        <v>0</v>
      </c>
      <c r="E38" s="13">
        <f>MIN(E5:E35)</f>
        <v>0</v>
      </c>
      <c r="F38" s="31"/>
      <c r="J38" s="15"/>
      <c r="M38" s="13">
        <f>MIN(M5:M35)</f>
        <v>0.2</v>
      </c>
      <c r="N38" s="36"/>
      <c r="O38" s="36"/>
    </row>
    <row r="39" spans="2:15" x14ac:dyDescent="0.3">
      <c r="B39" s="6" t="s">
        <v>8</v>
      </c>
      <c r="C39" s="29"/>
      <c r="D39" s="13">
        <f>MAX(D5:D35)</f>
        <v>6.2</v>
      </c>
      <c r="E39" s="13">
        <f>MAX(E5:E35)</f>
        <v>7.4</v>
      </c>
      <c r="F39" s="31"/>
      <c r="G39" s="15"/>
      <c r="I39" s="15"/>
      <c r="L39" s="15"/>
      <c r="M39" s="13">
        <f>MAX(M5:M35)</f>
        <v>16</v>
      </c>
      <c r="N39" s="36"/>
      <c r="O39" s="36"/>
    </row>
    <row r="40" spans="2:15" x14ac:dyDescent="0.3">
      <c r="B40" s="6"/>
      <c r="C40" s="1"/>
      <c r="D40" s="1"/>
      <c r="E40" s="1"/>
      <c r="F40" s="2"/>
      <c r="G40" s="15"/>
      <c r="I40" s="15"/>
      <c r="L40" s="16"/>
    </row>
    <row r="41" spans="2:15" x14ac:dyDescent="0.3">
      <c r="B41" s="7"/>
      <c r="C41" s="1"/>
      <c r="D41" s="1"/>
      <c r="E41" s="1"/>
      <c r="F41" s="3"/>
      <c r="G41" s="15"/>
    </row>
    <row r="42" spans="2:15" x14ac:dyDescent="0.3">
      <c r="G42" s="15"/>
      <c r="L42" s="15"/>
    </row>
    <row r="43" spans="2:15" x14ac:dyDescent="0.3">
      <c r="G43" s="15"/>
      <c r="L43" s="16"/>
    </row>
    <row r="45" spans="2:15" x14ac:dyDescent="0.3">
      <c r="G45" s="15"/>
      <c r="L45" s="15"/>
    </row>
    <row r="46" spans="2:15" x14ac:dyDescent="0.3">
      <c r="G46" s="15"/>
      <c r="L46" s="16"/>
    </row>
    <row r="48" spans="2:15" x14ac:dyDescent="0.3">
      <c r="G48" s="15"/>
      <c r="L48" s="15"/>
    </row>
    <row r="49" spans="7:12" x14ac:dyDescent="0.3">
      <c r="G49" s="15"/>
      <c r="L49" s="16"/>
    </row>
    <row r="51" spans="7:12" x14ac:dyDescent="0.3">
      <c r="G51" s="18"/>
      <c r="L51" s="16"/>
    </row>
    <row r="52" spans="7:12" x14ac:dyDescent="0.3">
      <c r="G52" s="18"/>
      <c r="L52" s="16"/>
    </row>
    <row r="53" spans="7:12" x14ac:dyDescent="0.3">
      <c r="J53" s="17"/>
    </row>
  </sheetData>
  <mergeCells count="1">
    <mergeCell ref="C2:F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ED742-6BAD-4D4F-9045-5C6539A4A96C}">
  <dimension ref="B2:N58"/>
  <sheetViews>
    <sheetView workbookViewId="0">
      <selection activeCell="H3" sqref="H3:J3"/>
    </sheetView>
  </sheetViews>
  <sheetFormatPr defaultRowHeight="15.6" x14ac:dyDescent="0.3"/>
  <cols>
    <col min="2" max="2" width="8.88671875" style="4"/>
    <col min="7" max="7" width="12.6640625" style="17" bestFit="1" customWidth="1"/>
    <col min="8" max="8" width="8.88671875" style="19"/>
    <col min="9" max="9" width="8.33203125" style="13" customWidth="1"/>
    <col min="14" max="14" width="12.6640625" style="9" bestFit="1" customWidth="1"/>
  </cols>
  <sheetData>
    <row r="2" spans="2:14" x14ac:dyDescent="0.3">
      <c r="C2" s="34" t="s">
        <v>5</v>
      </c>
      <c r="D2" s="34"/>
      <c r="E2" s="34"/>
      <c r="F2" s="34"/>
      <c r="I2" s="15"/>
    </row>
    <row r="3" spans="2:14" x14ac:dyDescent="0.3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H3" s="33" t="s">
        <v>9</v>
      </c>
      <c r="I3" s="33" t="s">
        <v>10</v>
      </c>
      <c r="J3" s="33" t="s">
        <v>11</v>
      </c>
    </row>
    <row r="4" spans="2:14" x14ac:dyDescent="0.3">
      <c r="B4" s="33">
        <v>128</v>
      </c>
      <c r="C4" s="33"/>
      <c r="D4" s="33"/>
      <c r="E4" s="33"/>
      <c r="F4" s="33"/>
      <c r="H4" s="33">
        <v>0.2</v>
      </c>
      <c r="I4" s="33"/>
      <c r="J4" s="33"/>
    </row>
    <row r="5" spans="2:14" x14ac:dyDescent="0.3">
      <c r="B5" s="6">
        <v>134</v>
      </c>
      <c r="C5" s="13">
        <v>4.333333333333333</v>
      </c>
      <c r="D5" s="11"/>
      <c r="E5" s="11"/>
      <c r="F5" s="10"/>
      <c r="K5" s="15"/>
    </row>
    <row r="6" spans="2:14" x14ac:dyDescent="0.3">
      <c r="B6" s="6">
        <v>140</v>
      </c>
      <c r="C6" s="13">
        <v>3</v>
      </c>
      <c r="D6" s="11"/>
      <c r="E6" s="11"/>
      <c r="F6" s="10"/>
      <c r="G6" s="15"/>
      <c r="I6" s="15"/>
      <c r="N6" s="16"/>
    </row>
    <row r="7" spans="2:14" x14ac:dyDescent="0.3">
      <c r="B7" s="6">
        <v>142</v>
      </c>
      <c r="C7" s="13"/>
      <c r="D7" s="11"/>
      <c r="E7" s="11"/>
      <c r="F7" s="10"/>
      <c r="G7" s="15"/>
      <c r="H7" s="19">
        <v>0</v>
      </c>
      <c r="I7" s="15"/>
      <c r="N7" s="16"/>
    </row>
    <row r="8" spans="2:14" x14ac:dyDescent="0.3">
      <c r="B8" s="6">
        <v>144</v>
      </c>
      <c r="C8" s="13"/>
      <c r="D8" s="11"/>
      <c r="E8" s="11">
        <v>3</v>
      </c>
      <c r="F8" s="10"/>
      <c r="G8" s="15"/>
      <c r="I8" s="15"/>
      <c r="N8" s="16"/>
    </row>
    <row r="9" spans="2:14" x14ac:dyDescent="0.3">
      <c r="B9" s="6">
        <v>149</v>
      </c>
      <c r="C9" s="13">
        <v>1.5</v>
      </c>
      <c r="D9" s="11"/>
      <c r="E9" s="11">
        <v>3</v>
      </c>
      <c r="F9" s="10"/>
      <c r="G9" s="15"/>
      <c r="I9" s="15"/>
      <c r="J9" s="19"/>
      <c r="K9" s="15"/>
      <c r="N9" s="16"/>
    </row>
    <row r="10" spans="2:14" x14ac:dyDescent="0.3">
      <c r="B10" s="6">
        <v>154</v>
      </c>
      <c r="C10" s="20">
        <v>1.3</v>
      </c>
      <c r="D10" s="11"/>
      <c r="E10" s="11"/>
      <c r="F10" s="10"/>
      <c r="K10" s="15"/>
    </row>
    <row r="11" spans="2:14" x14ac:dyDescent="0.3">
      <c r="B11" s="6">
        <v>156</v>
      </c>
      <c r="C11" s="20"/>
      <c r="D11" s="11"/>
      <c r="E11" s="11"/>
      <c r="F11" s="10"/>
      <c r="H11" s="19">
        <v>0.2</v>
      </c>
      <c r="K11" s="15"/>
    </row>
    <row r="12" spans="2:14" x14ac:dyDescent="0.3">
      <c r="B12" s="6">
        <v>157</v>
      </c>
      <c r="C12" s="20"/>
      <c r="D12" s="11"/>
      <c r="E12" s="11">
        <v>1.4</v>
      </c>
      <c r="F12" s="10">
        <v>0</v>
      </c>
      <c r="K12" s="15"/>
    </row>
    <row r="13" spans="2:14" x14ac:dyDescent="0.3">
      <c r="B13" s="6">
        <v>162</v>
      </c>
      <c r="C13" s="20"/>
      <c r="D13" s="11"/>
      <c r="E13" s="11"/>
      <c r="F13" s="10">
        <v>0</v>
      </c>
      <c r="K13" s="15"/>
    </row>
    <row r="14" spans="2:14" x14ac:dyDescent="0.3">
      <c r="B14" s="6">
        <v>163</v>
      </c>
      <c r="C14" s="13">
        <v>1.1666666666666667</v>
      </c>
      <c r="D14" s="11"/>
      <c r="E14" s="11"/>
      <c r="F14" s="10"/>
      <c r="G14" s="15"/>
      <c r="I14" s="15"/>
      <c r="N14" s="16"/>
    </row>
    <row r="15" spans="2:14" x14ac:dyDescent="0.3">
      <c r="B15" s="6">
        <v>164</v>
      </c>
      <c r="C15" s="13"/>
      <c r="D15" s="11"/>
      <c r="E15" s="11"/>
      <c r="F15" s="10"/>
      <c r="G15" s="15"/>
      <c r="H15" s="19">
        <v>0</v>
      </c>
      <c r="I15" s="15"/>
      <c r="N15" s="16"/>
    </row>
    <row r="16" spans="2:14" x14ac:dyDescent="0.3">
      <c r="B16" s="6">
        <v>165</v>
      </c>
      <c r="C16" s="13"/>
      <c r="D16" s="11"/>
      <c r="E16" s="11">
        <v>0.2</v>
      </c>
      <c r="F16" s="10"/>
      <c r="G16" s="15"/>
      <c r="I16" s="15"/>
      <c r="N16" s="16"/>
    </row>
    <row r="17" spans="2:14" x14ac:dyDescent="0.3">
      <c r="B17" s="6">
        <v>168</v>
      </c>
      <c r="C17" s="13">
        <v>1.8333333333333333</v>
      </c>
      <c r="D17" s="11">
        <v>1</v>
      </c>
      <c r="E17" s="11"/>
      <c r="F17" s="10"/>
      <c r="G17" s="15"/>
      <c r="I17" s="15"/>
      <c r="J17" s="19"/>
      <c r="K17" s="15"/>
      <c r="N17" s="16"/>
    </row>
    <row r="18" spans="2:14" x14ac:dyDescent="0.3">
      <c r="B18" s="6">
        <v>170</v>
      </c>
      <c r="C18" s="13"/>
      <c r="D18" s="11"/>
      <c r="E18" s="11"/>
      <c r="F18" s="10">
        <v>0</v>
      </c>
      <c r="G18" s="15"/>
      <c r="I18" s="15"/>
      <c r="J18" s="19"/>
      <c r="K18" s="15"/>
      <c r="N18" s="16"/>
    </row>
    <row r="19" spans="2:14" x14ac:dyDescent="0.3">
      <c r="B19" s="6">
        <v>172</v>
      </c>
      <c r="C19" s="13"/>
      <c r="D19" s="11"/>
      <c r="E19" s="11"/>
      <c r="F19" s="10"/>
      <c r="G19" s="15"/>
      <c r="H19" s="19">
        <v>0.4</v>
      </c>
      <c r="I19" s="15"/>
      <c r="J19" s="19"/>
      <c r="K19" s="15"/>
      <c r="N19" s="16"/>
    </row>
    <row r="20" spans="2:14" x14ac:dyDescent="0.3">
      <c r="B20" s="6">
        <v>173</v>
      </c>
      <c r="C20" s="13"/>
      <c r="D20" s="11"/>
      <c r="E20" s="11">
        <v>0.8</v>
      </c>
      <c r="F20" s="10"/>
      <c r="G20" s="15"/>
      <c r="I20" s="15"/>
      <c r="J20" s="19"/>
      <c r="K20" s="15"/>
      <c r="N20" s="16"/>
    </row>
    <row r="21" spans="2:14" x14ac:dyDescent="0.3">
      <c r="B21" s="6">
        <v>177</v>
      </c>
      <c r="C21" s="13"/>
      <c r="D21" s="11"/>
      <c r="E21" s="11"/>
      <c r="F21" s="10">
        <v>0</v>
      </c>
      <c r="G21" s="15"/>
      <c r="I21" s="15"/>
      <c r="J21" s="19"/>
      <c r="K21" s="15"/>
      <c r="N21" s="16"/>
    </row>
    <row r="22" spans="2:14" x14ac:dyDescent="0.3">
      <c r="B22" s="6">
        <v>178</v>
      </c>
      <c r="C22" s="13"/>
      <c r="D22" s="11">
        <v>1.3</v>
      </c>
      <c r="E22" s="11"/>
      <c r="F22" s="10"/>
      <c r="G22" s="15"/>
      <c r="I22" s="15"/>
      <c r="J22" s="19"/>
      <c r="K22" s="15"/>
      <c r="N22" s="16"/>
    </row>
    <row r="23" spans="2:14" x14ac:dyDescent="0.3">
      <c r="B23" s="6">
        <v>179</v>
      </c>
      <c r="C23" s="13"/>
      <c r="D23" s="11"/>
      <c r="E23" s="11">
        <v>0.8</v>
      </c>
      <c r="F23" s="10"/>
      <c r="G23" s="15"/>
      <c r="I23" s="15"/>
      <c r="J23" s="19"/>
      <c r="K23" s="15"/>
      <c r="N23" s="16"/>
    </row>
    <row r="24" spans="2:14" x14ac:dyDescent="0.3">
      <c r="B24" s="6">
        <v>184</v>
      </c>
      <c r="C24" s="13">
        <v>1</v>
      </c>
      <c r="D24" s="11"/>
      <c r="E24" s="11"/>
      <c r="F24" s="10"/>
      <c r="K24" s="15"/>
    </row>
    <row r="25" spans="2:14" x14ac:dyDescent="0.3">
      <c r="B25" s="6">
        <v>185</v>
      </c>
      <c r="C25" s="13"/>
      <c r="D25" s="11"/>
      <c r="E25" s="11"/>
      <c r="F25" s="10"/>
      <c r="H25" s="19">
        <v>0</v>
      </c>
      <c r="K25" s="15"/>
    </row>
    <row r="26" spans="2:14" x14ac:dyDescent="0.3">
      <c r="B26" s="6">
        <v>186</v>
      </c>
      <c r="C26" s="13"/>
      <c r="D26" s="11">
        <v>0.7</v>
      </c>
      <c r="E26" s="11"/>
      <c r="F26" s="10"/>
      <c r="K26" s="15"/>
    </row>
    <row r="27" spans="2:14" x14ac:dyDescent="0.3">
      <c r="B27" s="6">
        <v>192</v>
      </c>
      <c r="C27" s="13"/>
      <c r="D27" s="11"/>
      <c r="E27" s="11">
        <v>1.2</v>
      </c>
      <c r="F27" s="10">
        <v>0</v>
      </c>
      <c r="K27" s="15"/>
    </row>
    <row r="28" spans="2:14" x14ac:dyDescent="0.3">
      <c r="B28" s="6">
        <v>193</v>
      </c>
      <c r="C28" s="13"/>
      <c r="D28" s="11">
        <v>1.3</v>
      </c>
      <c r="E28" s="11"/>
      <c r="F28" s="10"/>
      <c r="K28" s="15"/>
    </row>
    <row r="29" spans="2:14" x14ac:dyDescent="0.3">
      <c r="B29" s="6">
        <v>198</v>
      </c>
      <c r="C29" s="19">
        <v>1.5</v>
      </c>
      <c r="D29" s="11"/>
      <c r="E29" s="11"/>
      <c r="F29" s="10"/>
      <c r="G29" s="15"/>
      <c r="H29" s="19">
        <v>0</v>
      </c>
      <c r="I29" s="15"/>
      <c r="N29" s="16"/>
    </row>
    <row r="30" spans="2:14" x14ac:dyDescent="0.3">
      <c r="B30" s="6">
        <v>205</v>
      </c>
      <c r="C30" s="19"/>
      <c r="D30" s="11"/>
      <c r="E30" s="11"/>
      <c r="F30" s="10">
        <v>0</v>
      </c>
      <c r="G30" s="15"/>
      <c r="I30" s="15"/>
      <c r="N30" s="16"/>
    </row>
    <row r="31" spans="2:14" x14ac:dyDescent="0.3">
      <c r="B31" s="6">
        <v>206</v>
      </c>
      <c r="C31" s="19"/>
      <c r="D31" s="11">
        <v>1.8</v>
      </c>
      <c r="E31" s="11">
        <v>0.6</v>
      </c>
      <c r="F31" s="10"/>
      <c r="G31" s="15"/>
      <c r="I31" s="15"/>
      <c r="N31" s="16"/>
    </row>
    <row r="32" spans="2:14" x14ac:dyDescent="0.3">
      <c r="B32" s="6">
        <v>212</v>
      </c>
      <c r="C32" s="19">
        <v>0.5</v>
      </c>
      <c r="D32" s="11"/>
      <c r="E32" s="11"/>
      <c r="F32" s="10"/>
      <c r="H32" s="19">
        <v>0</v>
      </c>
      <c r="I32" s="15"/>
      <c r="J32" s="19"/>
      <c r="K32" s="15"/>
      <c r="N32" s="16"/>
    </row>
    <row r="33" spans="2:14" x14ac:dyDescent="0.3">
      <c r="B33" s="6">
        <v>218</v>
      </c>
      <c r="C33" s="19"/>
      <c r="D33" s="11"/>
      <c r="E33" s="11"/>
      <c r="F33" s="10">
        <v>0.2</v>
      </c>
      <c r="I33" s="15"/>
      <c r="J33" s="19"/>
      <c r="K33" s="15"/>
      <c r="N33" s="16"/>
    </row>
    <row r="34" spans="2:14" x14ac:dyDescent="0.3">
      <c r="B34" s="6">
        <v>220</v>
      </c>
      <c r="C34" s="19"/>
      <c r="D34" s="11"/>
      <c r="E34" s="11">
        <v>1</v>
      </c>
      <c r="F34" s="10"/>
      <c r="I34" s="15"/>
      <c r="J34" s="19"/>
      <c r="K34" s="15"/>
      <c r="N34" s="16"/>
    </row>
    <row r="35" spans="2:14" x14ac:dyDescent="0.3">
      <c r="B35" s="6">
        <v>221</v>
      </c>
      <c r="C35" s="19"/>
      <c r="D35" s="11">
        <v>1</v>
      </c>
      <c r="E35" s="11"/>
      <c r="F35" s="10"/>
      <c r="I35" s="15"/>
      <c r="J35" s="19"/>
      <c r="K35" s="15"/>
      <c r="N35" s="16"/>
    </row>
    <row r="36" spans="2:14" x14ac:dyDescent="0.3">
      <c r="B36" s="6">
        <v>226</v>
      </c>
      <c r="C36" s="19">
        <v>0.5</v>
      </c>
      <c r="D36" s="11"/>
      <c r="E36" s="11"/>
      <c r="F36" s="10"/>
      <c r="H36" s="19">
        <v>0</v>
      </c>
      <c r="K36" s="15"/>
    </row>
    <row r="37" spans="2:14" x14ac:dyDescent="0.3">
      <c r="B37" s="6">
        <v>234</v>
      </c>
      <c r="C37" s="19"/>
      <c r="D37" s="11"/>
      <c r="E37" s="11">
        <v>0.8</v>
      </c>
      <c r="F37" s="10">
        <v>0</v>
      </c>
      <c r="K37" s="15"/>
    </row>
    <row r="38" spans="2:14" x14ac:dyDescent="0.3">
      <c r="B38" s="6">
        <v>235</v>
      </c>
      <c r="C38" s="19"/>
      <c r="D38" s="11">
        <v>2.2999999999999998</v>
      </c>
      <c r="E38" s="11"/>
      <c r="F38" s="10"/>
      <c r="K38" s="15"/>
    </row>
    <row r="39" spans="2:14" x14ac:dyDescent="0.3">
      <c r="B39" s="6">
        <v>246</v>
      </c>
      <c r="C39" s="19"/>
      <c r="D39" s="11">
        <v>0.8</v>
      </c>
      <c r="E39" s="11"/>
      <c r="F39" s="10">
        <v>0</v>
      </c>
      <c r="K39" s="15"/>
    </row>
    <row r="40" spans="2:14" x14ac:dyDescent="0.3">
      <c r="B40" s="6">
        <v>265</v>
      </c>
      <c r="C40" s="19"/>
      <c r="D40" s="11">
        <v>0.8</v>
      </c>
      <c r="E40" s="11"/>
      <c r="F40" s="10"/>
      <c r="K40" s="15"/>
    </row>
    <row r="41" spans="2:14" x14ac:dyDescent="0.3">
      <c r="B41" s="6"/>
      <c r="C41" s="1"/>
      <c r="D41" s="1"/>
      <c r="E41" s="1"/>
      <c r="F41" s="2"/>
      <c r="G41" s="15"/>
      <c r="I41" s="15"/>
      <c r="N41" s="16"/>
    </row>
    <row r="42" spans="2:14" x14ac:dyDescent="0.3">
      <c r="B42" s="6" t="s">
        <v>6</v>
      </c>
      <c r="C42" s="13">
        <f>AVERAGE(C5:C40)</f>
        <v>1.6633333333333333</v>
      </c>
      <c r="D42" s="13">
        <f>AVERAGE(D5:D40)</f>
        <v>1.2222222222222223</v>
      </c>
      <c r="E42" s="13">
        <f>AVERAGE(E5:E40)</f>
        <v>1.28</v>
      </c>
      <c r="F42" s="12">
        <f>AVERAGE(F5:F40)</f>
        <v>2.2222222222222223E-2</v>
      </c>
      <c r="G42" s="15"/>
      <c r="H42" s="12">
        <f>AVERAGE(H5:H40)</f>
        <v>7.5000000000000011E-2</v>
      </c>
      <c r="I42" s="15"/>
      <c r="J42" s="19"/>
      <c r="K42" s="15"/>
      <c r="N42" s="16"/>
    </row>
    <row r="43" spans="2:14" x14ac:dyDescent="0.3">
      <c r="B43" s="6" t="s">
        <v>7</v>
      </c>
      <c r="C43" s="13">
        <f>MIN(C5:C40)</f>
        <v>0.5</v>
      </c>
      <c r="D43" s="13">
        <f>MIN(D5:D40)</f>
        <v>0.7</v>
      </c>
      <c r="E43" s="13">
        <f>MIN(E5:E40)</f>
        <v>0.2</v>
      </c>
      <c r="F43" s="13">
        <f>MIN(F5:F40)</f>
        <v>0</v>
      </c>
      <c r="H43" s="13">
        <f>MIN(H5:H40)</f>
        <v>0</v>
      </c>
      <c r="K43" s="15"/>
    </row>
    <row r="44" spans="2:14" x14ac:dyDescent="0.3">
      <c r="B44" s="6" t="s">
        <v>8</v>
      </c>
      <c r="C44" s="13">
        <f>MAX(C5:C40)</f>
        <v>4.333333333333333</v>
      </c>
      <c r="D44" s="13">
        <f>MAX(D5:D40)</f>
        <v>2.2999999999999998</v>
      </c>
      <c r="E44" s="13">
        <f>MAX(E5:E40)</f>
        <v>3</v>
      </c>
      <c r="F44" s="13">
        <f>MAX(F5:F40)</f>
        <v>0.2</v>
      </c>
      <c r="G44" s="15"/>
      <c r="H44" s="13">
        <f>MAX(H5:H40)</f>
        <v>0.4</v>
      </c>
      <c r="I44" s="15"/>
      <c r="J44" s="19"/>
      <c r="N44" s="15"/>
    </row>
    <row r="45" spans="2:14" x14ac:dyDescent="0.3">
      <c r="B45" s="6"/>
      <c r="C45" s="1"/>
      <c r="D45" s="1"/>
      <c r="E45" s="1"/>
      <c r="F45" s="2"/>
      <c r="G45" s="15"/>
      <c r="I45" s="15"/>
      <c r="J45" s="19"/>
      <c r="N45" s="16"/>
    </row>
    <row r="46" spans="2:14" x14ac:dyDescent="0.3">
      <c r="B46" s="7"/>
      <c r="C46" s="1"/>
      <c r="D46" s="1"/>
      <c r="E46" s="1"/>
      <c r="F46" s="3"/>
      <c r="G46" s="15"/>
    </row>
    <row r="47" spans="2:14" x14ac:dyDescent="0.3">
      <c r="G47" s="15"/>
      <c r="J47" s="19"/>
      <c r="N47" s="15"/>
    </row>
    <row r="48" spans="2:14" x14ac:dyDescent="0.3">
      <c r="G48" s="15"/>
      <c r="J48" s="19"/>
      <c r="N48" s="16"/>
    </row>
    <row r="50" spans="7:14" x14ac:dyDescent="0.3">
      <c r="G50" s="15"/>
      <c r="J50" s="19"/>
      <c r="N50" s="15"/>
    </row>
    <row r="51" spans="7:14" x14ac:dyDescent="0.3">
      <c r="G51" s="15"/>
      <c r="J51" s="19"/>
      <c r="N51" s="16"/>
    </row>
    <row r="53" spans="7:14" x14ac:dyDescent="0.3">
      <c r="G53" s="15"/>
      <c r="J53" s="19"/>
      <c r="N53" s="15"/>
    </row>
    <row r="54" spans="7:14" x14ac:dyDescent="0.3">
      <c r="G54" s="15"/>
      <c r="J54" s="19"/>
      <c r="N54" s="16"/>
    </row>
    <row r="56" spans="7:14" x14ac:dyDescent="0.3">
      <c r="G56" s="18"/>
      <c r="J56" s="19"/>
      <c r="N56" s="16"/>
    </row>
    <row r="57" spans="7:14" x14ac:dyDescent="0.3">
      <c r="G57" s="18"/>
      <c r="N57" s="16"/>
    </row>
    <row r="58" spans="7:14" x14ac:dyDescent="0.3">
      <c r="K58" s="17"/>
    </row>
  </sheetData>
  <mergeCells count="1">
    <mergeCell ref="C2:F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9DFEA-4234-42D9-B719-05841523D982}">
  <dimension ref="B2:N62"/>
  <sheetViews>
    <sheetView topLeftCell="A28" workbookViewId="0">
      <selection activeCell="O35" sqref="O35"/>
    </sheetView>
  </sheetViews>
  <sheetFormatPr defaultRowHeight="15.6" x14ac:dyDescent="0.3"/>
  <cols>
    <col min="2" max="2" width="8.88671875" style="4"/>
    <col min="7" max="7" width="12.6640625" style="17" bestFit="1" customWidth="1"/>
    <col min="8" max="8" width="8.88671875" style="19"/>
    <col min="9" max="9" width="8.33203125" style="13" customWidth="1"/>
    <col min="14" max="14" width="12.6640625" style="9" bestFit="1" customWidth="1"/>
  </cols>
  <sheetData>
    <row r="2" spans="2:14" x14ac:dyDescent="0.3">
      <c r="C2" s="34" t="s">
        <v>5</v>
      </c>
      <c r="D2" s="34"/>
      <c r="E2" s="34"/>
      <c r="F2" s="34"/>
      <c r="I2" s="15"/>
    </row>
    <row r="3" spans="2:14" x14ac:dyDescent="0.3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I3" s="33" t="s">
        <v>9</v>
      </c>
      <c r="J3" s="33" t="s">
        <v>10</v>
      </c>
      <c r="K3" s="33" t="s">
        <v>11</v>
      </c>
    </row>
    <row r="4" spans="2:14" x14ac:dyDescent="0.3">
      <c r="B4" s="33">
        <v>128</v>
      </c>
      <c r="C4" s="33"/>
      <c r="D4" s="33"/>
      <c r="E4" s="33"/>
      <c r="F4" s="33"/>
      <c r="I4" s="33">
        <v>0.2</v>
      </c>
      <c r="J4" s="33"/>
      <c r="K4" s="33"/>
    </row>
    <row r="5" spans="2:14" x14ac:dyDescent="0.3">
      <c r="B5" s="6">
        <v>134</v>
      </c>
      <c r="C5" s="19">
        <v>0.66666666666666663</v>
      </c>
      <c r="D5" s="11"/>
      <c r="E5" s="11"/>
      <c r="F5" s="10"/>
      <c r="K5" s="15"/>
    </row>
    <row r="6" spans="2:14" x14ac:dyDescent="0.3">
      <c r="B6" s="6">
        <v>140</v>
      </c>
      <c r="C6" s="19">
        <v>0.33333333333333331</v>
      </c>
      <c r="D6" s="11"/>
      <c r="E6" s="11"/>
      <c r="F6" s="10"/>
      <c r="G6" s="15"/>
      <c r="I6" s="15"/>
      <c r="N6" s="16"/>
    </row>
    <row r="7" spans="2:14" x14ac:dyDescent="0.3">
      <c r="B7" s="6">
        <v>142</v>
      </c>
      <c r="C7" s="19"/>
      <c r="D7" s="11"/>
      <c r="E7" s="11"/>
      <c r="F7" s="10"/>
      <c r="G7" s="15"/>
      <c r="I7" s="15">
        <v>0</v>
      </c>
      <c r="N7" s="16"/>
    </row>
    <row r="8" spans="2:14" x14ac:dyDescent="0.3">
      <c r="B8" s="6">
        <v>144</v>
      </c>
      <c r="C8" s="19"/>
      <c r="D8" s="11"/>
      <c r="E8" s="11">
        <v>0.4</v>
      </c>
      <c r="F8" s="10"/>
      <c r="G8" s="15"/>
      <c r="I8" s="15"/>
      <c r="N8" s="16"/>
    </row>
    <row r="9" spans="2:14" x14ac:dyDescent="0.3">
      <c r="B9" s="6">
        <v>149</v>
      </c>
      <c r="C9" s="19">
        <v>0</v>
      </c>
      <c r="D9" s="11"/>
      <c r="E9" s="11">
        <v>0.2</v>
      </c>
      <c r="F9" s="10"/>
      <c r="G9" s="15"/>
      <c r="I9" s="15">
        <v>0</v>
      </c>
      <c r="J9" s="19"/>
      <c r="K9" s="15"/>
      <c r="N9" s="16"/>
    </row>
    <row r="10" spans="2:14" x14ac:dyDescent="0.3">
      <c r="B10" s="6">
        <v>154</v>
      </c>
      <c r="C10" s="19">
        <v>0.33333333333333331</v>
      </c>
      <c r="D10" s="11"/>
      <c r="E10" s="11"/>
      <c r="F10" s="10"/>
      <c r="K10" s="15"/>
    </row>
    <row r="11" spans="2:14" x14ac:dyDescent="0.3">
      <c r="B11" s="6">
        <v>155</v>
      </c>
      <c r="C11" s="19"/>
      <c r="D11" s="11"/>
      <c r="E11" s="11"/>
      <c r="F11" s="10"/>
      <c r="J11">
        <v>0.4</v>
      </c>
      <c r="K11" s="15"/>
    </row>
    <row r="12" spans="2:14" x14ac:dyDescent="0.3">
      <c r="B12" s="6">
        <v>156</v>
      </c>
      <c r="C12" s="19"/>
      <c r="D12" s="11"/>
      <c r="E12" s="11"/>
      <c r="F12" s="10"/>
      <c r="I12" s="13">
        <v>0</v>
      </c>
      <c r="K12" s="15"/>
    </row>
    <row r="13" spans="2:14" x14ac:dyDescent="0.3">
      <c r="B13" s="6">
        <v>157</v>
      </c>
      <c r="C13" s="19"/>
      <c r="D13" s="11"/>
      <c r="E13" s="11">
        <v>0.2</v>
      </c>
      <c r="F13" s="10">
        <v>0.8</v>
      </c>
      <c r="K13" s="15"/>
    </row>
    <row r="14" spans="2:14" x14ac:dyDescent="0.3">
      <c r="B14" s="6">
        <v>162</v>
      </c>
      <c r="C14" s="19"/>
      <c r="D14" s="11"/>
      <c r="E14" s="11"/>
      <c r="F14" s="10">
        <v>0.7</v>
      </c>
      <c r="K14" s="15"/>
    </row>
    <row r="15" spans="2:14" x14ac:dyDescent="0.3">
      <c r="B15" s="6">
        <v>163</v>
      </c>
      <c r="C15" s="19">
        <v>0.33333333333333331</v>
      </c>
      <c r="D15" s="11"/>
      <c r="E15" s="11"/>
      <c r="F15" s="10"/>
      <c r="G15" s="15"/>
      <c r="I15" s="15"/>
      <c r="J15">
        <v>0</v>
      </c>
      <c r="N15" s="16"/>
    </row>
    <row r="16" spans="2:14" x14ac:dyDescent="0.3">
      <c r="B16" s="6">
        <v>164</v>
      </c>
      <c r="C16" s="19"/>
      <c r="D16" s="11"/>
      <c r="E16" s="11"/>
      <c r="F16" s="10"/>
      <c r="G16" s="15"/>
      <c r="I16" s="15">
        <v>0</v>
      </c>
      <c r="N16" s="16"/>
    </row>
    <row r="17" spans="2:14" x14ac:dyDescent="0.3">
      <c r="B17" s="6">
        <v>165</v>
      </c>
      <c r="C17" s="19"/>
      <c r="D17" s="11"/>
      <c r="E17" s="11">
        <v>0</v>
      </c>
      <c r="F17" s="10"/>
      <c r="G17" s="15"/>
      <c r="I17" s="15"/>
      <c r="N17" s="16"/>
    </row>
    <row r="18" spans="2:14" x14ac:dyDescent="0.3">
      <c r="B18" s="6">
        <v>168</v>
      </c>
      <c r="C18" s="19">
        <v>0</v>
      </c>
      <c r="D18" s="11">
        <v>0.3</v>
      </c>
      <c r="E18" s="11"/>
      <c r="F18" s="10"/>
      <c r="G18" s="15"/>
      <c r="I18" s="15"/>
      <c r="J18" s="19"/>
      <c r="K18" s="15"/>
      <c r="N18" s="16"/>
    </row>
    <row r="19" spans="2:14" x14ac:dyDescent="0.3">
      <c r="B19" s="6">
        <v>170</v>
      </c>
      <c r="C19" s="19"/>
      <c r="D19" s="11"/>
      <c r="E19" s="11"/>
      <c r="F19" s="10">
        <v>0.8</v>
      </c>
      <c r="G19" s="15"/>
      <c r="I19" s="15"/>
      <c r="J19" s="19">
        <v>0</v>
      </c>
      <c r="K19" s="15"/>
      <c r="N19" s="16"/>
    </row>
    <row r="20" spans="2:14" x14ac:dyDescent="0.3">
      <c r="B20" s="6">
        <v>172</v>
      </c>
      <c r="C20" s="19"/>
      <c r="D20" s="11"/>
      <c r="E20" s="11"/>
      <c r="F20" s="10"/>
      <c r="G20" s="15"/>
      <c r="I20" s="15">
        <v>0</v>
      </c>
      <c r="J20" s="19"/>
      <c r="K20" s="15"/>
      <c r="N20" s="16"/>
    </row>
    <row r="21" spans="2:14" x14ac:dyDescent="0.3">
      <c r="B21" s="6">
        <v>173</v>
      </c>
      <c r="C21" s="19"/>
      <c r="D21" s="11"/>
      <c r="E21" s="11">
        <v>0</v>
      </c>
      <c r="F21" s="10"/>
      <c r="G21" s="15"/>
      <c r="I21" s="15"/>
      <c r="J21" s="19"/>
      <c r="K21" s="15"/>
      <c r="N21" s="16"/>
    </row>
    <row r="22" spans="2:14" x14ac:dyDescent="0.3">
      <c r="B22" s="6">
        <v>177</v>
      </c>
      <c r="C22" s="19"/>
      <c r="D22" s="11"/>
      <c r="E22" s="11"/>
      <c r="F22" s="10">
        <v>1</v>
      </c>
      <c r="G22" s="15"/>
      <c r="I22" s="15"/>
      <c r="J22" s="19">
        <v>0.2</v>
      </c>
      <c r="K22" s="15"/>
      <c r="N22" s="16"/>
    </row>
    <row r="23" spans="2:14" x14ac:dyDescent="0.3">
      <c r="B23" s="6">
        <v>178</v>
      </c>
      <c r="C23" s="19"/>
      <c r="D23" s="11">
        <v>0.7</v>
      </c>
      <c r="E23" s="11"/>
      <c r="F23" s="10"/>
      <c r="G23" s="15"/>
      <c r="I23" s="15"/>
      <c r="J23" s="19"/>
      <c r="K23" s="15"/>
      <c r="N23" s="16"/>
    </row>
    <row r="24" spans="2:14" x14ac:dyDescent="0.3">
      <c r="B24" s="6">
        <v>179</v>
      </c>
      <c r="C24" s="19"/>
      <c r="D24" s="11"/>
      <c r="E24" s="11">
        <v>0.4</v>
      </c>
      <c r="F24" s="10"/>
      <c r="G24" s="15"/>
      <c r="I24" s="15"/>
      <c r="J24" s="19"/>
      <c r="K24" s="15"/>
      <c r="N24" s="16"/>
    </row>
    <row r="25" spans="2:14" x14ac:dyDescent="0.3">
      <c r="B25" s="6">
        <v>184</v>
      </c>
      <c r="C25" s="19">
        <v>0</v>
      </c>
      <c r="D25" s="11"/>
      <c r="E25" s="11"/>
      <c r="F25" s="10"/>
      <c r="J25">
        <v>0</v>
      </c>
      <c r="K25" s="15"/>
    </row>
    <row r="26" spans="2:14" x14ac:dyDescent="0.3">
      <c r="B26" s="6">
        <v>185</v>
      </c>
      <c r="C26" s="19"/>
      <c r="D26" s="11"/>
      <c r="E26" s="11"/>
      <c r="F26" s="10"/>
      <c r="I26" s="13">
        <v>0</v>
      </c>
      <c r="K26" s="15"/>
    </row>
    <row r="27" spans="2:14" x14ac:dyDescent="0.3">
      <c r="B27" s="6">
        <v>186</v>
      </c>
      <c r="C27" s="19"/>
      <c r="D27" s="11">
        <v>0.3</v>
      </c>
      <c r="E27" s="11"/>
      <c r="F27" s="10"/>
      <c r="K27" s="15"/>
    </row>
    <row r="28" spans="2:14" x14ac:dyDescent="0.3">
      <c r="B28" s="6">
        <v>191</v>
      </c>
      <c r="C28" s="19"/>
      <c r="D28" s="11"/>
      <c r="E28" s="11"/>
      <c r="F28" s="10"/>
      <c r="J28">
        <v>0</v>
      </c>
      <c r="K28" s="15"/>
    </row>
    <row r="29" spans="2:14" x14ac:dyDescent="0.3">
      <c r="B29" s="6">
        <v>192</v>
      </c>
      <c r="C29" s="19"/>
      <c r="D29" s="11"/>
      <c r="E29" s="11">
        <v>0.2</v>
      </c>
      <c r="F29" s="10">
        <v>0</v>
      </c>
      <c r="K29" s="15"/>
    </row>
    <row r="30" spans="2:14" x14ac:dyDescent="0.3">
      <c r="B30" s="6">
        <v>193</v>
      </c>
      <c r="C30" s="19"/>
      <c r="D30" s="11">
        <v>0</v>
      </c>
      <c r="E30" s="11"/>
      <c r="F30" s="10"/>
      <c r="K30" s="15"/>
    </row>
    <row r="31" spans="2:14" x14ac:dyDescent="0.3">
      <c r="B31" s="6">
        <v>198</v>
      </c>
      <c r="C31" s="19">
        <v>0</v>
      </c>
      <c r="D31" s="11"/>
      <c r="E31" s="11"/>
      <c r="F31" s="10"/>
      <c r="G31" s="15"/>
      <c r="I31" s="15">
        <v>0</v>
      </c>
      <c r="N31" s="16"/>
    </row>
    <row r="32" spans="2:14" x14ac:dyDescent="0.3">
      <c r="B32" s="6">
        <v>205</v>
      </c>
      <c r="C32" s="19"/>
      <c r="D32" s="11"/>
      <c r="E32" s="11"/>
      <c r="F32" s="10">
        <v>1</v>
      </c>
      <c r="G32" s="15"/>
      <c r="I32" s="15"/>
      <c r="J32">
        <v>0</v>
      </c>
      <c r="N32" s="16"/>
    </row>
    <row r="33" spans="2:14" x14ac:dyDescent="0.3">
      <c r="B33" s="6">
        <v>206</v>
      </c>
      <c r="C33" s="19"/>
      <c r="D33" s="11">
        <v>0</v>
      </c>
      <c r="E33" s="11">
        <v>0.4</v>
      </c>
      <c r="F33" s="10"/>
      <c r="G33" s="15"/>
      <c r="I33" s="15"/>
      <c r="N33" s="16"/>
    </row>
    <row r="34" spans="2:14" x14ac:dyDescent="0.3">
      <c r="B34" s="6">
        <v>212</v>
      </c>
      <c r="C34" s="19">
        <v>0.3</v>
      </c>
      <c r="D34" s="11"/>
      <c r="E34" s="11"/>
      <c r="F34" s="10"/>
      <c r="I34" s="15">
        <v>0</v>
      </c>
      <c r="J34" s="19"/>
      <c r="K34" s="15"/>
      <c r="N34" s="16"/>
    </row>
    <row r="35" spans="2:14" x14ac:dyDescent="0.3">
      <c r="B35" s="6">
        <v>218</v>
      </c>
      <c r="C35" s="19"/>
      <c r="D35" s="11"/>
      <c r="E35" s="11"/>
      <c r="F35" s="10">
        <v>3.8</v>
      </c>
      <c r="I35" s="15"/>
      <c r="J35" s="19"/>
      <c r="K35" s="15"/>
      <c r="N35" s="16"/>
    </row>
    <row r="36" spans="2:14" x14ac:dyDescent="0.3">
      <c r="B36" s="6">
        <v>219</v>
      </c>
      <c r="C36" s="19"/>
      <c r="D36" s="11"/>
      <c r="E36" s="11"/>
      <c r="F36" s="10"/>
      <c r="I36" s="15"/>
      <c r="J36" s="19">
        <v>0</v>
      </c>
      <c r="K36" s="15"/>
      <c r="N36" s="16"/>
    </row>
    <row r="37" spans="2:14" x14ac:dyDescent="0.3">
      <c r="B37" s="6">
        <v>220</v>
      </c>
      <c r="C37" s="19"/>
      <c r="D37" s="11"/>
      <c r="E37" s="11">
        <v>0.4</v>
      </c>
      <c r="F37" s="10"/>
      <c r="I37" s="15"/>
      <c r="J37" s="19"/>
      <c r="K37" s="15"/>
      <c r="N37" s="16"/>
    </row>
    <row r="38" spans="2:14" x14ac:dyDescent="0.3">
      <c r="B38" s="6">
        <v>221</v>
      </c>
      <c r="C38" s="19"/>
      <c r="D38" s="11">
        <v>0.2</v>
      </c>
      <c r="E38" s="11"/>
      <c r="F38" s="10"/>
      <c r="I38" s="15"/>
      <c r="J38" s="19"/>
      <c r="K38" s="15"/>
      <c r="N38" s="16"/>
    </row>
    <row r="39" spans="2:14" x14ac:dyDescent="0.3">
      <c r="B39" s="6">
        <v>226</v>
      </c>
      <c r="C39" s="19">
        <v>0.3</v>
      </c>
      <c r="D39" s="11"/>
      <c r="E39" s="11"/>
      <c r="F39" s="10"/>
      <c r="I39" s="13">
        <v>0</v>
      </c>
      <c r="K39" s="15"/>
    </row>
    <row r="40" spans="2:14" x14ac:dyDescent="0.3">
      <c r="B40" s="6">
        <v>234</v>
      </c>
      <c r="C40" s="19"/>
      <c r="D40" s="11"/>
      <c r="E40" s="11">
        <v>1.2</v>
      </c>
      <c r="F40" s="10">
        <v>1.2</v>
      </c>
      <c r="J40">
        <v>0.4</v>
      </c>
      <c r="K40" s="15"/>
    </row>
    <row r="41" spans="2:14" x14ac:dyDescent="0.3">
      <c r="B41" s="6">
        <v>235</v>
      </c>
      <c r="C41" s="19"/>
      <c r="D41" s="11">
        <v>0</v>
      </c>
      <c r="E41" s="11"/>
      <c r="F41" s="10"/>
      <c r="K41" s="15"/>
    </row>
    <row r="42" spans="2:14" x14ac:dyDescent="0.3">
      <c r="B42" s="6">
        <v>246</v>
      </c>
      <c r="C42" s="19"/>
      <c r="D42" s="11">
        <v>0</v>
      </c>
      <c r="E42" s="11"/>
      <c r="F42" s="10">
        <v>1.7</v>
      </c>
      <c r="K42" s="15"/>
    </row>
    <row r="43" spans="2:14" x14ac:dyDescent="0.3">
      <c r="B43" s="6">
        <v>248</v>
      </c>
      <c r="C43" s="19"/>
      <c r="D43" s="11"/>
      <c r="E43" s="11"/>
      <c r="F43" s="10"/>
      <c r="J43">
        <v>1.4</v>
      </c>
      <c r="K43" s="15"/>
    </row>
    <row r="44" spans="2:14" x14ac:dyDescent="0.3">
      <c r="B44" s="6">
        <v>265</v>
      </c>
      <c r="C44" s="19"/>
      <c r="D44" s="11">
        <v>0</v>
      </c>
      <c r="E44" s="11"/>
      <c r="F44" s="10"/>
      <c r="K44" s="15"/>
    </row>
    <row r="45" spans="2:14" x14ac:dyDescent="0.3">
      <c r="B45" s="6"/>
      <c r="C45" s="1"/>
      <c r="D45" s="1"/>
      <c r="E45" s="1"/>
      <c r="F45" s="2"/>
      <c r="G45" s="15"/>
      <c r="I45" s="15"/>
      <c r="N45" s="16"/>
    </row>
    <row r="46" spans="2:14" x14ac:dyDescent="0.3">
      <c r="B46" s="6" t="s">
        <v>6</v>
      </c>
      <c r="C46" s="13">
        <f>AVERAGE(C5:C44)</f>
        <v>0.22666666666666666</v>
      </c>
      <c r="D46" s="13">
        <f>AVERAGE(D5:D44)</f>
        <v>0.16666666666666666</v>
      </c>
      <c r="E46" s="13">
        <f>AVERAGE(E5:E44)</f>
        <v>0.34</v>
      </c>
      <c r="F46" s="13">
        <f>AVERAGE(F5:F44)</f>
        <v>1.2222222222222221</v>
      </c>
      <c r="G46" s="15"/>
      <c r="I46" s="12">
        <f t="shared" ref="I46:J46" si="0">AVERAGE(I5:I44)</f>
        <v>0</v>
      </c>
      <c r="J46" s="13">
        <f t="shared" si="0"/>
        <v>0.24</v>
      </c>
      <c r="K46" s="15"/>
      <c r="N46" s="16"/>
    </row>
    <row r="47" spans="2:14" x14ac:dyDescent="0.3">
      <c r="B47" s="6" t="s">
        <v>7</v>
      </c>
      <c r="C47" s="13">
        <f>MIN(C5:C44)</f>
        <v>0</v>
      </c>
      <c r="D47" s="13">
        <f>MIN(D5:D44)</f>
        <v>0</v>
      </c>
      <c r="E47" s="13">
        <f>MIN(E5:E44)</f>
        <v>0</v>
      </c>
      <c r="F47" s="13">
        <f>MIN(F5:F44)</f>
        <v>0</v>
      </c>
      <c r="I47" s="12">
        <f t="shared" ref="I47:J47" si="1">MIN(I5:I44)</f>
        <v>0</v>
      </c>
      <c r="J47" s="13">
        <f t="shared" si="1"/>
        <v>0</v>
      </c>
      <c r="K47" s="15"/>
    </row>
    <row r="48" spans="2:14" x14ac:dyDescent="0.3">
      <c r="B48" s="6" t="s">
        <v>8</v>
      </c>
      <c r="C48" s="13">
        <f>MAX(C5:C44)</f>
        <v>0.66666666666666663</v>
      </c>
      <c r="D48" s="13">
        <f>MAX(D5:D44)</f>
        <v>0.7</v>
      </c>
      <c r="E48" s="13">
        <f>MAX(E5:E44)</f>
        <v>1.2</v>
      </c>
      <c r="F48" s="13">
        <f>MAX(F5:F44)</f>
        <v>3.8</v>
      </c>
      <c r="G48" s="15"/>
      <c r="I48" s="12">
        <f t="shared" ref="I48:J48" si="2">MAX(I5:I44)</f>
        <v>0</v>
      </c>
      <c r="J48" s="13">
        <f t="shared" si="2"/>
        <v>1.4</v>
      </c>
      <c r="N48" s="15"/>
    </row>
    <row r="49" spans="2:14" x14ac:dyDescent="0.3">
      <c r="B49" s="6"/>
      <c r="C49" s="1"/>
      <c r="D49" s="1"/>
      <c r="E49" s="1"/>
      <c r="F49" s="2"/>
      <c r="G49" s="15"/>
      <c r="I49" s="15"/>
      <c r="J49" s="19"/>
      <c r="N49" s="16"/>
    </row>
    <row r="50" spans="2:14" x14ac:dyDescent="0.3">
      <c r="B50" s="7"/>
      <c r="C50" s="1"/>
      <c r="D50" s="1"/>
      <c r="E50" s="1"/>
      <c r="F50" s="3"/>
      <c r="G50" s="15"/>
    </row>
    <row r="51" spans="2:14" x14ac:dyDescent="0.3">
      <c r="G51" s="15"/>
      <c r="J51" s="19"/>
      <c r="N51" s="15"/>
    </row>
    <row r="52" spans="2:14" x14ac:dyDescent="0.3">
      <c r="G52" s="15"/>
      <c r="J52" s="19"/>
      <c r="N52" s="16"/>
    </row>
    <row r="54" spans="2:14" x14ac:dyDescent="0.3">
      <c r="G54" s="15"/>
      <c r="J54" s="19"/>
      <c r="N54" s="15"/>
    </row>
    <row r="55" spans="2:14" x14ac:dyDescent="0.3">
      <c r="G55" s="15"/>
      <c r="J55" s="19"/>
      <c r="N55" s="16"/>
    </row>
    <row r="57" spans="2:14" x14ac:dyDescent="0.3">
      <c r="G57" s="15"/>
      <c r="J57" s="19"/>
      <c r="N57" s="15"/>
    </row>
    <row r="58" spans="2:14" x14ac:dyDescent="0.3">
      <c r="G58" s="15"/>
      <c r="J58" s="19"/>
      <c r="N58" s="16"/>
    </row>
    <row r="60" spans="2:14" x14ac:dyDescent="0.3">
      <c r="G60" s="18"/>
      <c r="J60" s="19"/>
      <c r="N60" s="16"/>
    </row>
    <row r="61" spans="2:14" x14ac:dyDescent="0.3">
      <c r="G61" s="18"/>
      <c r="N61" s="16"/>
    </row>
    <row r="62" spans="2:14" x14ac:dyDescent="0.3">
      <c r="K62" s="17"/>
    </row>
  </sheetData>
  <mergeCells count="1">
    <mergeCell ref="C2:F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3E32-51B1-4759-914C-99EBFD748508}">
  <dimension ref="B2:N62"/>
  <sheetViews>
    <sheetView topLeftCell="A26" workbookViewId="0">
      <selection activeCell="M46" sqref="M46"/>
    </sheetView>
  </sheetViews>
  <sheetFormatPr defaultRowHeight="15.6" x14ac:dyDescent="0.3"/>
  <cols>
    <col min="2" max="2" width="8.88671875" style="4"/>
    <col min="7" max="7" width="12.6640625" style="17" bestFit="1" customWidth="1"/>
    <col min="8" max="8" width="8.88671875" style="19"/>
    <col min="9" max="9" width="8.33203125" style="13" customWidth="1"/>
    <col min="10" max="11" width="8.88671875" style="38"/>
    <col min="14" max="14" width="12.6640625" style="9" bestFit="1" customWidth="1"/>
  </cols>
  <sheetData>
    <row r="2" spans="2:14" x14ac:dyDescent="0.3">
      <c r="C2" s="34" t="s">
        <v>5</v>
      </c>
      <c r="D2" s="34"/>
      <c r="E2" s="34"/>
      <c r="F2" s="34"/>
      <c r="I2" s="15"/>
    </row>
    <row r="3" spans="2:14" x14ac:dyDescent="0.3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I3" s="33" t="s">
        <v>9</v>
      </c>
      <c r="J3" s="33" t="s">
        <v>10</v>
      </c>
      <c r="K3" s="33" t="s">
        <v>11</v>
      </c>
    </row>
    <row r="4" spans="2:14" x14ac:dyDescent="0.3">
      <c r="B4" s="33">
        <v>128</v>
      </c>
      <c r="C4" s="33"/>
      <c r="D4" s="33"/>
      <c r="E4" s="33"/>
      <c r="F4" s="33"/>
      <c r="I4" s="33">
        <v>22</v>
      </c>
      <c r="J4" s="33"/>
      <c r="K4" s="33"/>
    </row>
    <row r="5" spans="2:14" x14ac:dyDescent="0.3">
      <c r="B5" s="6">
        <v>134</v>
      </c>
      <c r="C5" s="19">
        <v>9</v>
      </c>
      <c r="D5" s="11"/>
      <c r="E5" s="11"/>
      <c r="F5" s="10"/>
      <c r="K5" s="15"/>
    </row>
    <row r="6" spans="2:14" x14ac:dyDescent="0.3">
      <c r="B6" s="6">
        <v>140</v>
      </c>
      <c r="C6" s="19">
        <v>9.5</v>
      </c>
      <c r="D6" s="11"/>
      <c r="E6" s="11"/>
      <c r="F6" s="10"/>
      <c r="G6" s="15"/>
      <c r="I6" s="15"/>
      <c r="N6" s="16"/>
    </row>
    <row r="7" spans="2:14" x14ac:dyDescent="0.3">
      <c r="B7" s="6">
        <v>142</v>
      </c>
      <c r="C7" s="19"/>
      <c r="D7" s="11"/>
      <c r="E7" s="11"/>
      <c r="F7" s="10"/>
      <c r="G7" s="15"/>
      <c r="I7" s="15">
        <v>27</v>
      </c>
      <c r="N7" s="16"/>
    </row>
    <row r="8" spans="2:14" x14ac:dyDescent="0.3">
      <c r="B8" s="6">
        <v>144</v>
      </c>
      <c r="C8" s="19"/>
      <c r="D8" s="11"/>
      <c r="E8" s="11">
        <v>2</v>
      </c>
      <c r="F8" s="10"/>
      <c r="G8" s="15"/>
      <c r="I8" s="15"/>
      <c r="N8" s="16"/>
    </row>
    <row r="9" spans="2:14" x14ac:dyDescent="0.3">
      <c r="B9" s="6">
        <v>149</v>
      </c>
      <c r="C9" s="19">
        <v>8.6999999999999993</v>
      </c>
      <c r="D9" s="11"/>
      <c r="E9" s="11">
        <v>2.8</v>
      </c>
      <c r="F9" s="10"/>
      <c r="G9" s="15"/>
      <c r="I9" s="15">
        <v>37</v>
      </c>
      <c r="J9" s="19"/>
      <c r="K9" s="15"/>
      <c r="N9" s="16"/>
    </row>
    <row r="10" spans="2:14" x14ac:dyDescent="0.3">
      <c r="B10" s="6">
        <v>154</v>
      </c>
      <c r="C10" s="19">
        <v>8.8000000000000007</v>
      </c>
      <c r="D10" s="11"/>
      <c r="E10" s="11"/>
      <c r="F10" s="10"/>
      <c r="K10" s="15"/>
    </row>
    <row r="11" spans="2:14" x14ac:dyDescent="0.3">
      <c r="B11" s="6">
        <v>155</v>
      </c>
      <c r="C11" s="19"/>
      <c r="D11" s="11"/>
      <c r="E11" s="11"/>
      <c r="F11" s="10"/>
      <c r="J11" s="38">
        <v>3.2</v>
      </c>
      <c r="K11" s="15"/>
    </row>
    <row r="12" spans="2:14" x14ac:dyDescent="0.3">
      <c r="B12" s="6">
        <v>156</v>
      </c>
      <c r="C12" s="19"/>
      <c r="D12" s="11"/>
      <c r="E12" s="11"/>
      <c r="F12" s="10"/>
      <c r="I12" s="13">
        <v>42</v>
      </c>
      <c r="K12" s="15"/>
    </row>
    <row r="13" spans="2:14" x14ac:dyDescent="0.3">
      <c r="B13" s="6">
        <v>157</v>
      </c>
      <c r="C13" s="19"/>
      <c r="D13" s="11"/>
      <c r="E13" s="11">
        <v>2.2000000000000002</v>
      </c>
      <c r="F13" s="10">
        <v>1.5</v>
      </c>
      <c r="K13" s="15"/>
    </row>
    <row r="14" spans="2:14" x14ac:dyDescent="0.3">
      <c r="B14" s="6">
        <v>162</v>
      </c>
      <c r="C14" s="19"/>
      <c r="D14" s="11"/>
      <c r="E14" s="11"/>
      <c r="F14" s="10">
        <v>2.2999999999999998</v>
      </c>
      <c r="K14" s="15"/>
    </row>
    <row r="15" spans="2:14" x14ac:dyDescent="0.3">
      <c r="B15" s="6">
        <v>163</v>
      </c>
      <c r="C15" s="19">
        <v>6.3</v>
      </c>
      <c r="D15" s="11"/>
      <c r="E15" s="11"/>
      <c r="F15" s="10"/>
      <c r="G15" s="15"/>
      <c r="I15" s="15"/>
      <c r="J15" s="38">
        <v>3.6</v>
      </c>
      <c r="N15" s="16"/>
    </row>
    <row r="16" spans="2:14" x14ac:dyDescent="0.3">
      <c r="B16" s="6">
        <v>164</v>
      </c>
      <c r="C16" s="19"/>
      <c r="D16" s="11"/>
      <c r="E16" s="11"/>
      <c r="F16" s="10"/>
      <c r="G16" s="15"/>
      <c r="I16" s="15">
        <v>21</v>
      </c>
      <c r="N16" s="16"/>
    </row>
    <row r="17" spans="2:14" x14ac:dyDescent="0.3">
      <c r="B17" s="6">
        <v>165</v>
      </c>
      <c r="C17" s="19"/>
      <c r="D17" s="11"/>
      <c r="E17" s="11">
        <v>6.4</v>
      </c>
      <c r="F17" s="10"/>
      <c r="G17" s="15"/>
      <c r="I17" s="15"/>
      <c r="N17" s="16"/>
    </row>
    <row r="18" spans="2:14" x14ac:dyDescent="0.3">
      <c r="B18" s="6">
        <v>168</v>
      </c>
      <c r="C18" s="19">
        <v>6.3</v>
      </c>
      <c r="D18" s="11">
        <v>12</v>
      </c>
      <c r="E18" s="11"/>
      <c r="F18" s="10"/>
      <c r="G18" s="15"/>
      <c r="I18" s="15"/>
      <c r="J18" s="19"/>
      <c r="K18" s="15"/>
      <c r="N18" s="16"/>
    </row>
    <row r="19" spans="2:14" x14ac:dyDescent="0.3">
      <c r="B19" s="6">
        <v>170</v>
      </c>
      <c r="C19" s="19"/>
      <c r="D19" s="11"/>
      <c r="E19" s="11"/>
      <c r="F19" s="10">
        <v>2.7</v>
      </c>
      <c r="G19" s="15"/>
      <c r="I19" s="15"/>
      <c r="J19" s="19">
        <v>6.4</v>
      </c>
      <c r="K19" s="15"/>
      <c r="N19" s="16"/>
    </row>
    <row r="20" spans="2:14" x14ac:dyDescent="0.3">
      <c r="B20" s="6">
        <v>172</v>
      </c>
      <c r="C20" s="19"/>
      <c r="D20" s="11"/>
      <c r="E20" s="11"/>
      <c r="F20" s="10"/>
      <c r="G20" s="15"/>
      <c r="I20" s="15">
        <v>21</v>
      </c>
      <c r="J20" s="19"/>
      <c r="K20" s="15"/>
      <c r="N20" s="16"/>
    </row>
    <row r="21" spans="2:14" x14ac:dyDescent="0.3">
      <c r="B21" s="6">
        <v>173</v>
      </c>
      <c r="C21" s="19"/>
      <c r="D21" s="11"/>
      <c r="E21" s="11">
        <v>4.4000000000000004</v>
      </c>
      <c r="F21" s="10"/>
      <c r="G21" s="15"/>
      <c r="I21" s="15"/>
      <c r="J21" s="19"/>
      <c r="K21" s="15"/>
      <c r="N21" s="16"/>
    </row>
    <row r="22" spans="2:14" x14ac:dyDescent="0.3">
      <c r="B22" s="6">
        <v>177</v>
      </c>
      <c r="C22" s="19"/>
      <c r="D22" s="11"/>
      <c r="E22" s="11"/>
      <c r="F22" s="10">
        <v>5.5</v>
      </c>
      <c r="G22" s="15"/>
      <c r="I22" s="15"/>
      <c r="J22" s="19">
        <v>17.2</v>
      </c>
      <c r="K22" s="15"/>
      <c r="N22" s="16"/>
    </row>
    <row r="23" spans="2:14" x14ac:dyDescent="0.3">
      <c r="B23" s="6">
        <v>178</v>
      </c>
      <c r="C23" s="19"/>
      <c r="D23" s="11">
        <v>15.7</v>
      </c>
      <c r="E23" s="11"/>
      <c r="F23" s="10"/>
      <c r="G23" s="15"/>
      <c r="I23" s="15"/>
      <c r="J23" s="19"/>
      <c r="K23" s="15"/>
      <c r="N23" s="16"/>
    </row>
    <row r="24" spans="2:14" x14ac:dyDescent="0.3">
      <c r="B24" s="6">
        <v>179</v>
      </c>
      <c r="C24" s="19"/>
      <c r="D24" s="11"/>
      <c r="E24" s="11">
        <v>5.2</v>
      </c>
      <c r="F24" s="10"/>
      <c r="G24" s="15"/>
      <c r="I24" s="15"/>
      <c r="J24" s="19"/>
      <c r="K24" s="15"/>
      <c r="N24" s="16"/>
    </row>
    <row r="25" spans="2:14" x14ac:dyDescent="0.3">
      <c r="B25" s="6">
        <v>184</v>
      </c>
      <c r="C25" s="13">
        <v>4.166666666666667</v>
      </c>
      <c r="D25" s="11"/>
      <c r="E25" s="11"/>
      <c r="F25" s="10"/>
      <c r="J25" s="38">
        <v>7.4</v>
      </c>
      <c r="K25" s="15"/>
    </row>
    <row r="26" spans="2:14" x14ac:dyDescent="0.3">
      <c r="B26" s="6">
        <v>185</v>
      </c>
      <c r="C26" s="13"/>
      <c r="D26" s="11"/>
      <c r="E26" s="11"/>
      <c r="F26" s="10"/>
      <c r="I26" s="13">
        <v>30</v>
      </c>
      <c r="K26" s="15"/>
    </row>
    <row r="27" spans="2:14" x14ac:dyDescent="0.3">
      <c r="B27" s="6">
        <v>186</v>
      </c>
      <c r="C27" s="13"/>
      <c r="D27" s="11">
        <v>15.2</v>
      </c>
      <c r="E27" s="11"/>
      <c r="F27" s="10"/>
      <c r="K27" s="15"/>
    </row>
    <row r="28" spans="2:14" x14ac:dyDescent="0.3">
      <c r="B28" s="6">
        <v>191</v>
      </c>
      <c r="C28" s="13"/>
      <c r="D28" s="11"/>
      <c r="E28" s="11"/>
      <c r="F28" s="10"/>
      <c r="J28" s="38">
        <v>6.8</v>
      </c>
      <c r="K28" s="15"/>
    </row>
    <row r="29" spans="2:14" x14ac:dyDescent="0.3">
      <c r="B29" s="6">
        <v>192</v>
      </c>
      <c r="C29" s="13"/>
      <c r="D29" s="11"/>
      <c r="E29" s="11">
        <v>1</v>
      </c>
      <c r="F29" s="10">
        <v>18.2</v>
      </c>
      <c r="K29" s="15"/>
    </row>
    <row r="30" spans="2:14" x14ac:dyDescent="0.3">
      <c r="B30" s="6">
        <v>193</v>
      </c>
      <c r="C30" s="13"/>
      <c r="D30" s="11">
        <v>15.8</v>
      </c>
      <c r="E30" s="11"/>
      <c r="F30" s="10"/>
      <c r="K30" s="15"/>
    </row>
    <row r="31" spans="2:14" x14ac:dyDescent="0.3">
      <c r="B31" s="6">
        <v>198</v>
      </c>
      <c r="C31" s="13">
        <v>5.166666666666667</v>
      </c>
      <c r="D31" s="11"/>
      <c r="E31" s="11"/>
      <c r="F31" s="10"/>
      <c r="G31" s="15"/>
      <c r="I31" s="15">
        <v>34</v>
      </c>
      <c r="N31" s="16"/>
    </row>
    <row r="32" spans="2:14" x14ac:dyDescent="0.3">
      <c r="B32" s="6">
        <v>205</v>
      </c>
      <c r="C32" s="13"/>
      <c r="D32" s="11"/>
      <c r="E32" s="11"/>
      <c r="F32" s="10">
        <v>21.8</v>
      </c>
      <c r="G32" s="15"/>
      <c r="I32" s="15"/>
      <c r="J32" s="38">
        <v>11.2</v>
      </c>
      <c r="N32" s="16"/>
    </row>
    <row r="33" spans="2:14" x14ac:dyDescent="0.3">
      <c r="B33" s="6">
        <v>206</v>
      </c>
      <c r="C33" s="13"/>
      <c r="D33" s="11">
        <v>10.8</v>
      </c>
      <c r="E33" s="11">
        <v>4.5999999999999996</v>
      </c>
      <c r="F33" s="10"/>
      <c r="G33" s="15"/>
      <c r="I33" s="15"/>
      <c r="N33" s="16"/>
    </row>
    <row r="34" spans="2:14" x14ac:dyDescent="0.3">
      <c r="B34" s="6">
        <v>212</v>
      </c>
      <c r="C34" s="19">
        <v>4.7</v>
      </c>
      <c r="D34" s="11"/>
      <c r="E34" s="11"/>
      <c r="F34" s="10"/>
      <c r="I34" s="15">
        <v>32</v>
      </c>
      <c r="J34" s="19"/>
      <c r="K34" s="15"/>
      <c r="N34" s="16"/>
    </row>
    <row r="35" spans="2:14" x14ac:dyDescent="0.3">
      <c r="B35" s="6">
        <v>218</v>
      </c>
      <c r="C35" s="19"/>
      <c r="D35" s="11"/>
      <c r="E35" s="11"/>
      <c r="F35" s="10">
        <v>29.7</v>
      </c>
      <c r="I35" s="15"/>
      <c r="J35" s="19"/>
      <c r="K35" s="15"/>
      <c r="N35" s="16"/>
    </row>
    <row r="36" spans="2:14" x14ac:dyDescent="0.3">
      <c r="B36" s="6">
        <v>219</v>
      </c>
      <c r="C36" s="19"/>
      <c r="D36" s="11"/>
      <c r="E36" s="11"/>
      <c r="F36" s="10"/>
      <c r="I36" s="15"/>
      <c r="J36" s="19">
        <v>9.4</v>
      </c>
      <c r="K36" s="15"/>
      <c r="N36" s="16"/>
    </row>
    <row r="37" spans="2:14" x14ac:dyDescent="0.3">
      <c r="B37" s="6">
        <v>220</v>
      </c>
      <c r="C37" s="19"/>
      <c r="D37" s="11"/>
      <c r="E37" s="11">
        <v>2.4</v>
      </c>
      <c r="F37" s="10"/>
      <c r="I37" s="15"/>
      <c r="J37" s="19"/>
      <c r="K37" s="15"/>
      <c r="N37" s="16"/>
    </row>
    <row r="38" spans="2:14" x14ac:dyDescent="0.3">
      <c r="B38" s="6">
        <v>221</v>
      </c>
      <c r="C38" s="19"/>
      <c r="D38" s="11">
        <v>9.6999999999999993</v>
      </c>
      <c r="E38" s="11"/>
      <c r="F38" s="10"/>
      <c r="I38" s="15"/>
      <c r="J38" s="19"/>
      <c r="K38" s="15"/>
      <c r="N38" s="16"/>
    </row>
    <row r="39" spans="2:14" x14ac:dyDescent="0.3">
      <c r="B39" s="6">
        <v>226</v>
      </c>
      <c r="C39" s="19">
        <v>4.2</v>
      </c>
      <c r="D39" s="11"/>
      <c r="E39" s="11"/>
      <c r="F39" s="10"/>
      <c r="I39" s="13">
        <v>14</v>
      </c>
      <c r="K39" s="15"/>
    </row>
    <row r="40" spans="2:14" x14ac:dyDescent="0.3">
      <c r="B40" s="6">
        <v>234</v>
      </c>
      <c r="C40" s="19"/>
      <c r="D40" s="11"/>
      <c r="E40" s="11">
        <v>7.8</v>
      </c>
      <c r="F40" s="10">
        <v>14.7</v>
      </c>
      <c r="J40" s="38">
        <v>7</v>
      </c>
      <c r="K40" s="15"/>
    </row>
    <row r="41" spans="2:14" x14ac:dyDescent="0.3">
      <c r="B41" s="6">
        <v>235</v>
      </c>
      <c r="C41" s="19"/>
      <c r="D41" s="11">
        <v>16.3</v>
      </c>
      <c r="E41" s="11"/>
      <c r="F41" s="10"/>
      <c r="K41" s="15"/>
    </row>
    <row r="42" spans="2:14" x14ac:dyDescent="0.3">
      <c r="B42" s="6">
        <v>246</v>
      </c>
      <c r="C42" s="19"/>
      <c r="D42" s="11">
        <v>10.199999999999999</v>
      </c>
      <c r="E42" s="11"/>
      <c r="F42" s="10">
        <v>17</v>
      </c>
      <c r="K42" s="15"/>
    </row>
    <row r="43" spans="2:14" x14ac:dyDescent="0.3">
      <c r="B43" s="6">
        <v>248</v>
      </c>
      <c r="C43" s="19"/>
      <c r="D43" s="11"/>
      <c r="E43" s="11"/>
      <c r="F43" s="10"/>
      <c r="J43" s="38">
        <v>9</v>
      </c>
      <c r="K43" s="15"/>
    </row>
    <row r="44" spans="2:14" x14ac:dyDescent="0.3">
      <c r="B44" s="6">
        <v>265</v>
      </c>
      <c r="C44" s="19"/>
      <c r="D44" s="11">
        <v>7.7</v>
      </c>
      <c r="E44" s="11"/>
      <c r="F44" s="10"/>
      <c r="K44" s="15"/>
    </row>
    <row r="45" spans="2:14" x14ac:dyDescent="0.3">
      <c r="B45" s="6"/>
      <c r="C45" s="1"/>
      <c r="D45" s="1"/>
      <c r="E45" s="1"/>
      <c r="F45" s="2"/>
      <c r="G45" s="15"/>
      <c r="I45" s="15"/>
      <c r="N45" s="16"/>
    </row>
    <row r="46" spans="2:14" x14ac:dyDescent="0.3">
      <c r="B46" s="6" t="s">
        <v>6</v>
      </c>
      <c r="C46" s="13">
        <f>AVERAGE(C5:C44)</f>
        <v>6.6833333333333327</v>
      </c>
      <c r="D46" s="13">
        <f>AVERAGE(D5:D44)</f>
        <v>12.600000000000001</v>
      </c>
      <c r="E46" s="13">
        <f>AVERAGE(E5:E44)</f>
        <v>3.88</v>
      </c>
      <c r="F46" s="13">
        <f>AVERAGE(F5:F44)</f>
        <v>12.600000000000001</v>
      </c>
      <c r="G46" s="15"/>
      <c r="I46" s="13">
        <f>AVERAGE(I5:I44)</f>
        <v>28.666666666666668</v>
      </c>
      <c r="J46" s="13">
        <f>AVERAGE(J5:J44)</f>
        <v>8.120000000000001</v>
      </c>
      <c r="K46" s="15"/>
      <c r="N46" s="16"/>
    </row>
    <row r="47" spans="2:14" x14ac:dyDescent="0.3">
      <c r="B47" s="6" t="s">
        <v>7</v>
      </c>
      <c r="C47" s="13">
        <f>MIN(C5:C44)</f>
        <v>4.166666666666667</v>
      </c>
      <c r="D47" s="13">
        <f>MIN(D5:D44)</f>
        <v>7.7</v>
      </c>
      <c r="E47" s="13">
        <f>MIN(E5:E44)</f>
        <v>1</v>
      </c>
      <c r="F47" s="13">
        <f>MIN(F5:F44)</f>
        <v>1.5</v>
      </c>
      <c r="I47" s="13">
        <f>MIN(I5:I44)</f>
        <v>14</v>
      </c>
      <c r="J47" s="13">
        <f>MIN(J5:J44)</f>
        <v>3.2</v>
      </c>
      <c r="K47" s="15"/>
    </row>
    <row r="48" spans="2:14" x14ac:dyDescent="0.3">
      <c r="B48" s="6" t="s">
        <v>8</v>
      </c>
      <c r="C48" s="13">
        <f>MAX(C5:C44)</f>
        <v>9.5</v>
      </c>
      <c r="D48" s="13">
        <f>MAX(D5:D44)</f>
        <v>16.3</v>
      </c>
      <c r="E48" s="13">
        <f>MAX(E5:E44)</f>
        <v>7.8</v>
      </c>
      <c r="F48" s="13">
        <f>MAX(F5:F44)</f>
        <v>29.7</v>
      </c>
      <c r="G48" s="15"/>
      <c r="I48" s="13">
        <f>MAX(I5:I44)</f>
        <v>42</v>
      </c>
      <c r="J48" s="13">
        <f>MAX(J5:J44)</f>
        <v>17.2</v>
      </c>
      <c r="N48" s="15"/>
    </row>
    <row r="49" spans="2:14" x14ac:dyDescent="0.3">
      <c r="B49" s="6"/>
      <c r="C49" s="1"/>
      <c r="D49" s="1"/>
      <c r="E49" s="1"/>
      <c r="F49" s="2"/>
      <c r="G49" s="15"/>
      <c r="I49" s="15"/>
      <c r="J49" s="19"/>
      <c r="N49" s="16"/>
    </row>
    <row r="50" spans="2:14" x14ac:dyDescent="0.3">
      <c r="B50" s="7"/>
      <c r="C50" s="1"/>
      <c r="D50" s="1"/>
      <c r="E50" s="1"/>
      <c r="F50" s="3"/>
      <c r="G50" s="15"/>
    </row>
    <row r="51" spans="2:14" x14ac:dyDescent="0.3">
      <c r="G51" s="15"/>
      <c r="J51" s="19"/>
      <c r="N51" s="15"/>
    </row>
    <row r="52" spans="2:14" x14ac:dyDescent="0.3">
      <c r="G52" s="15"/>
      <c r="J52" s="19"/>
      <c r="N52" s="16"/>
    </row>
    <row r="54" spans="2:14" x14ac:dyDescent="0.3">
      <c r="G54" s="15"/>
      <c r="J54" s="19"/>
      <c r="N54" s="15"/>
    </row>
    <row r="55" spans="2:14" x14ac:dyDescent="0.3">
      <c r="G55" s="15"/>
      <c r="J55" s="19"/>
      <c r="N55" s="16"/>
    </row>
    <row r="57" spans="2:14" x14ac:dyDescent="0.3">
      <c r="G57" s="15"/>
      <c r="J57" s="19"/>
      <c r="N57" s="15"/>
    </row>
    <row r="58" spans="2:14" x14ac:dyDescent="0.3">
      <c r="G58" s="15"/>
      <c r="J58" s="19"/>
      <c r="N58" s="16"/>
    </row>
    <row r="60" spans="2:14" x14ac:dyDescent="0.3">
      <c r="G60" s="18"/>
      <c r="J60" s="19"/>
      <c r="N60" s="16"/>
    </row>
    <row r="61" spans="2:14" x14ac:dyDescent="0.3">
      <c r="G61" s="18"/>
      <c r="N61" s="16"/>
    </row>
    <row r="62" spans="2:14" x14ac:dyDescent="0.3">
      <c r="K62" s="13"/>
    </row>
  </sheetData>
  <mergeCells count="1">
    <mergeCell ref="C2:F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2E47B-F20B-417E-9AB8-751FE0A31083}">
  <dimension ref="B2:N62"/>
  <sheetViews>
    <sheetView topLeftCell="A27" workbookViewId="0">
      <selection activeCell="P42" sqref="P42"/>
    </sheetView>
  </sheetViews>
  <sheetFormatPr defaultRowHeight="15.6" x14ac:dyDescent="0.3"/>
  <cols>
    <col min="2" max="2" width="8.88671875" style="4"/>
    <col min="7" max="7" width="12.6640625" style="17" bestFit="1" customWidth="1"/>
    <col min="8" max="8" width="8.88671875" style="19"/>
    <col min="9" max="9" width="8.33203125" style="13" customWidth="1"/>
    <col min="10" max="11" width="8.88671875" style="38"/>
    <col min="14" max="14" width="12.6640625" style="9" bestFit="1" customWidth="1"/>
  </cols>
  <sheetData>
    <row r="2" spans="2:14" x14ac:dyDescent="0.3">
      <c r="C2" s="34" t="s">
        <v>5</v>
      </c>
      <c r="D2" s="34"/>
      <c r="E2" s="34"/>
      <c r="F2" s="34"/>
      <c r="I2" s="15"/>
    </row>
    <row r="3" spans="2:14" x14ac:dyDescent="0.3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I3" s="33" t="s">
        <v>9</v>
      </c>
      <c r="J3" s="33" t="s">
        <v>10</v>
      </c>
      <c r="K3" s="33" t="s">
        <v>11</v>
      </c>
    </row>
    <row r="4" spans="2:14" x14ac:dyDescent="0.3">
      <c r="B4" s="33">
        <v>128</v>
      </c>
      <c r="C4" s="33"/>
      <c r="D4" s="33"/>
      <c r="E4" s="33"/>
      <c r="F4" s="33"/>
      <c r="I4" s="35">
        <v>0</v>
      </c>
      <c r="J4" s="35"/>
      <c r="K4" s="35"/>
    </row>
    <row r="5" spans="2:14" x14ac:dyDescent="0.3">
      <c r="B5" s="6">
        <v>134</v>
      </c>
      <c r="C5" s="13">
        <v>2</v>
      </c>
      <c r="D5" s="11"/>
      <c r="E5" s="11"/>
      <c r="F5" s="10"/>
      <c r="I5" s="12"/>
      <c r="J5" s="39"/>
      <c r="K5" s="37"/>
    </row>
    <row r="6" spans="2:14" x14ac:dyDescent="0.3">
      <c r="B6" s="6">
        <v>140</v>
      </c>
      <c r="C6" s="13">
        <v>3</v>
      </c>
      <c r="D6" s="11"/>
      <c r="E6" s="11"/>
      <c r="F6" s="10"/>
      <c r="G6" s="15"/>
      <c r="I6" s="37"/>
      <c r="J6" s="39"/>
      <c r="K6" s="39"/>
      <c r="N6" s="16"/>
    </row>
    <row r="7" spans="2:14" x14ac:dyDescent="0.3">
      <c r="B7" s="6">
        <v>142</v>
      </c>
      <c r="C7" s="13"/>
      <c r="D7" s="11"/>
      <c r="E7" s="11"/>
      <c r="F7" s="10"/>
      <c r="G7" s="15"/>
      <c r="I7" s="37">
        <v>1</v>
      </c>
      <c r="J7" s="39"/>
      <c r="K7" s="39"/>
      <c r="N7" s="16"/>
    </row>
    <row r="8" spans="2:14" x14ac:dyDescent="0.3">
      <c r="B8" s="6">
        <v>144</v>
      </c>
      <c r="C8" s="13"/>
      <c r="D8" s="11"/>
      <c r="E8" s="11">
        <v>0.6</v>
      </c>
      <c r="F8" s="10"/>
      <c r="G8" s="15"/>
      <c r="I8" s="37"/>
      <c r="J8" s="39"/>
      <c r="K8" s="39"/>
      <c r="N8" s="16"/>
    </row>
    <row r="9" spans="2:14" x14ac:dyDescent="0.3">
      <c r="B9" s="6">
        <v>149</v>
      </c>
      <c r="C9" s="13">
        <v>1.1666666666666667</v>
      </c>
      <c r="D9" s="11"/>
      <c r="E9" s="11">
        <v>0.4</v>
      </c>
      <c r="F9" s="10"/>
      <c r="G9" s="15"/>
      <c r="I9" s="37">
        <v>0.6</v>
      </c>
      <c r="J9" s="35"/>
      <c r="K9" s="37"/>
      <c r="N9" s="16"/>
    </row>
    <row r="10" spans="2:14" x14ac:dyDescent="0.3">
      <c r="B10" s="6">
        <v>154</v>
      </c>
      <c r="C10" s="13">
        <v>1.1666666666666667</v>
      </c>
      <c r="D10" s="11"/>
      <c r="E10" s="11"/>
      <c r="F10" s="10"/>
      <c r="I10" s="12"/>
      <c r="J10" s="39"/>
      <c r="K10" s="37"/>
    </row>
    <row r="11" spans="2:14" x14ac:dyDescent="0.3">
      <c r="B11" s="6">
        <v>155</v>
      </c>
      <c r="C11" s="13"/>
      <c r="D11" s="11"/>
      <c r="E11" s="11"/>
      <c r="F11" s="10"/>
      <c r="I11" s="12"/>
      <c r="J11" s="39">
        <v>2</v>
      </c>
      <c r="K11" s="37"/>
    </row>
    <row r="12" spans="2:14" x14ac:dyDescent="0.3">
      <c r="B12" s="6">
        <v>156</v>
      </c>
      <c r="C12" s="13"/>
      <c r="D12" s="11"/>
      <c r="E12" s="11"/>
      <c r="F12" s="10"/>
      <c r="I12" s="12">
        <v>1.2</v>
      </c>
      <c r="J12" s="39"/>
      <c r="K12" s="37"/>
    </row>
    <row r="13" spans="2:14" x14ac:dyDescent="0.3">
      <c r="B13" s="6">
        <v>157</v>
      </c>
      <c r="C13" s="13"/>
      <c r="D13" s="11"/>
      <c r="E13" s="11">
        <v>0.4</v>
      </c>
      <c r="F13" s="10">
        <v>1.5</v>
      </c>
      <c r="I13" s="12"/>
      <c r="J13" s="39"/>
      <c r="K13" s="37"/>
    </row>
    <row r="14" spans="2:14" x14ac:dyDescent="0.3">
      <c r="B14" s="6">
        <v>162</v>
      </c>
      <c r="C14" s="13"/>
      <c r="D14" s="11"/>
      <c r="E14" s="11"/>
      <c r="F14" s="10">
        <v>2.2999999999999998</v>
      </c>
      <c r="I14" s="12"/>
      <c r="J14" s="39"/>
      <c r="K14" s="37"/>
    </row>
    <row r="15" spans="2:14" x14ac:dyDescent="0.3">
      <c r="B15" s="6">
        <v>163</v>
      </c>
      <c r="C15" s="13">
        <v>1.1666666666666667</v>
      </c>
      <c r="D15" s="11"/>
      <c r="E15" s="11"/>
      <c r="F15" s="10"/>
      <c r="G15" s="15"/>
      <c r="I15" s="37"/>
      <c r="J15" s="39">
        <v>0.8</v>
      </c>
      <c r="K15" s="39"/>
      <c r="N15" s="16"/>
    </row>
    <row r="16" spans="2:14" x14ac:dyDescent="0.3">
      <c r="B16" s="6">
        <v>164</v>
      </c>
      <c r="C16" s="13"/>
      <c r="D16" s="11"/>
      <c r="E16" s="11"/>
      <c r="F16" s="10"/>
      <c r="G16" s="15"/>
      <c r="I16" s="37">
        <v>2.2000000000000002</v>
      </c>
      <c r="J16" s="39"/>
      <c r="K16" s="39"/>
      <c r="N16" s="16"/>
    </row>
    <row r="17" spans="2:14" x14ac:dyDescent="0.3">
      <c r="B17" s="6">
        <v>165</v>
      </c>
      <c r="C17" s="13"/>
      <c r="D17" s="11"/>
      <c r="E17" s="11">
        <v>3.2</v>
      </c>
      <c r="F17" s="10"/>
      <c r="G17" s="15"/>
      <c r="I17" s="37"/>
      <c r="J17" s="39"/>
      <c r="K17" s="39"/>
      <c r="N17" s="16"/>
    </row>
    <row r="18" spans="2:14" x14ac:dyDescent="0.3">
      <c r="B18" s="6">
        <v>168</v>
      </c>
      <c r="C18" s="13">
        <v>0.66666666666666663</v>
      </c>
      <c r="D18" s="11">
        <v>0.7</v>
      </c>
      <c r="E18" s="11"/>
      <c r="F18" s="10"/>
      <c r="G18" s="15"/>
      <c r="I18" s="37"/>
      <c r="J18" s="35"/>
      <c r="K18" s="37"/>
      <c r="N18" s="16"/>
    </row>
    <row r="19" spans="2:14" x14ac:dyDescent="0.3">
      <c r="B19" s="6">
        <v>170</v>
      </c>
      <c r="C19" s="13"/>
      <c r="D19" s="11"/>
      <c r="E19" s="11"/>
      <c r="F19" s="10">
        <v>2.7</v>
      </c>
      <c r="G19" s="15"/>
      <c r="I19" s="37"/>
      <c r="J19" s="35">
        <v>0.6</v>
      </c>
      <c r="K19" s="37"/>
      <c r="N19" s="16"/>
    </row>
    <row r="20" spans="2:14" x14ac:dyDescent="0.3">
      <c r="B20" s="6">
        <v>172</v>
      </c>
      <c r="C20" s="13"/>
      <c r="D20" s="11"/>
      <c r="E20" s="11"/>
      <c r="F20" s="10"/>
      <c r="G20" s="15"/>
      <c r="I20" s="37">
        <v>1.6</v>
      </c>
      <c r="J20" s="35"/>
      <c r="K20" s="37"/>
      <c r="N20" s="16"/>
    </row>
    <row r="21" spans="2:14" x14ac:dyDescent="0.3">
      <c r="B21" s="6">
        <v>173</v>
      </c>
      <c r="C21" s="13"/>
      <c r="D21" s="11"/>
      <c r="E21" s="11">
        <v>4.2</v>
      </c>
      <c r="F21" s="10"/>
      <c r="G21" s="15"/>
      <c r="I21" s="37"/>
      <c r="J21" s="35"/>
      <c r="K21" s="37"/>
      <c r="N21" s="16"/>
    </row>
    <row r="22" spans="2:14" x14ac:dyDescent="0.3">
      <c r="B22" s="6">
        <v>177</v>
      </c>
      <c r="C22" s="13"/>
      <c r="D22" s="11"/>
      <c r="E22" s="11"/>
      <c r="F22" s="10">
        <v>5.5</v>
      </c>
      <c r="G22" s="15"/>
      <c r="I22" s="37"/>
      <c r="J22" s="35">
        <v>0.2</v>
      </c>
      <c r="K22" s="37"/>
      <c r="N22" s="16"/>
    </row>
    <row r="23" spans="2:14" x14ac:dyDescent="0.3">
      <c r="B23" s="6">
        <v>178</v>
      </c>
      <c r="C23" s="13"/>
      <c r="D23" s="11">
        <v>0</v>
      </c>
      <c r="E23" s="11"/>
      <c r="F23" s="10"/>
      <c r="G23" s="15"/>
      <c r="I23" s="37"/>
      <c r="J23" s="35"/>
      <c r="K23" s="37"/>
      <c r="N23" s="16"/>
    </row>
    <row r="24" spans="2:14" x14ac:dyDescent="0.3">
      <c r="B24" s="6">
        <v>179</v>
      </c>
      <c r="C24" s="13"/>
      <c r="D24" s="11"/>
      <c r="E24" s="11">
        <v>0.4</v>
      </c>
      <c r="F24" s="10"/>
      <c r="G24" s="15"/>
      <c r="I24" s="37"/>
      <c r="J24" s="35"/>
      <c r="K24" s="37"/>
      <c r="N24" s="16"/>
    </row>
    <row r="25" spans="2:14" x14ac:dyDescent="0.3">
      <c r="B25" s="6">
        <v>184</v>
      </c>
      <c r="C25" s="13">
        <v>0.2</v>
      </c>
      <c r="D25" s="11"/>
      <c r="E25" s="11"/>
      <c r="F25" s="10"/>
      <c r="I25" s="12"/>
      <c r="J25" s="39">
        <v>0.6</v>
      </c>
      <c r="K25" s="37"/>
    </row>
    <row r="26" spans="2:14" x14ac:dyDescent="0.3">
      <c r="B26" s="6">
        <v>185</v>
      </c>
      <c r="C26" s="13"/>
      <c r="D26" s="11"/>
      <c r="E26" s="11"/>
      <c r="F26" s="10"/>
      <c r="I26" s="12">
        <v>1.8</v>
      </c>
      <c r="J26" s="39"/>
      <c r="K26" s="37"/>
    </row>
    <row r="27" spans="2:14" x14ac:dyDescent="0.3">
      <c r="B27" s="6">
        <v>186</v>
      </c>
      <c r="C27" s="13"/>
      <c r="D27" s="11">
        <v>0</v>
      </c>
      <c r="E27" s="11"/>
      <c r="F27" s="10"/>
      <c r="I27" s="12"/>
      <c r="J27" s="39"/>
      <c r="K27" s="37"/>
    </row>
    <row r="28" spans="2:14" x14ac:dyDescent="0.3">
      <c r="B28" s="6">
        <v>191</v>
      </c>
      <c r="C28" s="13"/>
      <c r="D28" s="11"/>
      <c r="E28" s="11"/>
      <c r="F28" s="10"/>
      <c r="I28" s="12"/>
      <c r="J28" s="39">
        <v>0.4</v>
      </c>
      <c r="K28" s="37"/>
    </row>
    <row r="29" spans="2:14" x14ac:dyDescent="0.3">
      <c r="B29" s="6">
        <v>192</v>
      </c>
      <c r="C29" s="13"/>
      <c r="D29" s="11"/>
      <c r="E29" s="11">
        <v>0.4</v>
      </c>
      <c r="F29" s="10">
        <v>18.2</v>
      </c>
      <c r="I29" s="12"/>
      <c r="J29" s="39"/>
      <c r="K29" s="37"/>
    </row>
    <row r="30" spans="2:14" x14ac:dyDescent="0.3">
      <c r="B30" s="6">
        <v>193</v>
      </c>
      <c r="C30" s="13"/>
      <c r="D30" s="11">
        <v>0</v>
      </c>
      <c r="E30" s="11"/>
      <c r="F30" s="10"/>
      <c r="I30" s="12"/>
      <c r="J30" s="39"/>
      <c r="K30" s="37"/>
    </row>
    <row r="31" spans="2:14" x14ac:dyDescent="0.3">
      <c r="B31" s="6">
        <v>198</v>
      </c>
      <c r="C31" s="13">
        <v>0.2</v>
      </c>
      <c r="D31" s="11"/>
      <c r="E31" s="11"/>
      <c r="F31" s="10"/>
      <c r="G31" s="15"/>
      <c r="I31" s="37">
        <v>1.6</v>
      </c>
      <c r="J31" s="39"/>
      <c r="K31" s="39"/>
      <c r="N31" s="16"/>
    </row>
    <row r="32" spans="2:14" x14ac:dyDescent="0.3">
      <c r="B32" s="6">
        <v>205</v>
      </c>
      <c r="C32" s="13"/>
      <c r="D32" s="11"/>
      <c r="E32" s="11"/>
      <c r="F32" s="10">
        <v>21.8</v>
      </c>
      <c r="G32" s="15"/>
      <c r="I32" s="37"/>
      <c r="J32" s="39">
        <v>0.4</v>
      </c>
      <c r="K32" s="39"/>
      <c r="N32" s="16"/>
    </row>
    <row r="33" spans="2:14" x14ac:dyDescent="0.3">
      <c r="B33" s="6">
        <v>206</v>
      </c>
      <c r="C33" s="13"/>
      <c r="D33" s="11">
        <v>0.8</v>
      </c>
      <c r="E33" s="11">
        <v>0.4</v>
      </c>
      <c r="F33" s="10"/>
      <c r="G33" s="15"/>
      <c r="I33" s="37"/>
      <c r="J33" s="39"/>
      <c r="K33" s="39"/>
      <c r="N33" s="16"/>
    </row>
    <row r="34" spans="2:14" x14ac:dyDescent="0.3">
      <c r="B34" s="6">
        <v>212</v>
      </c>
      <c r="C34" s="19">
        <v>0</v>
      </c>
      <c r="D34" s="11"/>
      <c r="E34" s="11"/>
      <c r="F34" s="10"/>
      <c r="I34" s="37">
        <v>1</v>
      </c>
      <c r="J34" s="35"/>
      <c r="K34" s="37"/>
      <c r="N34" s="16"/>
    </row>
    <row r="35" spans="2:14" x14ac:dyDescent="0.3">
      <c r="B35" s="6">
        <v>218</v>
      </c>
      <c r="C35" s="19"/>
      <c r="D35" s="11"/>
      <c r="E35" s="11"/>
      <c r="F35" s="10">
        <v>29.7</v>
      </c>
      <c r="I35" s="37"/>
      <c r="J35" s="35"/>
      <c r="K35" s="37"/>
      <c r="N35" s="16"/>
    </row>
    <row r="36" spans="2:14" x14ac:dyDescent="0.3">
      <c r="B36" s="6">
        <v>219</v>
      </c>
      <c r="C36" s="19"/>
      <c r="D36" s="11"/>
      <c r="E36" s="11"/>
      <c r="F36" s="10"/>
      <c r="I36" s="37"/>
      <c r="J36" s="35">
        <v>0.2</v>
      </c>
      <c r="K36" s="37"/>
      <c r="N36" s="16"/>
    </row>
    <row r="37" spans="2:14" x14ac:dyDescent="0.3">
      <c r="B37" s="6">
        <v>220</v>
      </c>
      <c r="C37" s="19"/>
      <c r="D37" s="11"/>
      <c r="E37" s="11">
        <v>0.6</v>
      </c>
      <c r="F37" s="10"/>
      <c r="I37" s="37"/>
      <c r="J37" s="35"/>
      <c r="K37" s="37"/>
      <c r="N37" s="16"/>
    </row>
    <row r="38" spans="2:14" x14ac:dyDescent="0.3">
      <c r="B38" s="6">
        <v>221</v>
      </c>
      <c r="C38" s="19"/>
      <c r="D38" s="11">
        <v>0.7</v>
      </c>
      <c r="E38" s="11"/>
      <c r="F38" s="10"/>
      <c r="I38" s="37"/>
      <c r="J38" s="35"/>
      <c r="K38" s="37"/>
      <c r="N38" s="16"/>
    </row>
    <row r="39" spans="2:14" x14ac:dyDescent="0.3">
      <c r="B39" s="6">
        <v>226</v>
      </c>
      <c r="C39" s="19">
        <v>0.3</v>
      </c>
      <c r="D39" s="11"/>
      <c r="E39" s="11"/>
      <c r="F39" s="10"/>
      <c r="I39" s="12">
        <v>0.6</v>
      </c>
      <c r="J39" s="39"/>
      <c r="K39" s="37"/>
    </row>
    <row r="40" spans="2:14" x14ac:dyDescent="0.3">
      <c r="B40" s="6">
        <v>234</v>
      </c>
      <c r="C40" s="19"/>
      <c r="D40" s="11"/>
      <c r="E40" s="11">
        <v>0.6</v>
      </c>
      <c r="F40" s="10">
        <v>14.7</v>
      </c>
      <c r="I40" s="12"/>
      <c r="J40" s="39">
        <v>0</v>
      </c>
      <c r="K40" s="37"/>
    </row>
    <row r="41" spans="2:14" x14ac:dyDescent="0.3">
      <c r="B41" s="6">
        <v>235</v>
      </c>
      <c r="C41" s="19"/>
      <c r="D41" s="11">
        <v>0.7</v>
      </c>
      <c r="E41" s="11"/>
      <c r="F41" s="10"/>
      <c r="I41" s="12"/>
      <c r="J41" s="39"/>
      <c r="K41" s="37"/>
    </row>
    <row r="42" spans="2:14" x14ac:dyDescent="0.3">
      <c r="B42" s="6">
        <v>246</v>
      </c>
      <c r="C42" s="19"/>
      <c r="D42" s="11">
        <v>1.7</v>
      </c>
      <c r="E42" s="11"/>
      <c r="F42" s="10">
        <v>17</v>
      </c>
      <c r="I42" s="12"/>
      <c r="J42" s="39"/>
      <c r="K42" s="37"/>
    </row>
    <row r="43" spans="2:14" x14ac:dyDescent="0.3">
      <c r="B43" s="6">
        <v>248</v>
      </c>
      <c r="C43" s="19"/>
      <c r="D43" s="11"/>
      <c r="E43" s="11"/>
      <c r="F43" s="10"/>
      <c r="I43" s="12"/>
      <c r="J43" s="39">
        <v>0.4</v>
      </c>
      <c r="K43" s="37"/>
    </row>
    <row r="44" spans="2:14" x14ac:dyDescent="0.3">
      <c r="B44" s="6">
        <v>265</v>
      </c>
      <c r="C44" s="19"/>
      <c r="D44" s="11">
        <v>0</v>
      </c>
      <c r="E44" s="11"/>
      <c r="F44" s="10"/>
      <c r="I44" s="12"/>
      <c r="J44" s="39"/>
      <c r="K44" s="37"/>
    </row>
    <row r="45" spans="2:14" x14ac:dyDescent="0.3">
      <c r="B45" s="6"/>
      <c r="C45" s="1"/>
      <c r="D45" s="1"/>
      <c r="E45" s="13"/>
      <c r="F45" s="2"/>
      <c r="G45" s="15"/>
      <c r="I45" s="37"/>
      <c r="J45" s="39"/>
      <c r="K45" s="39"/>
      <c r="N45" s="16"/>
    </row>
    <row r="46" spans="2:14" x14ac:dyDescent="0.3">
      <c r="B46" s="6" t="s">
        <v>6</v>
      </c>
      <c r="C46" s="13">
        <f>AVERAGE(C5:C44)</f>
        <v>0.98666666666666658</v>
      </c>
      <c r="D46" s="13">
        <f>AVERAGE(D5:D44)</f>
        <v>0.51111111111111118</v>
      </c>
      <c r="E46" s="13">
        <f>AVERAGE(E5:E44)</f>
        <v>1.1200000000000001</v>
      </c>
      <c r="F46" s="13">
        <f>AVERAGE(F5:F44)</f>
        <v>12.600000000000001</v>
      </c>
      <c r="G46" s="15"/>
      <c r="I46" s="12">
        <f>AVERAGE(I5:I44)</f>
        <v>1.2888888888888888</v>
      </c>
      <c r="J46" s="12">
        <f>AVERAGE(J5:J44)</f>
        <v>0.56000000000000016</v>
      </c>
      <c r="K46" s="37"/>
      <c r="N46" s="16"/>
    </row>
    <row r="47" spans="2:14" x14ac:dyDescent="0.3">
      <c r="B47" s="6" t="s">
        <v>7</v>
      </c>
      <c r="C47" s="13">
        <f>MIN(C5:C44)</f>
        <v>0</v>
      </c>
      <c r="D47" s="13">
        <f>MIN(D5:D44)</f>
        <v>0</v>
      </c>
      <c r="E47" s="13">
        <f>MIN(E5:E44)</f>
        <v>0.4</v>
      </c>
      <c r="F47" s="13">
        <f>MIN(F5:F44)</f>
        <v>1.5</v>
      </c>
      <c r="I47" s="12">
        <f>MIN(I5:I44)</f>
        <v>0.6</v>
      </c>
      <c r="J47" s="12">
        <f>MIN(J5:J44)</f>
        <v>0</v>
      </c>
      <c r="K47" s="37"/>
    </row>
    <row r="48" spans="2:14" x14ac:dyDescent="0.3">
      <c r="B48" s="6" t="s">
        <v>8</v>
      </c>
      <c r="C48" s="13">
        <f>MAX(C5:C44)</f>
        <v>3</v>
      </c>
      <c r="D48" s="13">
        <f>MAX(D5:D44)</f>
        <v>1.7</v>
      </c>
      <c r="E48" s="13">
        <f>MAX(E5:E44)</f>
        <v>4.2</v>
      </c>
      <c r="F48" s="13">
        <f>MAX(F5:F44)</f>
        <v>29.7</v>
      </c>
      <c r="G48" s="15"/>
      <c r="I48" s="12">
        <f>MAX(I5:I44)</f>
        <v>2.2000000000000002</v>
      </c>
      <c r="J48" s="12">
        <f>MAX(J5:J44)</f>
        <v>2</v>
      </c>
      <c r="K48" s="39"/>
      <c r="N48" s="15"/>
    </row>
    <row r="49" spans="2:14" x14ac:dyDescent="0.3">
      <c r="B49" s="6"/>
      <c r="C49" s="1"/>
      <c r="D49" s="1"/>
      <c r="E49" s="1"/>
      <c r="F49" s="2"/>
      <c r="G49" s="15"/>
      <c r="I49" s="15"/>
      <c r="J49" s="19"/>
      <c r="N49" s="16"/>
    </row>
    <row r="50" spans="2:14" x14ac:dyDescent="0.3">
      <c r="B50" s="7"/>
      <c r="C50" s="1"/>
      <c r="D50" s="1"/>
      <c r="E50" s="1"/>
      <c r="F50" s="3"/>
      <c r="G50" s="15"/>
    </row>
    <row r="51" spans="2:14" x14ac:dyDescent="0.3">
      <c r="G51" s="15"/>
      <c r="J51" s="19"/>
      <c r="N51" s="15"/>
    </row>
    <row r="52" spans="2:14" x14ac:dyDescent="0.3">
      <c r="G52" s="15"/>
      <c r="J52" s="19"/>
      <c r="N52" s="16"/>
    </row>
    <row r="54" spans="2:14" x14ac:dyDescent="0.3">
      <c r="G54" s="15"/>
      <c r="J54" s="19"/>
      <c r="N54" s="15"/>
    </row>
    <row r="55" spans="2:14" x14ac:dyDescent="0.3">
      <c r="G55" s="15"/>
      <c r="J55" s="19"/>
      <c r="N55" s="16"/>
    </row>
    <row r="57" spans="2:14" x14ac:dyDescent="0.3">
      <c r="G57" s="15"/>
      <c r="J57" s="19"/>
      <c r="N57" s="15"/>
    </row>
    <row r="58" spans="2:14" x14ac:dyDescent="0.3">
      <c r="G58" s="15"/>
      <c r="J58" s="19"/>
      <c r="N58" s="16"/>
    </row>
    <row r="60" spans="2:14" x14ac:dyDescent="0.3">
      <c r="G60" s="18"/>
      <c r="J60" s="19"/>
      <c r="N60" s="16"/>
    </row>
    <row r="61" spans="2:14" x14ac:dyDescent="0.3">
      <c r="G61" s="18"/>
      <c r="N61" s="16"/>
    </row>
    <row r="62" spans="2:14" x14ac:dyDescent="0.3">
      <c r="K62" s="13"/>
    </row>
  </sheetData>
  <mergeCells count="1">
    <mergeCell ref="C2:F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01215-0A58-4E9F-B895-05954ED26219}">
  <dimension ref="B2:N47"/>
  <sheetViews>
    <sheetView workbookViewId="0">
      <selection activeCell="I3" sqref="I3:K3"/>
    </sheetView>
  </sheetViews>
  <sheetFormatPr defaultRowHeight="15.6" x14ac:dyDescent="0.3"/>
  <cols>
    <col min="2" max="2" width="8.88671875" style="4"/>
    <col min="7" max="7" width="12.6640625" style="17" bestFit="1" customWidth="1"/>
    <col min="8" max="8" width="8.88671875" style="19"/>
    <col min="9" max="9" width="8.33203125" style="13" customWidth="1"/>
    <col min="14" max="14" width="12.6640625" style="9" bestFit="1" customWidth="1"/>
  </cols>
  <sheetData>
    <row r="2" spans="2:14" x14ac:dyDescent="0.3">
      <c r="C2" s="34" t="s">
        <v>5</v>
      </c>
      <c r="D2" s="34"/>
      <c r="E2" s="34"/>
      <c r="F2" s="34"/>
      <c r="I2" s="15"/>
    </row>
    <row r="3" spans="2:14" x14ac:dyDescent="0.3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I3" s="33" t="s">
        <v>9</v>
      </c>
      <c r="J3" s="33" t="s">
        <v>10</v>
      </c>
      <c r="K3" s="33" t="s">
        <v>11</v>
      </c>
    </row>
    <row r="4" spans="2:14" x14ac:dyDescent="0.3">
      <c r="B4" s="6">
        <v>134</v>
      </c>
      <c r="C4" s="13">
        <v>1.8333333333333333</v>
      </c>
      <c r="D4" s="11"/>
      <c r="E4" s="26"/>
      <c r="F4" s="10"/>
      <c r="K4" s="15"/>
    </row>
    <row r="5" spans="2:14" x14ac:dyDescent="0.3">
      <c r="B5" s="6">
        <v>140</v>
      </c>
      <c r="C5" s="13">
        <v>1.3333333333333333</v>
      </c>
      <c r="D5" s="11"/>
      <c r="E5" s="26"/>
      <c r="F5" s="10"/>
      <c r="G5" s="15"/>
      <c r="I5" s="15"/>
      <c r="N5" s="16"/>
    </row>
    <row r="6" spans="2:14" x14ac:dyDescent="0.3">
      <c r="B6" s="6">
        <v>149</v>
      </c>
      <c r="C6" s="13">
        <v>2.1666666666666665</v>
      </c>
      <c r="D6" s="11"/>
      <c r="E6" s="26"/>
      <c r="F6" s="10"/>
      <c r="G6" s="15"/>
      <c r="I6" s="15"/>
      <c r="J6" s="19"/>
      <c r="K6" s="15"/>
      <c r="N6" s="16"/>
    </row>
    <row r="7" spans="2:14" x14ac:dyDescent="0.3">
      <c r="B7" s="6">
        <v>154</v>
      </c>
      <c r="C7" s="13">
        <v>1.1666666666666667</v>
      </c>
      <c r="D7" s="11"/>
      <c r="E7" s="26"/>
      <c r="F7" s="10"/>
      <c r="K7" s="15"/>
    </row>
    <row r="8" spans="2:14" x14ac:dyDescent="0.3">
      <c r="B8" s="6">
        <v>157</v>
      </c>
      <c r="C8" s="13"/>
      <c r="D8" s="11"/>
      <c r="E8" s="26"/>
      <c r="F8" s="10">
        <v>0.2</v>
      </c>
      <c r="K8" s="15"/>
    </row>
    <row r="9" spans="2:14" x14ac:dyDescent="0.3">
      <c r="B9" s="6">
        <v>162</v>
      </c>
      <c r="C9" s="13"/>
      <c r="D9" s="11"/>
      <c r="E9" s="26"/>
      <c r="F9" s="10">
        <v>0.2</v>
      </c>
      <c r="K9" s="15"/>
    </row>
    <row r="10" spans="2:14" x14ac:dyDescent="0.3">
      <c r="B10" s="6">
        <v>163</v>
      </c>
      <c r="C10" s="13">
        <v>2.6666666666666665</v>
      </c>
      <c r="D10" s="11"/>
      <c r="E10" s="26"/>
      <c r="F10" s="10"/>
      <c r="G10" s="15"/>
      <c r="I10" s="15"/>
      <c r="N10" s="16"/>
    </row>
    <row r="11" spans="2:14" x14ac:dyDescent="0.3">
      <c r="B11" s="6">
        <v>168</v>
      </c>
      <c r="C11" s="13">
        <v>1.6666666666666667</v>
      </c>
      <c r="D11" s="11">
        <v>0.2</v>
      </c>
      <c r="E11" s="26"/>
      <c r="F11" s="10"/>
      <c r="G11" s="15"/>
      <c r="I11" s="15"/>
      <c r="J11" s="19"/>
      <c r="K11" s="15"/>
      <c r="N11" s="16"/>
    </row>
    <row r="12" spans="2:14" x14ac:dyDescent="0.3">
      <c r="B12" s="6">
        <v>170</v>
      </c>
      <c r="C12" s="13"/>
      <c r="D12" s="11"/>
      <c r="E12" s="26"/>
      <c r="F12" s="10">
        <v>0</v>
      </c>
      <c r="G12" s="15"/>
      <c r="I12" s="15"/>
      <c r="J12" s="19"/>
      <c r="K12" s="15"/>
      <c r="N12" s="16"/>
    </row>
    <row r="13" spans="2:14" x14ac:dyDescent="0.3">
      <c r="B13" s="6">
        <v>177</v>
      </c>
      <c r="C13" s="13"/>
      <c r="D13" s="11"/>
      <c r="E13" s="26"/>
      <c r="F13" s="10">
        <v>0</v>
      </c>
      <c r="G13" s="15"/>
      <c r="I13" s="15"/>
      <c r="J13" s="19"/>
      <c r="K13" s="15"/>
      <c r="N13" s="16"/>
    </row>
    <row r="14" spans="2:14" x14ac:dyDescent="0.3">
      <c r="B14" s="6">
        <v>178</v>
      </c>
      <c r="C14" s="13"/>
      <c r="D14" s="11">
        <v>2.2000000000000002</v>
      </c>
      <c r="E14" s="26"/>
      <c r="F14" s="10"/>
      <c r="G14" s="15"/>
      <c r="I14" s="15"/>
      <c r="J14" s="19"/>
      <c r="K14" s="15"/>
      <c r="N14" s="16"/>
    </row>
    <row r="15" spans="2:14" x14ac:dyDescent="0.3">
      <c r="B15" s="6">
        <v>184</v>
      </c>
      <c r="C15" s="13">
        <v>1.6666666666666667</v>
      </c>
      <c r="D15" s="11"/>
      <c r="E15" s="26"/>
      <c r="F15" s="10"/>
      <c r="K15" s="15"/>
    </row>
    <row r="16" spans="2:14" x14ac:dyDescent="0.3">
      <c r="B16" s="6">
        <v>186</v>
      </c>
      <c r="C16" s="13"/>
      <c r="D16" s="11">
        <v>1.5</v>
      </c>
      <c r="E16" s="26"/>
      <c r="F16" s="10"/>
      <c r="K16" s="15"/>
    </row>
    <row r="17" spans="2:14" x14ac:dyDescent="0.3">
      <c r="B17" s="6">
        <v>192</v>
      </c>
      <c r="C17" s="13"/>
      <c r="D17" s="11"/>
      <c r="E17" s="26"/>
      <c r="F17" s="10">
        <v>0</v>
      </c>
      <c r="K17" s="15"/>
    </row>
    <row r="18" spans="2:14" x14ac:dyDescent="0.3">
      <c r="B18" s="6">
        <v>193</v>
      </c>
      <c r="C18" s="13"/>
      <c r="D18" s="11">
        <v>0.5</v>
      </c>
      <c r="E18" s="26"/>
      <c r="F18" s="10"/>
      <c r="K18" s="15"/>
    </row>
    <row r="19" spans="2:14" x14ac:dyDescent="0.3">
      <c r="B19" s="6">
        <v>198</v>
      </c>
      <c r="C19" s="13">
        <v>1</v>
      </c>
      <c r="D19" s="11"/>
      <c r="E19" s="26"/>
      <c r="F19" s="10"/>
      <c r="G19" s="15"/>
      <c r="I19" s="15"/>
      <c r="N19" s="16"/>
    </row>
    <row r="20" spans="2:14" x14ac:dyDescent="0.3">
      <c r="B20" s="6">
        <v>205</v>
      </c>
      <c r="C20" s="13"/>
      <c r="D20" s="11"/>
      <c r="E20" s="26"/>
      <c r="F20" s="10">
        <v>0</v>
      </c>
      <c r="G20" s="15"/>
      <c r="I20" s="15"/>
      <c r="N20" s="16"/>
    </row>
    <row r="21" spans="2:14" x14ac:dyDescent="0.3">
      <c r="B21" s="6">
        <v>206</v>
      </c>
      <c r="C21" s="13"/>
      <c r="D21" s="11">
        <v>0</v>
      </c>
      <c r="E21" s="26"/>
      <c r="F21" s="10"/>
      <c r="G21" s="15"/>
      <c r="I21" s="15"/>
      <c r="N21" s="16"/>
    </row>
    <row r="22" spans="2:14" x14ac:dyDescent="0.3">
      <c r="B22" s="6">
        <v>212</v>
      </c>
      <c r="C22" s="19">
        <v>0</v>
      </c>
      <c r="D22" s="11"/>
      <c r="E22" s="26"/>
      <c r="F22" s="10"/>
      <c r="I22" s="15"/>
      <c r="J22" s="19"/>
      <c r="K22" s="15"/>
      <c r="N22" s="16"/>
    </row>
    <row r="23" spans="2:14" x14ac:dyDescent="0.3">
      <c r="B23" s="6">
        <v>218</v>
      </c>
      <c r="C23" s="19"/>
      <c r="D23" s="11"/>
      <c r="E23" s="26"/>
      <c r="F23" s="10">
        <v>0</v>
      </c>
      <c r="I23" s="15"/>
      <c r="J23" s="19"/>
      <c r="K23" s="15"/>
      <c r="N23" s="16"/>
    </row>
    <row r="24" spans="2:14" x14ac:dyDescent="0.3">
      <c r="B24" s="6">
        <v>221</v>
      </c>
      <c r="C24" s="19"/>
      <c r="D24" s="11">
        <v>0</v>
      </c>
      <c r="E24" s="26"/>
      <c r="F24" s="10"/>
      <c r="I24" s="15"/>
      <c r="J24" s="19"/>
      <c r="K24" s="15"/>
      <c r="N24" s="16"/>
    </row>
    <row r="25" spans="2:14" x14ac:dyDescent="0.3">
      <c r="B25" s="6">
        <v>226</v>
      </c>
      <c r="C25" s="19">
        <v>0</v>
      </c>
      <c r="D25" s="11"/>
      <c r="E25" s="26"/>
      <c r="F25" s="10"/>
      <c r="K25" s="15"/>
    </row>
    <row r="26" spans="2:14" x14ac:dyDescent="0.3">
      <c r="B26" s="6">
        <v>234</v>
      </c>
      <c r="C26" s="19"/>
      <c r="D26" s="11"/>
      <c r="E26" s="26"/>
      <c r="F26" s="10">
        <v>0</v>
      </c>
      <c r="K26" s="15"/>
    </row>
    <row r="27" spans="2:14" x14ac:dyDescent="0.3">
      <c r="B27" s="6">
        <v>235</v>
      </c>
      <c r="C27" s="19"/>
      <c r="D27" s="11">
        <v>0</v>
      </c>
      <c r="E27" s="26"/>
      <c r="F27" s="10"/>
      <c r="K27" s="15"/>
    </row>
    <row r="28" spans="2:14" x14ac:dyDescent="0.3">
      <c r="B28" s="6">
        <v>246</v>
      </c>
      <c r="C28" s="19"/>
      <c r="D28" s="11">
        <v>0</v>
      </c>
      <c r="E28" s="26"/>
      <c r="F28" s="10">
        <v>0</v>
      </c>
      <c r="K28" s="15"/>
    </row>
    <row r="29" spans="2:14" x14ac:dyDescent="0.3">
      <c r="B29" s="6">
        <v>265</v>
      </c>
      <c r="C29" s="19"/>
      <c r="D29" s="11">
        <v>0</v>
      </c>
      <c r="E29" s="26"/>
      <c r="F29" s="10"/>
      <c r="K29" s="15"/>
    </row>
    <row r="30" spans="2:14" x14ac:dyDescent="0.3">
      <c r="B30" s="6"/>
      <c r="C30" s="1"/>
      <c r="D30" s="1"/>
      <c r="E30" s="1"/>
      <c r="F30" s="2"/>
      <c r="G30" s="15"/>
      <c r="I30" s="15"/>
      <c r="N30" s="16"/>
    </row>
    <row r="31" spans="2:14" x14ac:dyDescent="0.3">
      <c r="B31" s="6" t="s">
        <v>6</v>
      </c>
      <c r="C31" s="13">
        <f>AVERAGE(C4:C29)</f>
        <v>1.3499999999999999</v>
      </c>
      <c r="D31" s="13">
        <f>AVERAGE(D4:D29)</f>
        <v>0.48888888888888893</v>
      </c>
      <c r="E31" s="1"/>
      <c r="F31" s="12">
        <f>AVERAGE(F4:F29)</f>
        <v>4.4444444444444446E-2</v>
      </c>
      <c r="G31" s="15"/>
      <c r="I31" s="15"/>
      <c r="J31" s="19"/>
      <c r="K31" s="15"/>
      <c r="N31" s="16"/>
    </row>
    <row r="32" spans="2:14" x14ac:dyDescent="0.3">
      <c r="B32" s="6" t="s">
        <v>7</v>
      </c>
      <c r="C32" s="13">
        <f>MIN(C4:C29)</f>
        <v>0</v>
      </c>
      <c r="D32" s="13">
        <f>MIN(D4:D29)</f>
        <v>0</v>
      </c>
      <c r="E32" s="1"/>
      <c r="F32" s="13">
        <f>MIN(F4:F29)</f>
        <v>0</v>
      </c>
      <c r="K32" s="15"/>
    </row>
    <row r="33" spans="2:14" x14ac:dyDescent="0.3">
      <c r="B33" s="6" t="s">
        <v>8</v>
      </c>
      <c r="C33" s="13">
        <f>MAX(C4:C29)</f>
        <v>2.6666666666666665</v>
      </c>
      <c r="D33" s="13">
        <f>MAX(D4:D29)</f>
        <v>2.2000000000000002</v>
      </c>
      <c r="E33" s="1"/>
      <c r="F33" s="13">
        <f>MAX(F4:F29)</f>
        <v>0.2</v>
      </c>
      <c r="G33" s="15"/>
      <c r="I33" s="15"/>
      <c r="J33" s="19"/>
      <c r="N33" s="15"/>
    </row>
    <row r="34" spans="2:14" x14ac:dyDescent="0.3">
      <c r="B34" s="6"/>
      <c r="C34" s="1"/>
      <c r="D34" s="1"/>
      <c r="E34" s="1"/>
      <c r="F34" s="2"/>
      <c r="G34" s="15"/>
      <c r="I34" s="15"/>
      <c r="J34" s="19"/>
      <c r="N34" s="16"/>
    </row>
    <row r="35" spans="2:14" x14ac:dyDescent="0.3">
      <c r="B35" s="7"/>
      <c r="C35" s="1"/>
      <c r="D35" s="1"/>
      <c r="E35" s="1"/>
      <c r="F35" s="3"/>
      <c r="G35" s="15"/>
    </row>
    <row r="36" spans="2:14" x14ac:dyDescent="0.3">
      <c r="G36" s="15"/>
      <c r="J36" s="19"/>
      <c r="N36" s="15"/>
    </row>
    <row r="37" spans="2:14" x14ac:dyDescent="0.3">
      <c r="G37" s="15"/>
      <c r="J37" s="19"/>
      <c r="N37" s="16"/>
    </row>
    <row r="39" spans="2:14" x14ac:dyDescent="0.3">
      <c r="G39" s="15"/>
      <c r="J39" s="19"/>
      <c r="N39" s="15"/>
    </row>
    <row r="40" spans="2:14" x14ac:dyDescent="0.3">
      <c r="G40" s="15"/>
      <c r="J40" s="19"/>
      <c r="N40" s="16"/>
    </row>
    <row r="42" spans="2:14" x14ac:dyDescent="0.3">
      <c r="G42" s="15"/>
      <c r="J42" s="19"/>
      <c r="N42" s="15"/>
    </row>
    <row r="43" spans="2:14" x14ac:dyDescent="0.3">
      <c r="G43" s="15"/>
      <c r="J43" s="19"/>
      <c r="N43" s="16"/>
    </row>
    <row r="45" spans="2:14" x14ac:dyDescent="0.3">
      <c r="G45" s="18"/>
      <c r="J45" s="19"/>
      <c r="N45" s="16"/>
    </row>
    <row r="46" spans="2:14" x14ac:dyDescent="0.3">
      <c r="G46" s="18"/>
      <c r="N46" s="16"/>
    </row>
    <row r="47" spans="2:14" x14ac:dyDescent="0.3">
      <c r="K47" s="17"/>
    </row>
  </sheetData>
  <mergeCells count="1">
    <mergeCell ref="C2:F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59D34-BCF9-4FF5-9026-E07D74BD6D49}">
  <dimension ref="B2:N62"/>
  <sheetViews>
    <sheetView workbookViewId="0">
      <selection activeCell="M19" sqref="M19"/>
    </sheetView>
  </sheetViews>
  <sheetFormatPr defaultRowHeight="15.6" x14ac:dyDescent="0.3"/>
  <cols>
    <col min="2" max="2" width="8.88671875" style="4"/>
    <col min="7" max="7" width="12.6640625" style="17" bestFit="1" customWidth="1"/>
    <col min="8" max="8" width="8.88671875" style="19"/>
    <col min="9" max="9" width="8.33203125" style="13" customWidth="1"/>
    <col min="10" max="10" width="8.88671875" style="38"/>
    <col min="14" max="14" width="12.6640625" style="9" bestFit="1" customWidth="1"/>
  </cols>
  <sheetData>
    <row r="2" spans="2:14" x14ac:dyDescent="0.3">
      <c r="C2" s="34" t="s">
        <v>5</v>
      </c>
      <c r="D2" s="34"/>
      <c r="E2" s="34"/>
      <c r="F2" s="34"/>
      <c r="I2" s="15"/>
    </row>
    <row r="3" spans="2:14" x14ac:dyDescent="0.3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I3" s="33" t="s">
        <v>9</v>
      </c>
      <c r="J3" s="33" t="s">
        <v>10</v>
      </c>
      <c r="K3" s="33" t="s">
        <v>11</v>
      </c>
    </row>
    <row r="4" spans="2:14" x14ac:dyDescent="0.3">
      <c r="B4" s="33">
        <v>128</v>
      </c>
      <c r="C4" s="33"/>
      <c r="D4" s="33"/>
      <c r="E4" s="33"/>
      <c r="F4" s="33"/>
      <c r="I4" s="35">
        <v>6</v>
      </c>
      <c r="J4" s="35"/>
      <c r="K4" s="35"/>
    </row>
    <row r="5" spans="2:14" x14ac:dyDescent="0.3">
      <c r="B5" s="6">
        <v>134</v>
      </c>
      <c r="C5" s="13">
        <v>1.6666666666666667</v>
      </c>
      <c r="D5" s="11"/>
      <c r="E5" s="11"/>
      <c r="F5" s="10"/>
      <c r="I5" s="12"/>
      <c r="J5" s="39"/>
      <c r="K5" s="37"/>
    </row>
    <row r="6" spans="2:14" x14ac:dyDescent="0.3">
      <c r="B6" s="6">
        <v>140</v>
      </c>
      <c r="C6" s="13">
        <v>2.3333333333333335</v>
      </c>
      <c r="D6" s="11"/>
      <c r="E6" s="11"/>
      <c r="F6" s="10"/>
      <c r="G6" s="15"/>
      <c r="I6" s="37"/>
      <c r="J6" s="39"/>
      <c r="K6" s="36"/>
      <c r="N6" s="16"/>
    </row>
    <row r="7" spans="2:14" x14ac:dyDescent="0.3">
      <c r="B7" s="6">
        <v>142</v>
      </c>
      <c r="C7" s="13"/>
      <c r="D7" s="11"/>
      <c r="E7" s="11"/>
      <c r="F7" s="10"/>
      <c r="G7" s="15"/>
      <c r="I7" s="37">
        <v>6.4</v>
      </c>
      <c r="J7" s="39"/>
      <c r="K7" s="36"/>
      <c r="N7" s="16"/>
    </row>
    <row r="8" spans="2:14" x14ac:dyDescent="0.3">
      <c r="B8" s="6">
        <v>144</v>
      </c>
      <c r="C8" s="13"/>
      <c r="D8" s="11"/>
      <c r="E8" s="11">
        <v>6.6</v>
      </c>
      <c r="F8" s="10"/>
      <c r="G8" s="15"/>
      <c r="I8" s="37"/>
      <c r="J8" s="39"/>
      <c r="K8" s="36"/>
      <c r="N8" s="16"/>
    </row>
    <row r="9" spans="2:14" x14ac:dyDescent="0.3">
      <c r="B9" s="6">
        <v>149</v>
      </c>
      <c r="C9" s="13">
        <v>2</v>
      </c>
      <c r="D9" s="11"/>
      <c r="E9" s="11">
        <v>5.4</v>
      </c>
      <c r="F9" s="10"/>
      <c r="G9" s="15"/>
      <c r="I9" s="37"/>
      <c r="J9" s="35"/>
      <c r="K9" s="37"/>
      <c r="N9" s="16"/>
    </row>
    <row r="10" spans="2:14" x14ac:dyDescent="0.3">
      <c r="B10" s="6">
        <v>154</v>
      </c>
      <c r="C10" s="13">
        <v>2.1666666666666665</v>
      </c>
      <c r="D10" s="11"/>
      <c r="E10" s="11"/>
      <c r="F10" s="10"/>
      <c r="I10" s="12"/>
      <c r="J10" s="39"/>
      <c r="K10" s="37"/>
    </row>
    <row r="11" spans="2:14" x14ac:dyDescent="0.3">
      <c r="B11" s="6">
        <v>155</v>
      </c>
      <c r="C11" s="13"/>
      <c r="D11" s="11"/>
      <c r="E11" s="11"/>
      <c r="F11" s="10"/>
      <c r="I11" s="12"/>
      <c r="J11" s="39">
        <v>110</v>
      </c>
      <c r="K11" s="37"/>
    </row>
    <row r="12" spans="2:14" x14ac:dyDescent="0.3">
      <c r="B12" s="6">
        <v>156</v>
      </c>
      <c r="C12" s="13"/>
      <c r="D12" s="11"/>
      <c r="E12" s="11"/>
      <c r="F12" s="10"/>
      <c r="I12" s="12">
        <v>4.5999999999999996</v>
      </c>
      <c r="J12" s="39"/>
      <c r="K12" s="37"/>
    </row>
    <row r="13" spans="2:14" x14ac:dyDescent="0.3">
      <c r="B13" s="6">
        <v>157</v>
      </c>
      <c r="C13" s="13"/>
      <c r="D13" s="11"/>
      <c r="E13" s="11">
        <v>6.8</v>
      </c>
      <c r="F13" s="10">
        <v>0.3</v>
      </c>
      <c r="I13" s="12"/>
      <c r="J13" s="39"/>
      <c r="K13" s="37"/>
    </row>
    <row r="14" spans="2:14" x14ac:dyDescent="0.3">
      <c r="B14" s="6">
        <v>162</v>
      </c>
      <c r="C14" s="13"/>
      <c r="D14" s="11"/>
      <c r="E14" s="11"/>
      <c r="F14" s="10">
        <v>0.5</v>
      </c>
      <c r="I14" s="12"/>
      <c r="J14" s="39"/>
      <c r="K14" s="37"/>
    </row>
    <row r="15" spans="2:14" x14ac:dyDescent="0.3">
      <c r="B15" s="6">
        <v>163</v>
      </c>
      <c r="C15" s="13">
        <v>1</v>
      </c>
      <c r="D15" s="11"/>
      <c r="E15" s="11"/>
      <c r="F15" s="10"/>
      <c r="G15" s="15"/>
      <c r="I15" s="37"/>
      <c r="J15" s="39">
        <v>47.8</v>
      </c>
      <c r="K15" s="36"/>
      <c r="N15" s="16"/>
    </row>
    <row r="16" spans="2:14" x14ac:dyDescent="0.3">
      <c r="B16" s="6">
        <v>164</v>
      </c>
      <c r="C16" s="13"/>
      <c r="D16" s="11"/>
      <c r="E16" s="11"/>
      <c r="F16" s="10"/>
      <c r="G16" s="15"/>
      <c r="I16" s="37">
        <v>1.2</v>
      </c>
      <c r="J16" s="39"/>
      <c r="K16" s="36"/>
      <c r="N16" s="16"/>
    </row>
    <row r="17" spans="2:14" x14ac:dyDescent="0.3">
      <c r="B17" s="6">
        <v>165</v>
      </c>
      <c r="C17" s="13"/>
      <c r="D17" s="11"/>
      <c r="E17" s="11">
        <v>2.6</v>
      </c>
      <c r="F17" s="10"/>
      <c r="G17" s="15"/>
      <c r="I17" s="37"/>
      <c r="J17" s="39"/>
      <c r="K17" s="36"/>
      <c r="N17" s="16"/>
    </row>
    <row r="18" spans="2:14" x14ac:dyDescent="0.3">
      <c r="B18" s="6">
        <v>168</v>
      </c>
      <c r="C18" s="13">
        <v>0.66666666666666663</v>
      </c>
      <c r="D18" s="11">
        <v>0.8</v>
      </c>
      <c r="E18" s="11"/>
      <c r="F18" s="10"/>
      <c r="G18" s="15"/>
      <c r="I18" s="37"/>
      <c r="J18" s="35"/>
      <c r="K18" s="37"/>
      <c r="N18" s="16"/>
    </row>
    <row r="19" spans="2:14" x14ac:dyDescent="0.3">
      <c r="B19" s="6">
        <v>170</v>
      </c>
      <c r="C19" s="13"/>
      <c r="D19" s="11"/>
      <c r="E19" s="11"/>
      <c r="F19" s="10">
        <v>0.3</v>
      </c>
      <c r="G19" s="15"/>
      <c r="I19" s="37"/>
      <c r="J19" s="35">
        <v>45.2</v>
      </c>
      <c r="K19" s="37"/>
      <c r="N19" s="16"/>
    </row>
    <row r="20" spans="2:14" x14ac:dyDescent="0.3">
      <c r="B20" s="6">
        <v>172</v>
      </c>
      <c r="C20" s="13"/>
      <c r="D20" s="11"/>
      <c r="E20" s="11"/>
      <c r="F20" s="10"/>
      <c r="G20" s="15"/>
      <c r="I20" s="37">
        <v>1.4</v>
      </c>
      <c r="J20" s="35"/>
      <c r="K20" s="37"/>
      <c r="N20" s="16"/>
    </row>
    <row r="21" spans="2:14" x14ac:dyDescent="0.3">
      <c r="B21" s="6">
        <v>173</v>
      </c>
      <c r="C21" s="13"/>
      <c r="D21" s="11"/>
      <c r="E21" s="11">
        <v>4</v>
      </c>
      <c r="F21" s="10"/>
      <c r="G21" s="15"/>
      <c r="I21" s="37"/>
      <c r="J21" s="35"/>
      <c r="K21" s="37"/>
      <c r="N21" s="16"/>
    </row>
    <row r="22" spans="2:14" x14ac:dyDescent="0.3">
      <c r="B22" s="6">
        <v>177</v>
      </c>
      <c r="C22" s="13"/>
      <c r="D22" s="11"/>
      <c r="E22" s="11"/>
      <c r="F22" s="10">
        <v>0.7</v>
      </c>
      <c r="G22" s="15"/>
      <c r="I22" s="37"/>
      <c r="J22" s="35">
        <v>41.4</v>
      </c>
      <c r="K22" s="37"/>
      <c r="N22" s="16"/>
    </row>
    <row r="23" spans="2:14" x14ac:dyDescent="0.3">
      <c r="B23" s="6">
        <v>178</v>
      </c>
      <c r="C23" s="13"/>
      <c r="D23" s="11">
        <v>0</v>
      </c>
      <c r="E23" s="11"/>
      <c r="F23" s="10"/>
      <c r="G23" s="15"/>
      <c r="I23" s="37"/>
      <c r="J23" s="35"/>
      <c r="K23" s="37"/>
      <c r="N23" s="16"/>
    </row>
    <row r="24" spans="2:14" x14ac:dyDescent="0.3">
      <c r="B24" s="6">
        <v>179</v>
      </c>
      <c r="C24" s="13"/>
      <c r="D24" s="11"/>
      <c r="E24" s="11">
        <v>2.2000000000000002</v>
      </c>
      <c r="F24" s="10"/>
      <c r="G24" s="15"/>
      <c r="I24" s="37"/>
      <c r="J24" s="35"/>
      <c r="K24" s="37"/>
      <c r="N24" s="16"/>
    </row>
    <row r="25" spans="2:14" x14ac:dyDescent="0.3">
      <c r="B25" s="6">
        <v>184</v>
      </c>
      <c r="C25" s="13">
        <v>0.8</v>
      </c>
      <c r="D25" s="11"/>
      <c r="E25" s="11"/>
      <c r="F25" s="10"/>
      <c r="I25" s="12"/>
      <c r="J25" s="39">
        <v>48</v>
      </c>
      <c r="K25" s="37"/>
    </row>
    <row r="26" spans="2:14" x14ac:dyDescent="0.3">
      <c r="B26" s="6">
        <v>185</v>
      </c>
      <c r="C26" s="13"/>
      <c r="D26" s="11"/>
      <c r="E26" s="11"/>
      <c r="F26" s="10"/>
      <c r="I26" s="12">
        <v>0.6</v>
      </c>
      <c r="J26" s="39"/>
      <c r="K26" s="37"/>
    </row>
    <row r="27" spans="2:14" x14ac:dyDescent="0.3">
      <c r="B27" s="6">
        <v>186</v>
      </c>
      <c r="C27" s="13"/>
      <c r="D27" s="11">
        <v>0.8</v>
      </c>
      <c r="E27" s="11"/>
      <c r="F27" s="10"/>
      <c r="I27" s="12"/>
      <c r="J27" s="39"/>
      <c r="K27" s="37"/>
    </row>
    <row r="28" spans="2:14" x14ac:dyDescent="0.3">
      <c r="B28" s="6">
        <v>191</v>
      </c>
      <c r="C28" s="13"/>
      <c r="D28" s="11"/>
      <c r="E28" s="11"/>
      <c r="F28" s="10"/>
      <c r="I28" s="12"/>
      <c r="J28" s="39">
        <v>64.2</v>
      </c>
      <c r="K28" s="37"/>
    </row>
    <row r="29" spans="2:14" x14ac:dyDescent="0.3">
      <c r="B29" s="6">
        <v>192</v>
      </c>
      <c r="C29" s="13"/>
      <c r="D29" s="11"/>
      <c r="E29" s="11">
        <v>2.2000000000000002</v>
      </c>
      <c r="F29" s="10">
        <v>0.8</v>
      </c>
      <c r="I29" s="12"/>
      <c r="J29" s="39"/>
      <c r="K29" s="37"/>
    </row>
    <row r="30" spans="2:14" x14ac:dyDescent="0.3">
      <c r="B30" s="6">
        <v>193</v>
      </c>
      <c r="C30" s="13"/>
      <c r="D30" s="11">
        <v>0</v>
      </c>
      <c r="E30" s="11"/>
      <c r="F30" s="10"/>
      <c r="I30" s="12"/>
      <c r="J30" s="39"/>
      <c r="K30" s="37"/>
    </row>
    <row r="31" spans="2:14" x14ac:dyDescent="0.3">
      <c r="B31" s="6">
        <v>198</v>
      </c>
      <c r="C31" s="13">
        <v>0.7</v>
      </c>
      <c r="D31" s="11"/>
      <c r="E31" s="11"/>
      <c r="F31" s="10"/>
      <c r="G31" s="15"/>
      <c r="I31" s="37">
        <v>2.4</v>
      </c>
      <c r="J31" s="39"/>
      <c r="K31" s="36"/>
      <c r="N31" s="16"/>
    </row>
    <row r="32" spans="2:14" x14ac:dyDescent="0.3">
      <c r="B32" s="6">
        <v>205</v>
      </c>
      <c r="C32" s="13"/>
      <c r="D32" s="11"/>
      <c r="E32" s="11"/>
      <c r="F32" s="10">
        <v>0.8</v>
      </c>
      <c r="G32" s="15"/>
      <c r="I32" s="37"/>
      <c r="J32" s="39">
        <v>59</v>
      </c>
      <c r="K32" s="36"/>
      <c r="N32" s="16"/>
    </row>
    <row r="33" spans="2:14" x14ac:dyDescent="0.3">
      <c r="B33" s="6">
        <v>206</v>
      </c>
      <c r="C33" s="13"/>
      <c r="D33" s="11">
        <v>1</v>
      </c>
      <c r="E33" s="11">
        <v>3.6</v>
      </c>
      <c r="F33" s="10"/>
      <c r="G33" s="15"/>
      <c r="I33" s="37"/>
      <c r="J33" s="39"/>
      <c r="K33" s="36"/>
      <c r="N33" s="16"/>
    </row>
    <row r="34" spans="2:14" x14ac:dyDescent="0.3">
      <c r="B34" s="6">
        <v>212</v>
      </c>
      <c r="C34" s="19">
        <v>0.3</v>
      </c>
      <c r="D34" s="11"/>
      <c r="E34" s="11"/>
      <c r="F34" s="10"/>
      <c r="I34" s="37">
        <v>0.6</v>
      </c>
      <c r="J34" s="35"/>
      <c r="K34" s="37"/>
      <c r="N34" s="16"/>
    </row>
    <row r="35" spans="2:14" x14ac:dyDescent="0.3">
      <c r="B35" s="6">
        <v>218</v>
      </c>
      <c r="C35" s="19"/>
      <c r="D35" s="11"/>
      <c r="E35" s="11"/>
      <c r="F35" s="10">
        <v>1</v>
      </c>
      <c r="I35" s="37"/>
      <c r="J35" s="35"/>
      <c r="K35" s="37"/>
      <c r="N35" s="16"/>
    </row>
    <row r="36" spans="2:14" x14ac:dyDescent="0.3">
      <c r="B36" s="6">
        <v>219</v>
      </c>
      <c r="C36" s="19"/>
      <c r="D36" s="11"/>
      <c r="E36" s="11"/>
      <c r="F36" s="10"/>
      <c r="I36" s="37"/>
      <c r="J36" s="35">
        <v>44.6</v>
      </c>
      <c r="K36" s="37"/>
      <c r="N36" s="16"/>
    </row>
    <row r="37" spans="2:14" x14ac:dyDescent="0.3">
      <c r="B37" s="6">
        <v>220</v>
      </c>
      <c r="C37" s="19"/>
      <c r="D37" s="11"/>
      <c r="E37" s="11">
        <v>4</v>
      </c>
      <c r="F37" s="10"/>
      <c r="I37" s="37"/>
      <c r="J37" s="35"/>
      <c r="K37" s="37"/>
      <c r="N37" s="16"/>
    </row>
    <row r="38" spans="2:14" x14ac:dyDescent="0.3">
      <c r="B38" s="6">
        <v>221</v>
      </c>
      <c r="C38" s="19"/>
      <c r="D38" s="11">
        <v>0.8</v>
      </c>
      <c r="E38" s="11"/>
      <c r="F38" s="10"/>
      <c r="I38" s="37"/>
      <c r="J38" s="35"/>
      <c r="K38" s="37"/>
      <c r="N38" s="16"/>
    </row>
    <row r="39" spans="2:14" x14ac:dyDescent="0.3">
      <c r="B39" s="6">
        <v>226</v>
      </c>
      <c r="C39" s="19">
        <v>0.2</v>
      </c>
      <c r="D39" s="11"/>
      <c r="E39" s="11"/>
      <c r="F39" s="10"/>
      <c r="I39" s="12">
        <v>1.2</v>
      </c>
      <c r="J39" s="39"/>
      <c r="K39" s="37"/>
    </row>
    <row r="40" spans="2:14" x14ac:dyDescent="0.3">
      <c r="B40" s="6">
        <v>234</v>
      </c>
      <c r="C40" s="19"/>
      <c r="D40" s="11"/>
      <c r="E40" s="11">
        <v>3</v>
      </c>
      <c r="F40" s="10">
        <v>1</v>
      </c>
      <c r="I40" s="12"/>
      <c r="J40" s="39">
        <v>43.3</v>
      </c>
      <c r="K40" s="37"/>
    </row>
    <row r="41" spans="2:14" x14ac:dyDescent="0.3">
      <c r="B41" s="6">
        <v>235</v>
      </c>
      <c r="C41" s="19"/>
      <c r="D41" s="11">
        <v>0.5</v>
      </c>
      <c r="E41" s="11"/>
      <c r="F41" s="10"/>
      <c r="I41" s="12"/>
      <c r="J41" s="39"/>
      <c r="K41" s="37"/>
    </row>
    <row r="42" spans="2:14" x14ac:dyDescent="0.3">
      <c r="B42" s="6">
        <v>246</v>
      </c>
      <c r="C42" s="19"/>
      <c r="D42" s="11">
        <v>0</v>
      </c>
      <c r="E42" s="11"/>
      <c r="F42" s="10">
        <v>0.2</v>
      </c>
      <c r="I42" s="12"/>
      <c r="J42" s="39"/>
      <c r="K42" s="37"/>
    </row>
    <row r="43" spans="2:14" x14ac:dyDescent="0.3">
      <c r="B43" s="6">
        <v>248</v>
      </c>
      <c r="C43" s="19"/>
      <c r="D43" s="11"/>
      <c r="E43" s="11"/>
      <c r="F43" s="10"/>
      <c r="I43" s="12"/>
      <c r="J43" s="39">
        <v>36.4</v>
      </c>
      <c r="K43" s="37"/>
    </row>
    <row r="44" spans="2:14" x14ac:dyDescent="0.3">
      <c r="B44" s="6">
        <v>265</v>
      </c>
      <c r="C44" s="19"/>
      <c r="D44" s="11">
        <v>0.5</v>
      </c>
      <c r="E44" s="11"/>
      <c r="F44" s="10"/>
      <c r="I44" s="12"/>
      <c r="J44" s="39"/>
      <c r="K44" s="37"/>
    </row>
    <row r="45" spans="2:14" x14ac:dyDescent="0.3">
      <c r="B45" s="6"/>
      <c r="C45" s="1"/>
      <c r="D45" s="1"/>
      <c r="E45" s="1"/>
      <c r="F45" s="2"/>
      <c r="G45" s="15"/>
      <c r="I45" s="37"/>
      <c r="J45" s="39"/>
      <c r="K45" s="36"/>
      <c r="N45" s="16"/>
    </row>
    <row r="46" spans="2:14" x14ac:dyDescent="0.3">
      <c r="B46" s="6" t="s">
        <v>6</v>
      </c>
      <c r="C46" s="13">
        <f>AVERAGE(C5:C44)</f>
        <v>1.1833333333333331</v>
      </c>
      <c r="D46" s="13">
        <f>AVERAGE(D5:D44)</f>
        <v>0.48888888888888893</v>
      </c>
      <c r="E46" s="13">
        <f>AVERAGE(E5:E44)</f>
        <v>4.04</v>
      </c>
      <c r="F46" s="13">
        <f>AVERAGE(F5:F44)</f>
        <v>0.62222222222222223</v>
      </c>
      <c r="G46" s="15"/>
      <c r="I46" s="12">
        <f>AVERAGE(I5:I44)</f>
        <v>2.2999999999999998</v>
      </c>
      <c r="J46" s="12">
        <f>AVERAGE(J5:J44)</f>
        <v>53.989999999999995</v>
      </c>
      <c r="K46" s="37"/>
      <c r="N46" s="16"/>
    </row>
    <row r="47" spans="2:14" x14ac:dyDescent="0.3">
      <c r="B47" s="6" t="s">
        <v>7</v>
      </c>
      <c r="C47" s="13">
        <f>MIN(C5:C44)</f>
        <v>0.2</v>
      </c>
      <c r="D47" s="13">
        <f>MIN(D5:D44)</f>
        <v>0</v>
      </c>
      <c r="E47" s="13">
        <f>MIN(E5:E44)</f>
        <v>2.2000000000000002</v>
      </c>
      <c r="F47" s="13">
        <f>MIN(F5:F44)</f>
        <v>0.2</v>
      </c>
      <c r="I47" s="12">
        <f>MIN(I5:I44)</f>
        <v>0.6</v>
      </c>
      <c r="J47" s="12">
        <f>MIN(J5:J44)</f>
        <v>36.4</v>
      </c>
      <c r="K47" s="37"/>
    </row>
    <row r="48" spans="2:14" x14ac:dyDescent="0.3">
      <c r="B48" s="6" t="s">
        <v>8</v>
      </c>
      <c r="C48" s="13">
        <f>MAX(C5:C44)</f>
        <v>2.3333333333333335</v>
      </c>
      <c r="D48" s="13">
        <f>MAX(D5:D44)</f>
        <v>1</v>
      </c>
      <c r="E48" s="13">
        <f>MAX(E5:E44)</f>
        <v>6.8</v>
      </c>
      <c r="F48" s="13">
        <f>MAX(F5:F44)</f>
        <v>1</v>
      </c>
      <c r="G48" s="15"/>
      <c r="I48" s="12">
        <f>MAX(I5:I44)</f>
        <v>6.4</v>
      </c>
      <c r="J48" s="12">
        <f>MAX(J5:J44)</f>
        <v>110</v>
      </c>
      <c r="K48" s="36"/>
      <c r="N48" s="15"/>
    </row>
    <row r="49" spans="2:14" x14ac:dyDescent="0.3">
      <c r="B49" s="6"/>
      <c r="C49" s="1"/>
      <c r="D49" s="1"/>
      <c r="E49" s="1"/>
      <c r="F49" s="2"/>
      <c r="G49" s="15"/>
      <c r="I49" s="15"/>
      <c r="J49" s="19"/>
      <c r="N49" s="16"/>
    </row>
    <row r="50" spans="2:14" x14ac:dyDescent="0.3">
      <c r="B50" s="7"/>
      <c r="C50" s="1"/>
      <c r="D50" s="1"/>
      <c r="E50" s="1"/>
      <c r="F50" s="3"/>
      <c r="G50" s="15"/>
    </row>
    <row r="51" spans="2:14" x14ac:dyDescent="0.3">
      <c r="G51" s="15"/>
      <c r="J51" s="19"/>
      <c r="N51" s="15"/>
    </row>
    <row r="52" spans="2:14" x14ac:dyDescent="0.3">
      <c r="G52" s="15"/>
      <c r="J52" s="19"/>
      <c r="N52" s="16"/>
    </row>
    <row r="54" spans="2:14" x14ac:dyDescent="0.3">
      <c r="G54" s="15"/>
      <c r="J54" s="19"/>
      <c r="N54" s="15"/>
    </row>
    <row r="55" spans="2:14" x14ac:dyDescent="0.3">
      <c r="G55" s="15"/>
      <c r="J55" s="19"/>
      <c r="N55" s="16"/>
    </row>
    <row r="57" spans="2:14" x14ac:dyDescent="0.3">
      <c r="G57" s="15"/>
      <c r="J57" s="19"/>
      <c r="N57" s="15"/>
    </row>
    <row r="58" spans="2:14" x14ac:dyDescent="0.3">
      <c r="G58" s="15"/>
      <c r="J58" s="19"/>
      <c r="N58" s="16"/>
    </row>
    <row r="60" spans="2:14" x14ac:dyDescent="0.3">
      <c r="G60" s="18"/>
      <c r="J60" s="19"/>
      <c r="N60" s="16"/>
    </row>
    <row r="61" spans="2:14" x14ac:dyDescent="0.3">
      <c r="G61" s="18"/>
      <c r="N61" s="16"/>
    </row>
    <row r="62" spans="2:14" x14ac:dyDescent="0.3">
      <c r="K62" s="17"/>
    </row>
  </sheetData>
  <mergeCells count="1">
    <mergeCell ref="C2:F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864CA-03EB-4BC1-8D81-2F2ED4E9E43F}">
  <dimension ref="B2:N62"/>
  <sheetViews>
    <sheetView workbookViewId="0">
      <selection activeCell="O6" sqref="O6"/>
    </sheetView>
  </sheetViews>
  <sheetFormatPr defaultRowHeight="15.6" x14ac:dyDescent="0.3"/>
  <cols>
    <col min="2" max="2" width="8.88671875" style="4"/>
    <col min="7" max="7" width="12.6640625" style="17" bestFit="1" customWidth="1"/>
    <col min="8" max="8" width="8.88671875" style="19"/>
    <col min="9" max="9" width="8.33203125" style="13" customWidth="1"/>
    <col min="10" max="10" width="8.88671875" style="38"/>
    <col min="14" max="14" width="12.6640625" style="9" bestFit="1" customWidth="1"/>
  </cols>
  <sheetData>
    <row r="2" spans="2:14" x14ac:dyDescent="0.3">
      <c r="C2" s="34" t="s">
        <v>5</v>
      </c>
      <c r="D2" s="34"/>
      <c r="E2" s="34"/>
      <c r="F2" s="34"/>
      <c r="I2" s="15"/>
    </row>
    <row r="3" spans="2:14" x14ac:dyDescent="0.3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I3" s="33" t="s">
        <v>9</v>
      </c>
      <c r="J3" s="33" t="s">
        <v>10</v>
      </c>
      <c r="K3" s="33" t="s">
        <v>11</v>
      </c>
    </row>
    <row r="4" spans="2:14" x14ac:dyDescent="0.3">
      <c r="B4" s="33">
        <v>128</v>
      </c>
      <c r="C4" s="33"/>
      <c r="D4" s="33"/>
      <c r="E4" s="33"/>
      <c r="F4" s="33"/>
      <c r="I4" s="35">
        <v>2.2000000000000002</v>
      </c>
      <c r="J4" s="35"/>
      <c r="K4" s="35"/>
    </row>
    <row r="5" spans="2:14" x14ac:dyDescent="0.3">
      <c r="B5" s="6">
        <v>134</v>
      </c>
      <c r="C5" s="13">
        <v>2</v>
      </c>
      <c r="D5" s="11"/>
      <c r="E5" s="11"/>
      <c r="F5" s="10"/>
      <c r="I5" s="12"/>
      <c r="J5" s="39"/>
      <c r="K5" s="37"/>
    </row>
    <row r="6" spans="2:14" x14ac:dyDescent="0.3">
      <c r="B6" s="6">
        <v>140</v>
      </c>
      <c r="C6" s="13">
        <v>0.66666666666666663</v>
      </c>
      <c r="D6" s="11"/>
      <c r="E6" s="11"/>
      <c r="F6" s="10"/>
      <c r="G6" s="15"/>
      <c r="I6" s="37"/>
      <c r="J6" s="39"/>
      <c r="K6" s="36"/>
      <c r="N6" s="16"/>
    </row>
    <row r="7" spans="2:14" x14ac:dyDescent="0.3">
      <c r="B7" s="6">
        <v>142</v>
      </c>
      <c r="C7" s="13"/>
      <c r="D7" s="11"/>
      <c r="E7" s="11"/>
      <c r="F7" s="10"/>
      <c r="G7" s="15"/>
      <c r="I7" s="37">
        <v>3</v>
      </c>
      <c r="J7" s="39"/>
      <c r="K7" s="36"/>
      <c r="N7" s="16"/>
    </row>
    <row r="8" spans="2:14" x14ac:dyDescent="0.3">
      <c r="B8" s="6">
        <v>144</v>
      </c>
      <c r="C8" s="13"/>
      <c r="D8" s="11"/>
      <c r="E8" s="11">
        <v>1.2</v>
      </c>
      <c r="F8" s="10"/>
      <c r="G8" s="15"/>
      <c r="I8" s="37"/>
      <c r="J8" s="39"/>
      <c r="K8" s="36"/>
      <c r="N8" s="16"/>
    </row>
    <row r="9" spans="2:14" x14ac:dyDescent="0.3">
      <c r="B9" s="6">
        <v>149</v>
      </c>
      <c r="C9" s="13">
        <v>0.5</v>
      </c>
      <c r="D9" s="11"/>
      <c r="E9" s="11">
        <v>0.2</v>
      </c>
      <c r="F9" s="10"/>
      <c r="G9" s="15"/>
      <c r="I9" s="37">
        <v>2</v>
      </c>
      <c r="J9" s="35"/>
      <c r="K9" s="37"/>
      <c r="N9" s="16"/>
    </row>
    <row r="10" spans="2:14" x14ac:dyDescent="0.3">
      <c r="B10" s="6">
        <v>154</v>
      </c>
      <c r="C10" s="13">
        <v>0.33333333333333331</v>
      </c>
      <c r="D10" s="11"/>
      <c r="E10" s="11"/>
      <c r="F10" s="10"/>
      <c r="I10" s="12"/>
      <c r="J10" s="39"/>
      <c r="K10" s="37"/>
    </row>
    <row r="11" spans="2:14" x14ac:dyDescent="0.3">
      <c r="B11" s="6">
        <v>155</v>
      </c>
      <c r="C11" s="13"/>
      <c r="D11" s="11"/>
      <c r="E11" s="11"/>
      <c r="F11" s="10"/>
      <c r="I11" s="12"/>
      <c r="J11" s="39">
        <v>0</v>
      </c>
      <c r="K11" s="37"/>
    </row>
    <row r="12" spans="2:14" x14ac:dyDescent="0.3">
      <c r="B12" s="6">
        <v>156</v>
      </c>
      <c r="C12" s="13"/>
      <c r="D12" s="11"/>
      <c r="E12" s="11"/>
      <c r="F12" s="10"/>
      <c r="I12" s="12">
        <v>1</v>
      </c>
      <c r="J12" s="39"/>
      <c r="K12" s="37"/>
    </row>
    <row r="13" spans="2:14" x14ac:dyDescent="0.3">
      <c r="B13" s="6">
        <v>157</v>
      </c>
      <c r="C13" s="13"/>
      <c r="D13" s="11"/>
      <c r="E13" s="11">
        <v>0.6</v>
      </c>
      <c r="F13" s="10">
        <v>3.5</v>
      </c>
      <c r="I13" s="12"/>
      <c r="J13" s="39"/>
      <c r="K13" s="37"/>
    </row>
    <row r="14" spans="2:14" x14ac:dyDescent="0.3">
      <c r="B14" s="6">
        <v>162</v>
      </c>
      <c r="C14" s="13"/>
      <c r="D14" s="11"/>
      <c r="E14" s="11"/>
      <c r="F14" s="10">
        <v>2.2999999999999998</v>
      </c>
      <c r="I14" s="12"/>
      <c r="J14" s="39"/>
      <c r="K14" s="37"/>
    </row>
    <row r="15" spans="2:14" x14ac:dyDescent="0.3">
      <c r="B15" s="6">
        <v>163</v>
      </c>
      <c r="C15" s="13">
        <v>0</v>
      </c>
      <c r="D15" s="11"/>
      <c r="E15" s="11"/>
      <c r="F15" s="10"/>
      <c r="G15" s="15"/>
      <c r="I15" s="37"/>
      <c r="J15" s="39">
        <v>0.4</v>
      </c>
      <c r="K15" s="36"/>
      <c r="N15" s="16"/>
    </row>
    <row r="16" spans="2:14" x14ac:dyDescent="0.3">
      <c r="B16" s="6">
        <v>164</v>
      </c>
      <c r="C16" s="13"/>
      <c r="D16" s="11"/>
      <c r="E16" s="11"/>
      <c r="F16" s="10"/>
      <c r="G16" s="15"/>
      <c r="I16" s="37">
        <v>0</v>
      </c>
      <c r="J16" s="39"/>
      <c r="K16" s="36"/>
      <c r="N16" s="16"/>
    </row>
    <row r="17" spans="2:14" x14ac:dyDescent="0.3">
      <c r="B17" s="6">
        <v>165</v>
      </c>
      <c r="C17" s="13"/>
      <c r="D17" s="11"/>
      <c r="E17" s="11">
        <v>0.6</v>
      </c>
      <c r="F17" s="10"/>
      <c r="G17" s="15"/>
      <c r="I17" s="37"/>
      <c r="J17" s="39"/>
      <c r="K17" s="36"/>
      <c r="N17" s="16"/>
    </row>
    <row r="18" spans="2:14" x14ac:dyDescent="0.3">
      <c r="B18" s="6">
        <v>168</v>
      </c>
      <c r="C18" s="13">
        <v>1</v>
      </c>
      <c r="D18" s="11">
        <v>0.3</v>
      </c>
      <c r="E18" s="11"/>
      <c r="F18" s="10"/>
      <c r="G18" s="15"/>
      <c r="I18" s="37"/>
      <c r="J18" s="35"/>
      <c r="K18" s="37"/>
      <c r="N18" s="16"/>
    </row>
    <row r="19" spans="2:14" x14ac:dyDescent="0.3">
      <c r="B19" s="6">
        <v>170</v>
      </c>
      <c r="C19" s="13"/>
      <c r="D19" s="11"/>
      <c r="E19" s="11"/>
      <c r="F19" s="10">
        <v>5.8</v>
      </c>
      <c r="G19" s="15"/>
      <c r="I19" s="37"/>
      <c r="J19" s="35">
        <v>0.8</v>
      </c>
      <c r="K19" s="37"/>
      <c r="N19" s="16"/>
    </row>
    <row r="20" spans="2:14" x14ac:dyDescent="0.3">
      <c r="B20" s="6">
        <v>172</v>
      </c>
      <c r="C20" s="13"/>
      <c r="D20" s="11"/>
      <c r="E20" s="11"/>
      <c r="F20" s="10"/>
      <c r="G20" s="15"/>
      <c r="I20" s="37">
        <v>0</v>
      </c>
      <c r="J20" s="35"/>
      <c r="K20" s="37"/>
      <c r="N20" s="16"/>
    </row>
    <row r="21" spans="2:14" x14ac:dyDescent="0.3">
      <c r="B21" s="6">
        <v>173</v>
      </c>
      <c r="C21" s="13"/>
      <c r="D21" s="11"/>
      <c r="E21" s="11">
        <v>0</v>
      </c>
      <c r="F21" s="10"/>
      <c r="G21" s="15"/>
      <c r="I21" s="37"/>
      <c r="J21" s="35"/>
      <c r="K21" s="37"/>
      <c r="N21" s="16"/>
    </row>
    <row r="22" spans="2:14" x14ac:dyDescent="0.3">
      <c r="B22" s="6">
        <v>177</v>
      </c>
      <c r="C22" s="13"/>
      <c r="D22" s="11"/>
      <c r="E22" s="11"/>
      <c r="F22" s="10">
        <v>2.7</v>
      </c>
      <c r="G22" s="15"/>
      <c r="I22" s="37"/>
      <c r="J22" s="35">
        <v>0.6</v>
      </c>
      <c r="K22" s="37"/>
      <c r="N22" s="16"/>
    </row>
    <row r="23" spans="2:14" x14ac:dyDescent="0.3">
      <c r="B23" s="6">
        <v>178</v>
      </c>
      <c r="C23" s="13"/>
      <c r="D23" s="11">
        <v>14.5</v>
      </c>
      <c r="E23" s="11"/>
      <c r="F23" s="10"/>
      <c r="G23" s="15"/>
      <c r="I23" s="37"/>
      <c r="J23" s="35"/>
      <c r="K23" s="37"/>
      <c r="N23" s="16"/>
    </row>
    <row r="24" spans="2:14" x14ac:dyDescent="0.3">
      <c r="B24" s="6">
        <v>179</v>
      </c>
      <c r="C24" s="13"/>
      <c r="D24" s="11"/>
      <c r="E24" s="11">
        <v>0.6</v>
      </c>
      <c r="F24" s="10"/>
      <c r="G24" s="15"/>
      <c r="I24" s="37"/>
      <c r="J24" s="35"/>
      <c r="K24" s="37"/>
      <c r="N24" s="16"/>
    </row>
    <row r="25" spans="2:14" x14ac:dyDescent="0.3">
      <c r="B25" s="6">
        <v>184</v>
      </c>
      <c r="C25" s="13">
        <v>2.6666666666666665</v>
      </c>
      <c r="D25" s="11"/>
      <c r="E25" s="11"/>
      <c r="F25" s="10"/>
      <c r="I25" s="12"/>
      <c r="J25" s="39">
        <v>1.2</v>
      </c>
      <c r="K25" s="37"/>
    </row>
    <row r="26" spans="2:14" x14ac:dyDescent="0.3">
      <c r="B26" s="6">
        <v>185</v>
      </c>
      <c r="C26" s="13"/>
      <c r="D26" s="11"/>
      <c r="E26" s="11"/>
      <c r="F26" s="10"/>
      <c r="I26" s="12">
        <v>0.8</v>
      </c>
      <c r="J26" s="39"/>
      <c r="K26" s="37"/>
    </row>
    <row r="27" spans="2:14" x14ac:dyDescent="0.3">
      <c r="B27" s="6">
        <v>186</v>
      </c>
      <c r="C27" s="13"/>
      <c r="D27" s="11">
        <v>3</v>
      </c>
      <c r="E27" s="11"/>
      <c r="F27" s="10"/>
      <c r="I27" s="12"/>
      <c r="J27" s="39"/>
      <c r="K27" s="37"/>
    </row>
    <row r="28" spans="2:14" x14ac:dyDescent="0.3">
      <c r="B28" s="6">
        <v>191</v>
      </c>
      <c r="C28" s="13"/>
      <c r="D28" s="11"/>
      <c r="E28" s="11"/>
      <c r="F28" s="10"/>
      <c r="I28" s="12"/>
      <c r="J28" s="39">
        <v>2</v>
      </c>
      <c r="K28" s="37"/>
    </row>
    <row r="29" spans="2:14" x14ac:dyDescent="0.3">
      <c r="B29" s="6">
        <v>192</v>
      </c>
      <c r="C29" s="13"/>
      <c r="D29" s="11"/>
      <c r="E29" s="11">
        <v>1.4</v>
      </c>
      <c r="F29" s="10">
        <v>5.8</v>
      </c>
      <c r="I29" s="12"/>
      <c r="J29" s="39"/>
      <c r="K29" s="37"/>
    </row>
    <row r="30" spans="2:14" x14ac:dyDescent="0.3">
      <c r="B30" s="6">
        <v>193</v>
      </c>
      <c r="C30" s="13"/>
      <c r="D30" s="11">
        <v>2.7</v>
      </c>
      <c r="E30" s="11"/>
      <c r="F30" s="10"/>
      <c r="I30" s="12"/>
      <c r="J30" s="39"/>
      <c r="K30" s="37"/>
    </row>
    <row r="31" spans="2:14" x14ac:dyDescent="0.3">
      <c r="B31" s="6">
        <v>198</v>
      </c>
      <c r="C31" s="13">
        <v>0.8</v>
      </c>
      <c r="D31" s="11"/>
      <c r="E31" s="11"/>
      <c r="F31" s="10"/>
      <c r="G31" s="15"/>
      <c r="I31" s="37">
        <v>0.4</v>
      </c>
      <c r="J31" s="39"/>
      <c r="K31" s="36"/>
      <c r="N31" s="16"/>
    </row>
    <row r="32" spans="2:14" x14ac:dyDescent="0.3">
      <c r="B32" s="6">
        <v>205</v>
      </c>
      <c r="C32" s="13"/>
      <c r="D32" s="11"/>
      <c r="E32" s="11"/>
      <c r="F32" s="10">
        <v>2.5</v>
      </c>
      <c r="G32" s="15"/>
      <c r="I32" s="37"/>
      <c r="J32" s="39">
        <v>1.8</v>
      </c>
      <c r="K32" s="36"/>
      <c r="N32" s="16"/>
    </row>
    <row r="33" spans="2:14" x14ac:dyDescent="0.3">
      <c r="B33" s="6">
        <v>206</v>
      </c>
      <c r="C33" s="13"/>
      <c r="D33" s="11">
        <v>4</v>
      </c>
      <c r="E33" s="11">
        <v>0.8</v>
      </c>
      <c r="F33" s="10"/>
      <c r="G33" s="15"/>
      <c r="I33" s="37"/>
      <c r="J33" s="39"/>
      <c r="K33" s="36"/>
      <c r="N33" s="16"/>
    </row>
    <row r="34" spans="2:14" x14ac:dyDescent="0.3">
      <c r="B34" s="6">
        <v>212</v>
      </c>
      <c r="C34" s="19">
        <v>1.3</v>
      </c>
      <c r="D34" s="11"/>
      <c r="E34" s="11"/>
      <c r="F34" s="10"/>
      <c r="I34" s="37">
        <v>0.4</v>
      </c>
      <c r="J34" s="35"/>
      <c r="K34" s="37"/>
      <c r="N34" s="16"/>
    </row>
    <row r="35" spans="2:14" x14ac:dyDescent="0.3">
      <c r="B35" s="6">
        <v>218</v>
      </c>
      <c r="C35" s="19"/>
      <c r="D35" s="11"/>
      <c r="E35" s="11"/>
      <c r="F35" s="10">
        <v>0</v>
      </c>
      <c r="I35" s="37"/>
      <c r="J35" s="35"/>
      <c r="K35" s="37"/>
      <c r="N35" s="16"/>
    </row>
    <row r="36" spans="2:14" x14ac:dyDescent="0.3">
      <c r="B36" s="6">
        <v>219</v>
      </c>
      <c r="C36" s="19"/>
      <c r="D36" s="11"/>
      <c r="E36" s="11"/>
      <c r="F36" s="10"/>
      <c r="I36" s="37"/>
      <c r="J36" s="35">
        <v>1.2</v>
      </c>
      <c r="K36" s="37"/>
      <c r="N36" s="16"/>
    </row>
    <row r="37" spans="2:14" x14ac:dyDescent="0.3">
      <c r="B37" s="6">
        <v>220</v>
      </c>
      <c r="C37" s="19"/>
      <c r="D37" s="11"/>
      <c r="E37" s="11">
        <v>0.2</v>
      </c>
      <c r="F37" s="10"/>
      <c r="I37" s="37"/>
      <c r="J37" s="35"/>
      <c r="K37" s="37"/>
      <c r="N37" s="16"/>
    </row>
    <row r="38" spans="2:14" x14ac:dyDescent="0.3">
      <c r="B38" s="6">
        <v>221</v>
      </c>
      <c r="C38" s="19"/>
      <c r="D38" s="11">
        <v>5.8</v>
      </c>
      <c r="E38" s="11"/>
      <c r="F38" s="10"/>
      <c r="I38" s="37"/>
      <c r="J38" s="35"/>
      <c r="K38" s="37"/>
      <c r="N38" s="16"/>
    </row>
    <row r="39" spans="2:14" x14ac:dyDescent="0.3">
      <c r="B39" s="6">
        <v>226</v>
      </c>
      <c r="C39" s="19">
        <v>1.7</v>
      </c>
      <c r="D39" s="11"/>
      <c r="E39" s="11"/>
      <c r="F39" s="10"/>
      <c r="I39" s="12">
        <v>0.4</v>
      </c>
      <c r="J39" s="39"/>
      <c r="K39" s="37"/>
    </row>
    <row r="40" spans="2:14" x14ac:dyDescent="0.3">
      <c r="B40" s="6">
        <v>234</v>
      </c>
      <c r="C40" s="19"/>
      <c r="D40" s="11"/>
      <c r="E40" s="11">
        <v>0.2</v>
      </c>
      <c r="F40" s="10">
        <v>2.8</v>
      </c>
      <c r="I40" s="12"/>
      <c r="J40" s="39">
        <v>1.4</v>
      </c>
      <c r="K40" s="37"/>
    </row>
    <row r="41" spans="2:14" x14ac:dyDescent="0.3">
      <c r="B41" s="6">
        <v>235</v>
      </c>
      <c r="C41" s="19"/>
      <c r="D41" s="11">
        <v>0.7</v>
      </c>
      <c r="E41" s="11"/>
      <c r="F41" s="10"/>
      <c r="I41" s="12"/>
      <c r="J41" s="39"/>
      <c r="K41" s="37"/>
    </row>
    <row r="42" spans="2:14" x14ac:dyDescent="0.3">
      <c r="B42" s="6">
        <v>246</v>
      </c>
      <c r="C42" s="19"/>
      <c r="D42" s="11">
        <v>0.7</v>
      </c>
      <c r="E42" s="11"/>
      <c r="F42" s="10">
        <v>0.7</v>
      </c>
      <c r="I42" s="12"/>
      <c r="J42" s="39"/>
      <c r="K42" s="37"/>
    </row>
    <row r="43" spans="2:14" x14ac:dyDescent="0.3">
      <c r="B43" s="6">
        <v>248</v>
      </c>
      <c r="C43" s="19"/>
      <c r="D43" s="11"/>
      <c r="E43" s="11"/>
      <c r="F43" s="10"/>
      <c r="I43" s="12"/>
      <c r="J43" s="39">
        <v>0</v>
      </c>
      <c r="K43" s="37"/>
    </row>
    <row r="44" spans="2:14" x14ac:dyDescent="0.3">
      <c r="B44" s="6">
        <v>265</v>
      </c>
      <c r="C44" s="19"/>
      <c r="D44" s="11">
        <v>0.3</v>
      </c>
      <c r="E44" s="11"/>
      <c r="F44" s="10"/>
      <c r="I44" s="12"/>
      <c r="J44" s="39"/>
      <c r="K44" s="37"/>
    </row>
    <row r="45" spans="2:14" x14ac:dyDescent="0.3">
      <c r="B45" s="6"/>
      <c r="C45" s="1"/>
      <c r="D45" s="1"/>
      <c r="E45" s="1"/>
      <c r="F45" s="2"/>
      <c r="G45" s="15"/>
      <c r="I45" s="37"/>
      <c r="J45" s="39"/>
      <c r="K45" s="36"/>
      <c r="N45" s="16"/>
    </row>
    <row r="46" spans="2:14" x14ac:dyDescent="0.3">
      <c r="B46" s="6" t="s">
        <v>6</v>
      </c>
      <c r="C46" s="13">
        <f>AVERAGE(C5:C44)</f>
        <v>1.0966666666666665</v>
      </c>
      <c r="D46" s="13">
        <f>AVERAGE(D5:D44)</f>
        <v>3.5555555555555554</v>
      </c>
      <c r="E46" s="13">
        <f>AVERAGE(E5:E44)</f>
        <v>0.57999999999999996</v>
      </c>
      <c r="F46" s="13">
        <f>AVERAGE(F5:F44)</f>
        <v>2.9000000000000004</v>
      </c>
      <c r="G46" s="15"/>
      <c r="I46" s="12">
        <f>AVERAGE(I5:I44)</f>
        <v>0.88888888888888884</v>
      </c>
      <c r="J46" s="12">
        <f>AVERAGE(J5:J44)</f>
        <v>0.94000000000000006</v>
      </c>
      <c r="K46" s="37"/>
      <c r="N46" s="16"/>
    </row>
    <row r="47" spans="2:14" x14ac:dyDescent="0.3">
      <c r="B47" s="6" t="s">
        <v>7</v>
      </c>
      <c r="C47" s="13">
        <f>MIN(C5:C44)</f>
        <v>0</v>
      </c>
      <c r="D47" s="13">
        <f>MIN(D5:D44)</f>
        <v>0.3</v>
      </c>
      <c r="E47" s="13">
        <f>MIN(E5:E44)</f>
        <v>0</v>
      </c>
      <c r="F47" s="13">
        <f>MIN(F5:F44)</f>
        <v>0</v>
      </c>
      <c r="I47" s="12">
        <f>MIN(I5:I44)</f>
        <v>0</v>
      </c>
      <c r="J47" s="12">
        <f>MIN(J5:J44)</f>
        <v>0</v>
      </c>
      <c r="K47" s="37"/>
    </row>
    <row r="48" spans="2:14" x14ac:dyDescent="0.3">
      <c r="B48" s="6" t="s">
        <v>8</v>
      </c>
      <c r="C48" s="13">
        <f>MAX(C5:C44)</f>
        <v>2.6666666666666665</v>
      </c>
      <c r="D48" s="13">
        <f>MAX(D5:D44)</f>
        <v>14.5</v>
      </c>
      <c r="E48" s="13">
        <f>MAX(E5:E44)</f>
        <v>1.4</v>
      </c>
      <c r="F48" s="13">
        <f>MAX(F5:F44)</f>
        <v>5.8</v>
      </c>
      <c r="G48" s="15"/>
      <c r="I48" s="12">
        <f>MAX(I5:I44)</f>
        <v>3</v>
      </c>
      <c r="J48" s="12">
        <f>MAX(J5:J44)</f>
        <v>2</v>
      </c>
      <c r="K48" s="36"/>
      <c r="N48" s="15"/>
    </row>
    <row r="49" spans="2:14" x14ac:dyDescent="0.3">
      <c r="B49" s="6"/>
      <c r="C49" s="1"/>
      <c r="D49" s="1"/>
      <c r="E49" s="1"/>
      <c r="F49" s="2"/>
      <c r="G49" s="15"/>
      <c r="I49" s="15"/>
      <c r="J49" s="19"/>
      <c r="N49" s="16"/>
    </row>
    <row r="50" spans="2:14" x14ac:dyDescent="0.3">
      <c r="B50" s="7"/>
      <c r="C50" s="1"/>
      <c r="D50" s="1"/>
      <c r="E50" s="1"/>
      <c r="F50" s="3"/>
      <c r="G50" s="15"/>
    </row>
    <row r="51" spans="2:14" x14ac:dyDescent="0.3">
      <c r="G51" s="15"/>
      <c r="J51" s="19"/>
      <c r="N51" s="15"/>
    </row>
    <row r="52" spans="2:14" x14ac:dyDescent="0.3">
      <c r="G52" s="15"/>
      <c r="J52" s="19"/>
      <c r="N52" s="16"/>
    </row>
    <row r="54" spans="2:14" x14ac:dyDescent="0.3">
      <c r="G54" s="15"/>
      <c r="J54" s="19"/>
      <c r="N54" s="15"/>
    </row>
    <row r="55" spans="2:14" x14ac:dyDescent="0.3">
      <c r="G55" s="15"/>
      <c r="J55" s="19"/>
      <c r="N55" s="16"/>
    </row>
    <row r="57" spans="2:14" x14ac:dyDescent="0.3">
      <c r="G57" s="15"/>
      <c r="J57" s="19"/>
      <c r="N57" s="15"/>
    </row>
    <row r="58" spans="2:14" x14ac:dyDescent="0.3">
      <c r="G58" s="15"/>
      <c r="J58" s="19"/>
      <c r="N58" s="16"/>
    </row>
    <row r="60" spans="2:14" x14ac:dyDescent="0.3">
      <c r="G60" s="18"/>
      <c r="J60" s="19"/>
      <c r="N60" s="16"/>
    </row>
    <row r="61" spans="2:14" x14ac:dyDescent="0.3">
      <c r="G61" s="18"/>
      <c r="N61" s="16"/>
    </row>
    <row r="62" spans="2:14" x14ac:dyDescent="0.3">
      <c r="K62" s="17"/>
    </row>
  </sheetData>
  <mergeCells count="1">
    <mergeCell ref="C2:F2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F9228-FFE7-4AEF-BB2C-7E48AB64EFC5}">
  <dimension ref="B2:N60"/>
  <sheetViews>
    <sheetView workbookViewId="0">
      <selection activeCell="M19" sqref="M19"/>
    </sheetView>
  </sheetViews>
  <sheetFormatPr defaultRowHeight="15.6" x14ac:dyDescent="0.3"/>
  <cols>
    <col min="2" max="2" width="8.88671875" style="4"/>
    <col min="7" max="7" width="12.6640625" style="17" bestFit="1" customWidth="1"/>
    <col min="8" max="8" width="8.88671875" style="19"/>
    <col min="9" max="9" width="8.33203125" style="13" customWidth="1"/>
    <col min="10" max="11" width="8.88671875" style="38"/>
    <col min="14" max="14" width="12.6640625" style="9" bestFit="1" customWidth="1"/>
  </cols>
  <sheetData>
    <row r="2" spans="2:14" x14ac:dyDescent="0.3">
      <c r="C2" s="34" t="s">
        <v>5</v>
      </c>
      <c r="D2" s="34"/>
      <c r="E2" s="34"/>
      <c r="F2" s="34"/>
      <c r="I2" s="15"/>
    </row>
    <row r="3" spans="2:14" x14ac:dyDescent="0.3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I3" s="33" t="s">
        <v>9</v>
      </c>
      <c r="J3" s="33" t="s">
        <v>10</v>
      </c>
      <c r="K3" s="33" t="s">
        <v>11</v>
      </c>
    </row>
    <row r="4" spans="2:14" x14ac:dyDescent="0.3">
      <c r="B4" s="33">
        <v>128</v>
      </c>
      <c r="C4" s="33"/>
      <c r="D4" s="33"/>
      <c r="E4" s="33"/>
      <c r="F4" s="33"/>
      <c r="I4" s="35">
        <v>44</v>
      </c>
      <c r="J4" s="35"/>
      <c r="K4" s="35"/>
    </row>
    <row r="5" spans="2:14" x14ac:dyDescent="0.3">
      <c r="B5" s="6">
        <v>134</v>
      </c>
      <c r="C5" s="15">
        <v>1.3333333333333333</v>
      </c>
      <c r="D5" s="11"/>
      <c r="E5" s="11"/>
      <c r="F5" s="30"/>
      <c r="I5" s="12"/>
      <c r="J5" s="39"/>
      <c r="K5" s="37"/>
    </row>
    <row r="6" spans="2:14" x14ac:dyDescent="0.3">
      <c r="B6" s="6">
        <v>140</v>
      </c>
      <c r="C6" s="15">
        <v>0.66666666666666663</v>
      </c>
      <c r="D6" s="11"/>
      <c r="E6" s="11"/>
      <c r="F6" s="30"/>
      <c r="G6" s="15"/>
      <c r="I6" s="37"/>
      <c r="J6" s="39"/>
      <c r="K6" s="39"/>
      <c r="N6" s="16"/>
    </row>
    <row r="7" spans="2:14" x14ac:dyDescent="0.3">
      <c r="B7" s="6">
        <v>142</v>
      </c>
      <c r="C7" s="15"/>
      <c r="D7" s="11"/>
      <c r="E7" s="11"/>
      <c r="F7" s="30"/>
      <c r="G7" s="15"/>
      <c r="I7" s="37">
        <v>26</v>
      </c>
      <c r="J7" s="39"/>
      <c r="K7" s="39"/>
      <c r="N7" s="16"/>
    </row>
    <row r="8" spans="2:14" x14ac:dyDescent="0.3">
      <c r="B8" s="6">
        <v>144</v>
      </c>
      <c r="C8" s="15"/>
      <c r="D8" s="11"/>
      <c r="E8" s="11">
        <v>5.4</v>
      </c>
      <c r="F8" s="30"/>
      <c r="G8" s="15"/>
      <c r="I8" s="37"/>
      <c r="J8" s="39"/>
      <c r="K8" s="39"/>
      <c r="N8" s="16"/>
    </row>
    <row r="9" spans="2:14" x14ac:dyDescent="0.3">
      <c r="B9" s="6">
        <v>149</v>
      </c>
      <c r="C9" s="15">
        <v>1.6666666666666667</v>
      </c>
      <c r="D9" s="11"/>
      <c r="E9" s="11">
        <v>2.2000000000000002</v>
      </c>
      <c r="F9" s="30"/>
      <c r="G9" s="15"/>
      <c r="I9" s="37">
        <v>2.8</v>
      </c>
      <c r="J9" s="35"/>
      <c r="K9" s="37"/>
      <c r="N9" s="16"/>
    </row>
    <row r="10" spans="2:14" x14ac:dyDescent="0.3">
      <c r="B10" s="6">
        <v>154</v>
      </c>
      <c r="C10" s="15">
        <v>0.16666666666666666</v>
      </c>
      <c r="D10" s="11"/>
      <c r="E10" s="11"/>
      <c r="F10" s="30"/>
      <c r="I10" s="12"/>
      <c r="J10" s="39"/>
      <c r="K10" s="37"/>
    </row>
    <row r="11" spans="2:14" x14ac:dyDescent="0.3">
      <c r="B11" s="6">
        <v>155</v>
      </c>
      <c r="C11" s="15"/>
      <c r="D11" s="11"/>
      <c r="E11" s="11"/>
      <c r="F11" s="30"/>
      <c r="I11" s="12"/>
      <c r="J11" s="39">
        <v>37</v>
      </c>
      <c r="K11" s="37"/>
    </row>
    <row r="12" spans="2:14" x14ac:dyDescent="0.3">
      <c r="B12" s="6">
        <v>156</v>
      </c>
      <c r="C12" s="15"/>
      <c r="D12" s="11"/>
      <c r="E12" s="11"/>
      <c r="F12" s="30"/>
      <c r="I12" s="12">
        <v>3</v>
      </c>
      <c r="J12" s="39"/>
      <c r="K12" s="37"/>
    </row>
    <row r="13" spans="2:14" x14ac:dyDescent="0.3">
      <c r="B13" s="6">
        <v>157</v>
      </c>
      <c r="C13" s="15"/>
      <c r="D13" s="11"/>
      <c r="E13" s="11">
        <v>0.8</v>
      </c>
      <c r="F13" s="30"/>
      <c r="I13" s="12"/>
      <c r="J13" s="39"/>
      <c r="K13" s="37"/>
    </row>
    <row r="14" spans="2:14" x14ac:dyDescent="0.3">
      <c r="B14" s="6">
        <v>163</v>
      </c>
      <c r="C14" s="15">
        <v>0.5</v>
      </c>
      <c r="D14" s="11"/>
      <c r="E14" s="11"/>
      <c r="F14" s="30"/>
      <c r="G14" s="15"/>
      <c r="I14" s="37"/>
      <c r="J14" s="39">
        <v>6</v>
      </c>
      <c r="K14" s="39"/>
      <c r="N14" s="16"/>
    </row>
    <row r="15" spans="2:14" x14ac:dyDescent="0.3">
      <c r="B15" s="6">
        <v>164</v>
      </c>
      <c r="C15" s="15"/>
      <c r="D15" s="11"/>
      <c r="E15" s="11"/>
      <c r="F15" s="30"/>
      <c r="G15" s="15"/>
      <c r="I15" s="37">
        <v>2</v>
      </c>
      <c r="J15" s="39"/>
      <c r="K15" s="39"/>
      <c r="N15" s="16"/>
    </row>
    <row r="16" spans="2:14" x14ac:dyDescent="0.3">
      <c r="B16" s="6">
        <v>165</v>
      </c>
      <c r="C16" s="15"/>
      <c r="D16" s="11"/>
      <c r="E16" s="11">
        <v>0.4</v>
      </c>
      <c r="F16" s="30"/>
      <c r="G16" s="15"/>
      <c r="I16" s="37"/>
      <c r="J16" s="39"/>
      <c r="K16" s="39"/>
      <c r="N16" s="16"/>
    </row>
    <row r="17" spans="2:14" x14ac:dyDescent="0.3">
      <c r="B17" s="6">
        <v>168</v>
      </c>
      <c r="C17" s="15">
        <v>1.8333333333333333</v>
      </c>
      <c r="D17" s="11">
        <v>1.8</v>
      </c>
      <c r="E17" s="11"/>
      <c r="F17" s="30"/>
      <c r="G17" s="15"/>
      <c r="I17" s="37"/>
      <c r="J17" s="35"/>
      <c r="K17" s="37"/>
      <c r="N17" s="16"/>
    </row>
    <row r="18" spans="2:14" x14ac:dyDescent="0.3">
      <c r="B18" s="6">
        <v>170</v>
      </c>
      <c r="C18" s="15"/>
      <c r="D18" s="11"/>
      <c r="E18" s="11"/>
      <c r="F18" s="30"/>
      <c r="G18" s="15"/>
      <c r="I18" s="37"/>
      <c r="J18" s="35">
        <v>4</v>
      </c>
      <c r="K18" s="37"/>
      <c r="N18" s="16"/>
    </row>
    <row r="19" spans="2:14" x14ac:dyDescent="0.3">
      <c r="B19" s="6">
        <v>172</v>
      </c>
      <c r="C19" s="15"/>
      <c r="D19" s="11"/>
      <c r="E19" s="11"/>
      <c r="F19" s="30"/>
      <c r="G19" s="15"/>
      <c r="I19" s="37">
        <v>0.6</v>
      </c>
      <c r="J19" s="35"/>
      <c r="K19" s="37"/>
      <c r="N19" s="16"/>
    </row>
    <row r="20" spans="2:14" x14ac:dyDescent="0.3">
      <c r="B20" s="6">
        <v>173</v>
      </c>
      <c r="C20" s="15"/>
      <c r="D20" s="11"/>
      <c r="E20" s="11">
        <v>0.8</v>
      </c>
      <c r="F20" s="30"/>
      <c r="G20" s="15"/>
      <c r="I20" s="37"/>
      <c r="J20" s="35"/>
      <c r="K20" s="37"/>
      <c r="N20" s="16"/>
    </row>
    <row r="21" spans="2:14" x14ac:dyDescent="0.3">
      <c r="B21" s="6">
        <v>177</v>
      </c>
      <c r="C21" s="15"/>
      <c r="D21" s="11"/>
      <c r="E21" s="11"/>
      <c r="F21" s="30"/>
      <c r="G21" s="15"/>
      <c r="I21" s="37"/>
      <c r="J21" s="35">
        <v>18</v>
      </c>
      <c r="K21" s="37"/>
      <c r="N21" s="16"/>
    </row>
    <row r="22" spans="2:14" x14ac:dyDescent="0.3">
      <c r="B22" s="6">
        <v>178</v>
      </c>
      <c r="C22" s="15"/>
      <c r="D22" s="11">
        <v>1</v>
      </c>
      <c r="E22" s="11"/>
      <c r="F22" s="30"/>
      <c r="G22" s="15"/>
      <c r="I22" s="37"/>
      <c r="J22" s="35"/>
      <c r="K22" s="37"/>
      <c r="N22" s="16"/>
    </row>
    <row r="23" spans="2:14" x14ac:dyDescent="0.3">
      <c r="B23" s="6">
        <v>179</v>
      </c>
      <c r="C23" s="15"/>
      <c r="D23" s="11"/>
      <c r="E23" s="11">
        <v>0.8</v>
      </c>
      <c r="F23" s="30"/>
      <c r="G23" s="15"/>
      <c r="I23" s="37"/>
      <c r="J23" s="35"/>
      <c r="K23" s="37"/>
      <c r="N23" s="16"/>
    </row>
    <row r="24" spans="2:14" x14ac:dyDescent="0.3">
      <c r="B24" s="6">
        <v>184</v>
      </c>
      <c r="C24" s="15">
        <v>0</v>
      </c>
      <c r="D24" s="11"/>
      <c r="E24" s="11"/>
      <c r="F24" s="30"/>
      <c r="I24" s="12"/>
      <c r="J24" s="39">
        <v>19</v>
      </c>
      <c r="K24" s="37"/>
    </row>
    <row r="25" spans="2:14" x14ac:dyDescent="0.3">
      <c r="B25" s="6">
        <v>185</v>
      </c>
      <c r="C25" s="15"/>
      <c r="D25" s="11"/>
      <c r="E25" s="11"/>
      <c r="F25" s="30"/>
      <c r="I25" s="12">
        <v>2.8</v>
      </c>
      <c r="J25" s="39"/>
      <c r="K25" s="37"/>
    </row>
    <row r="26" spans="2:14" x14ac:dyDescent="0.3">
      <c r="B26" s="6">
        <v>186</v>
      </c>
      <c r="C26" s="15"/>
      <c r="D26" s="11">
        <v>0.5</v>
      </c>
      <c r="E26" s="11"/>
      <c r="F26" s="30"/>
      <c r="I26" s="12"/>
      <c r="J26" s="39"/>
      <c r="K26" s="37"/>
    </row>
    <row r="27" spans="2:14" x14ac:dyDescent="0.3">
      <c r="B27" s="6">
        <v>191</v>
      </c>
      <c r="C27" s="15"/>
      <c r="D27" s="11"/>
      <c r="E27" s="11"/>
      <c r="F27" s="30"/>
      <c r="I27" s="12"/>
      <c r="J27" s="39">
        <v>8.6</v>
      </c>
      <c r="K27" s="37"/>
    </row>
    <row r="28" spans="2:14" x14ac:dyDescent="0.3">
      <c r="B28" s="6">
        <v>192</v>
      </c>
      <c r="C28" s="15"/>
      <c r="D28" s="11"/>
      <c r="E28" s="11">
        <v>3.6</v>
      </c>
      <c r="F28" s="30"/>
      <c r="I28" s="12"/>
      <c r="J28" s="39"/>
      <c r="K28" s="37"/>
    </row>
    <row r="29" spans="2:14" x14ac:dyDescent="0.3">
      <c r="B29" s="6">
        <v>193</v>
      </c>
      <c r="C29" s="15"/>
      <c r="D29" s="11">
        <v>0.5</v>
      </c>
      <c r="E29" s="11"/>
      <c r="F29" s="30"/>
      <c r="I29" s="12"/>
      <c r="J29" s="39"/>
      <c r="K29" s="37"/>
    </row>
    <row r="30" spans="2:14" x14ac:dyDescent="0.3">
      <c r="B30" s="6">
        <v>198</v>
      </c>
      <c r="C30" s="15">
        <v>1.5</v>
      </c>
      <c r="D30" s="11"/>
      <c r="E30" s="11"/>
      <c r="F30" s="30"/>
      <c r="G30" s="15"/>
      <c r="I30" s="37">
        <v>6.2</v>
      </c>
      <c r="J30" s="39"/>
      <c r="K30" s="39"/>
      <c r="N30" s="16"/>
    </row>
    <row r="31" spans="2:14" x14ac:dyDescent="0.3">
      <c r="B31" s="6">
        <v>205</v>
      </c>
      <c r="C31" s="15"/>
      <c r="D31" s="11"/>
      <c r="E31" s="11"/>
      <c r="F31" s="30"/>
      <c r="G31" s="15"/>
      <c r="I31" s="37"/>
      <c r="J31" s="39">
        <v>7.4</v>
      </c>
      <c r="K31" s="39"/>
      <c r="N31" s="16"/>
    </row>
    <row r="32" spans="2:14" x14ac:dyDescent="0.3">
      <c r="B32" s="6">
        <v>206</v>
      </c>
      <c r="C32" s="15"/>
      <c r="D32" s="11">
        <v>1.5</v>
      </c>
      <c r="E32" s="11">
        <v>3</v>
      </c>
      <c r="F32" s="30"/>
      <c r="G32" s="15"/>
      <c r="I32" s="37"/>
      <c r="J32" s="39"/>
      <c r="K32" s="39"/>
      <c r="N32" s="16"/>
    </row>
    <row r="33" spans="2:14" x14ac:dyDescent="0.3">
      <c r="B33" s="6">
        <v>212</v>
      </c>
      <c r="C33" s="15">
        <v>2.1666666666666665</v>
      </c>
      <c r="D33" s="11"/>
      <c r="E33" s="11"/>
      <c r="F33" s="30"/>
      <c r="I33" s="37">
        <v>2.8</v>
      </c>
      <c r="J33" s="35"/>
      <c r="K33" s="37"/>
      <c r="N33" s="16"/>
    </row>
    <row r="34" spans="2:14" x14ac:dyDescent="0.3">
      <c r="B34" s="6">
        <v>219</v>
      </c>
      <c r="C34" s="15"/>
      <c r="D34" s="11"/>
      <c r="E34" s="11"/>
      <c r="F34" s="30"/>
      <c r="I34" s="37"/>
      <c r="J34" s="35">
        <v>12</v>
      </c>
      <c r="K34" s="37"/>
      <c r="N34" s="16"/>
    </row>
    <row r="35" spans="2:14" x14ac:dyDescent="0.3">
      <c r="B35" s="6">
        <v>220</v>
      </c>
      <c r="C35" s="15"/>
      <c r="D35" s="11"/>
      <c r="E35" s="11">
        <v>3.8</v>
      </c>
      <c r="F35" s="30"/>
      <c r="I35" s="37"/>
      <c r="J35" s="35"/>
      <c r="K35" s="37"/>
      <c r="N35" s="16"/>
    </row>
    <row r="36" spans="2:14" x14ac:dyDescent="0.3">
      <c r="B36" s="6">
        <v>221</v>
      </c>
      <c r="C36" s="15"/>
      <c r="D36" s="11">
        <v>2</v>
      </c>
      <c r="E36" s="11"/>
      <c r="F36" s="30"/>
      <c r="I36" s="37"/>
      <c r="J36" s="35"/>
      <c r="K36" s="37"/>
      <c r="N36" s="16"/>
    </row>
    <row r="37" spans="2:14" x14ac:dyDescent="0.3">
      <c r="B37" s="6">
        <v>226</v>
      </c>
      <c r="C37" s="13">
        <v>3.1666666666666665</v>
      </c>
      <c r="D37" s="11"/>
      <c r="E37" s="11"/>
      <c r="F37" s="30"/>
      <c r="I37" s="12">
        <v>2.6</v>
      </c>
      <c r="J37" s="39"/>
      <c r="K37" s="37"/>
    </row>
    <row r="38" spans="2:14" x14ac:dyDescent="0.3">
      <c r="B38" s="6">
        <v>234</v>
      </c>
      <c r="C38" s="13"/>
      <c r="D38" s="11"/>
      <c r="E38" s="11">
        <v>2</v>
      </c>
      <c r="F38" s="30"/>
      <c r="I38" s="12"/>
      <c r="J38" s="39">
        <v>8.4</v>
      </c>
      <c r="K38" s="37"/>
    </row>
    <row r="39" spans="2:14" x14ac:dyDescent="0.3">
      <c r="B39" s="6">
        <v>235</v>
      </c>
      <c r="C39" s="13"/>
      <c r="D39" s="11">
        <v>3</v>
      </c>
      <c r="E39" s="11"/>
      <c r="F39" s="30"/>
      <c r="I39" s="12"/>
      <c r="J39" s="39"/>
      <c r="K39" s="37"/>
    </row>
    <row r="40" spans="2:14" x14ac:dyDescent="0.3">
      <c r="B40" s="6">
        <v>246</v>
      </c>
      <c r="C40" s="13"/>
      <c r="D40" s="11">
        <v>2</v>
      </c>
      <c r="E40" s="11"/>
      <c r="F40" s="30"/>
      <c r="I40" s="12"/>
      <c r="J40" s="39"/>
      <c r="K40" s="37"/>
    </row>
    <row r="41" spans="2:14" x14ac:dyDescent="0.3">
      <c r="B41" s="6">
        <v>248</v>
      </c>
      <c r="C41" s="13"/>
      <c r="D41" s="11"/>
      <c r="E41" s="11"/>
      <c r="F41" s="30"/>
      <c r="I41" s="12"/>
      <c r="J41" s="39">
        <v>11</v>
      </c>
      <c r="K41" s="37"/>
    </row>
    <row r="42" spans="2:14" x14ac:dyDescent="0.3">
      <c r="B42" s="6">
        <v>265</v>
      </c>
      <c r="C42" s="13"/>
      <c r="D42" s="11">
        <v>3</v>
      </c>
      <c r="E42" s="11"/>
      <c r="F42" s="30"/>
      <c r="I42" s="12"/>
      <c r="J42" s="39"/>
      <c r="K42" s="37"/>
    </row>
    <row r="43" spans="2:14" x14ac:dyDescent="0.3">
      <c r="B43" s="6"/>
      <c r="C43" s="1"/>
      <c r="D43" s="1"/>
      <c r="E43" s="1"/>
      <c r="F43" s="2"/>
      <c r="G43" s="15"/>
      <c r="I43" s="37"/>
      <c r="J43" s="39"/>
      <c r="K43" s="39"/>
      <c r="N43" s="16"/>
    </row>
    <row r="44" spans="2:14" x14ac:dyDescent="0.3">
      <c r="B44" s="6" t="s">
        <v>6</v>
      </c>
      <c r="C44" s="13">
        <f>AVERAGE(C5:C42)</f>
        <v>1.3</v>
      </c>
      <c r="D44" s="13">
        <f>AVERAGE(D5:D42)</f>
        <v>1.7000000000000002</v>
      </c>
      <c r="E44" s="13">
        <f>AVERAGE(E5:E42)</f>
        <v>2.2800000000000002</v>
      </c>
      <c r="F44" s="31"/>
      <c r="G44" s="15"/>
      <c r="I44" s="12">
        <f>AVERAGE(I5:I42)</f>
        <v>5.4222222222222216</v>
      </c>
      <c r="J44" s="12">
        <f>AVERAGE(J5:J42)</f>
        <v>13.14</v>
      </c>
      <c r="K44" s="37"/>
      <c r="N44" s="16"/>
    </row>
    <row r="45" spans="2:14" x14ac:dyDescent="0.3">
      <c r="B45" s="6" t="s">
        <v>7</v>
      </c>
      <c r="C45" s="13">
        <f>MIN(C5:C42)</f>
        <v>0</v>
      </c>
      <c r="D45" s="13">
        <f>MIN(D5:D42)</f>
        <v>0.5</v>
      </c>
      <c r="E45" s="13">
        <f>MIN(E5:E42)</f>
        <v>0.4</v>
      </c>
      <c r="F45" s="31"/>
      <c r="I45" s="12">
        <f>MIN(I5:I42)</f>
        <v>0.6</v>
      </c>
      <c r="J45" s="12">
        <f>MIN(J5:J42)</f>
        <v>4</v>
      </c>
      <c r="K45" s="37"/>
    </row>
    <row r="46" spans="2:14" x14ac:dyDescent="0.3">
      <c r="B46" s="6" t="s">
        <v>8</v>
      </c>
      <c r="C46" s="13">
        <f>MAX(C5:C42)</f>
        <v>3.1666666666666665</v>
      </c>
      <c r="D46" s="13">
        <f>MAX(D5:D42)</f>
        <v>3</v>
      </c>
      <c r="E46" s="13">
        <f>MAX(E5:E42)</f>
        <v>5.4</v>
      </c>
      <c r="F46" s="31"/>
      <c r="G46" s="15"/>
      <c r="I46" s="12">
        <f>MAX(I5:I42)</f>
        <v>26</v>
      </c>
      <c r="J46" s="12">
        <f>MAX(J5:J42)</f>
        <v>37</v>
      </c>
      <c r="K46" s="39"/>
      <c r="N46" s="15"/>
    </row>
    <row r="47" spans="2:14" x14ac:dyDescent="0.3">
      <c r="B47" s="6"/>
      <c r="C47" s="1"/>
      <c r="D47" s="1"/>
      <c r="E47" s="1"/>
      <c r="F47" s="2"/>
      <c r="G47" s="15"/>
      <c r="I47" s="15"/>
      <c r="J47" s="19"/>
      <c r="N47" s="16"/>
    </row>
    <row r="48" spans="2:14" x14ac:dyDescent="0.3">
      <c r="B48" s="7"/>
      <c r="C48" s="1"/>
      <c r="D48" s="1"/>
      <c r="E48" s="1"/>
      <c r="F48" s="3"/>
      <c r="G48" s="15"/>
    </row>
    <row r="49" spans="7:14" x14ac:dyDescent="0.3">
      <c r="G49" s="15"/>
      <c r="I49" s="15"/>
      <c r="J49" s="19"/>
      <c r="N49" s="15"/>
    </row>
    <row r="50" spans="7:14" x14ac:dyDescent="0.3">
      <c r="G50" s="15"/>
      <c r="I50" s="15"/>
      <c r="J50" s="19"/>
      <c r="N50" s="16"/>
    </row>
    <row r="52" spans="7:14" x14ac:dyDescent="0.3">
      <c r="G52" s="15"/>
      <c r="I52" s="15"/>
      <c r="J52" s="19"/>
      <c r="N52" s="15"/>
    </row>
    <row r="53" spans="7:14" x14ac:dyDescent="0.3">
      <c r="G53" s="15"/>
      <c r="I53" s="15"/>
      <c r="J53" s="19"/>
      <c r="N53" s="16"/>
    </row>
    <row r="55" spans="7:14" x14ac:dyDescent="0.3">
      <c r="G55" s="15"/>
      <c r="I55" s="15"/>
      <c r="J55" s="19"/>
      <c r="N55" s="15"/>
    </row>
    <row r="56" spans="7:14" x14ac:dyDescent="0.3">
      <c r="G56" s="15"/>
      <c r="I56" s="15"/>
      <c r="J56" s="19"/>
      <c r="N56" s="16"/>
    </row>
    <row r="58" spans="7:14" x14ac:dyDescent="0.3">
      <c r="G58" s="18"/>
      <c r="J58" s="19"/>
      <c r="N58" s="16"/>
    </row>
    <row r="59" spans="7:14" x14ac:dyDescent="0.3">
      <c r="G59" s="18"/>
      <c r="N59" s="16"/>
    </row>
    <row r="60" spans="7:14" x14ac:dyDescent="0.3">
      <c r="K60" s="13"/>
    </row>
  </sheetData>
  <mergeCells count="1">
    <mergeCell ref="C2:F2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544A-87C6-475C-A315-E743B1400260}">
  <dimension ref="B2:P55"/>
  <sheetViews>
    <sheetView tabSelected="1" topLeftCell="B1" workbookViewId="0">
      <selection activeCell="R8" sqref="R8"/>
    </sheetView>
  </sheetViews>
  <sheetFormatPr defaultRowHeight="15.6" x14ac:dyDescent="0.3"/>
  <cols>
    <col min="2" max="2" width="8.88671875" style="4"/>
    <col min="7" max="7" width="12.6640625" style="17" bestFit="1" customWidth="1"/>
    <col min="8" max="8" width="8.88671875" style="19"/>
    <col min="9" max="9" width="8.33203125" style="13" customWidth="1"/>
    <col min="13" max="13" width="12.6640625" style="9" bestFit="1" customWidth="1"/>
    <col min="14" max="15" width="8.88671875" style="38"/>
  </cols>
  <sheetData>
    <row r="2" spans="2:16" x14ac:dyDescent="0.3">
      <c r="C2" s="34" t="s">
        <v>5</v>
      </c>
      <c r="D2" s="34"/>
      <c r="E2" s="34"/>
      <c r="F2" s="34"/>
      <c r="I2" s="15"/>
    </row>
    <row r="3" spans="2:16" x14ac:dyDescent="0.3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H3" s="14" t="s">
        <v>0</v>
      </c>
      <c r="I3" s="14" t="s">
        <v>1</v>
      </c>
      <c r="J3" s="14" t="s">
        <v>3</v>
      </c>
      <c r="K3" s="14" t="s">
        <v>4</v>
      </c>
      <c r="N3" s="33" t="s">
        <v>9</v>
      </c>
      <c r="O3" s="33" t="s">
        <v>10</v>
      </c>
      <c r="P3" s="33" t="s">
        <v>11</v>
      </c>
    </row>
    <row r="4" spans="2:16" x14ac:dyDescent="0.3">
      <c r="B4" s="33">
        <v>128</v>
      </c>
      <c r="C4" s="33"/>
      <c r="D4" s="33"/>
      <c r="E4" s="33"/>
      <c r="F4" s="33"/>
      <c r="H4" s="33"/>
      <c r="I4" s="33"/>
      <c r="J4" s="33"/>
      <c r="K4" s="33"/>
      <c r="N4" s="35">
        <v>25.8</v>
      </c>
      <c r="O4" s="35"/>
      <c r="P4" s="35"/>
    </row>
    <row r="5" spans="2:16" x14ac:dyDescent="0.3">
      <c r="B5" s="6">
        <v>134</v>
      </c>
      <c r="C5" s="15">
        <v>0</v>
      </c>
      <c r="D5" s="21"/>
      <c r="E5" s="11"/>
      <c r="F5" s="10"/>
      <c r="H5" s="6">
        <v>134</v>
      </c>
      <c r="I5" s="15">
        <v>0</v>
      </c>
      <c r="J5" s="11"/>
      <c r="K5" s="10"/>
      <c r="N5" s="39"/>
      <c r="O5" s="39"/>
      <c r="P5" s="36"/>
    </row>
    <row r="6" spans="2:16" x14ac:dyDescent="0.3">
      <c r="B6" s="6">
        <v>140</v>
      </c>
      <c r="C6" s="15">
        <v>0</v>
      </c>
      <c r="D6" s="21"/>
      <c r="E6" s="11"/>
      <c r="F6" s="10"/>
      <c r="G6" s="15"/>
      <c r="H6" s="6">
        <v>140</v>
      </c>
      <c r="I6" s="15">
        <v>0</v>
      </c>
      <c r="J6" s="11"/>
      <c r="K6" s="10"/>
      <c r="M6" s="16"/>
      <c r="N6" s="39"/>
      <c r="O6" s="39"/>
      <c r="P6" s="36"/>
    </row>
    <row r="7" spans="2:16" x14ac:dyDescent="0.3">
      <c r="B7" s="6">
        <v>142</v>
      </c>
      <c r="C7" s="15"/>
      <c r="D7" s="21"/>
      <c r="E7" s="11"/>
      <c r="F7" s="10"/>
      <c r="G7" s="15"/>
      <c r="H7" s="6"/>
      <c r="I7" s="15"/>
      <c r="J7" s="11"/>
      <c r="K7" s="10"/>
      <c r="M7" s="16"/>
      <c r="N7" s="39">
        <v>29.8</v>
      </c>
      <c r="O7" s="39"/>
      <c r="P7" s="36"/>
    </row>
    <row r="8" spans="2:16" x14ac:dyDescent="0.3">
      <c r="B8" s="6">
        <v>144</v>
      </c>
      <c r="C8" s="15"/>
      <c r="D8" s="21"/>
      <c r="E8" s="11">
        <v>3.2</v>
      </c>
      <c r="F8" s="10"/>
      <c r="G8" s="15"/>
      <c r="H8" s="6">
        <v>144</v>
      </c>
      <c r="I8" s="15"/>
      <c r="J8" s="11">
        <v>3.2</v>
      </c>
      <c r="K8" s="10"/>
      <c r="M8" s="16"/>
      <c r="N8" s="39"/>
      <c r="O8" s="39"/>
      <c r="P8" s="36"/>
    </row>
    <row r="9" spans="2:16" x14ac:dyDescent="0.3">
      <c r="B9" s="6">
        <v>149</v>
      </c>
      <c r="C9" s="15">
        <v>2.2999999999999998</v>
      </c>
      <c r="D9" s="21"/>
      <c r="E9" s="11">
        <v>3.8</v>
      </c>
      <c r="F9" s="10"/>
      <c r="G9" s="15"/>
      <c r="H9" s="6">
        <v>149</v>
      </c>
      <c r="I9" s="15">
        <v>2.2999999999999998</v>
      </c>
      <c r="J9" s="11">
        <v>3.8</v>
      </c>
      <c r="K9" s="10"/>
      <c r="M9" s="16"/>
      <c r="N9" s="39"/>
      <c r="O9" s="39"/>
      <c r="P9" s="36"/>
    </row>
    <row r="10" spans="2:16" x14ac:dyDescent="0.3">
      <c r="B10" s="6">
        <v>154</v>
      </c>
      <c r="C10" s="15">
        <v>0.7</v>
      </c>
      <c r="D10" s="21"/>
      <c r="E10" s="11"/>
      <c r="F10" s="10"/>
      <c r="H10" s="6">
        <v>154</v>
      </c>
      <c r="I10" s="15">
        <v>0.7</v>
      </c>
      <c r="J10" s="11"/>
      <c r="K10" s="10"/>
      <c r="N10" s="39"/>
      <c r="O10" s="39"/>
      <c r="P10" s="36"/>
    </row>
    <row r="11" spans="2:16" x14ac:dyDescent="0.3">
      <c r="B11" s="6">
        <v>155</v>
      </c>
      <c r="C11" s="15"/>
      <c r="D11" s="21"/>
      <c r="E11" s="11"/>
      <c r="F11" s="10"/>
      <c r="H11" s="6"/>
      <c r="I11" s="15"/>
      <c r="J11" s="11"/>
      <c r="K11" s="10"/>
      <c r="N11" s="39"/>
      <c r="O11" s="39">
        <v>18</v>
      </c>
      <c r="P11" s="36"/>
    </row>
    <row r="12" spans="2:16" x14ac:dyDescent="0.3">
      <c r="B12" s="6">
        <v>156</v>
      </c>
      <c r="C12" s="15"/>
      <c r="D12" s="21"/>
      <c r="E12" s="11"/>
      <c r="F12" s="10"/>
      <c r="H12" s="6"/>
      <c r="I12" s="15"/>
      <c r="J12" s="11"/>
      <c r="K12" s="10"/>
      <c r="N12" s="39">
        <v>17.8</v>
      </c>
      <c r="O12" s="39"/>
      <c r="P12" s="36"/>
    </row>
    <row r="13" spans="2:16" x14ac:dyDescent="0.3">
      <c r="B13" s="6">
        <v>157</v>
      </c>
      <c r="C13" s="15"/>
      <c r="D13" s="21"/>
      <c r="E13" s="11">
        <v>1.8</v>
      </c>
      <c r="F13" s="10">
        <v>12.2</v>
      </c>
      <c r="H13" s="6">
        <v>157</v>
      </c>
      <c r="I13" s="15"/>
      <c r="J13" s="11">
        <v>1.8</v>
      </c>
      <c r="K13" s="10">
        <v>12.2</v>
      </c>
      <c r="N13" s="39"/>
      <c r="O13" s="39"/>
      <c r="P13" s="36"/>
    </row>
    <row r="14" spans="2:16" x14ac:dyDescent="0.3">
      <c r="B14" s="6">
        <v>162</v>
      </c>
      <c r="C14" s="15"/>
      <c r="D14" s="21"/>
      <c r="E14" s="11"/>
      <c r="F14" s="10">
        <v>5.5</v>
      </c>
      <c r="H14" s="6">
        <v>162</v>
      </c>
      <c r="I14" s="15"/>
      <c r="J14" s="11"/>
      <c r="K14" s="10">
        <v>5.5</v>
      </c>
      <c r="N14" s="39"/>
      <c r="O14" s="39"/>
      <c r="P14" s="36"/>
    </row>
    <row r="15" spans="2:16" x14ac:dyDescent="0.3">
      <c r="B15" s="6">
        <v>163</v>
      </c>
      <c r="C15" s="15">
        <v>0</v>
      </c>
      <c r="D15" s="21"/>
      <c r="E15" s="11"/>
      <c r="F15" s="10"/>
      <c r="G15" s="15"/>
      <c r="H15" s="6">
        <v>163</v>
      </c>
      <c r="I15" s="15">
        <v>0</v>
      </c>
      <c r="J15" s="11"/>
      <c r="K15" s="10"/>
      <c r="M15" s="16"/>
      <c r="N15" s="39"/>
      <c r="O15" s="39">
        <v>8</v>
      </c>
      <c r="P15" s="36"/>
    </row>
    <row r="16" spans="2:16" x14ac:dyDescent="0.3">
      <c r="B16" s="6">
        <v>164</v>
      </c>
      <c r="C16" s="15"/>
      <c r="D16" s="21"/>
      <c r="E16" s="11"/>
      <c r="F16" s="10"/>
      <c r="G16" s="15"/>
      <c r="H16" s="6"/>
      <c r="I16" s="15"/>
      <c r="J16" s="11"/>
      <c r="K16" s="10"/>
      <c r="M16" s="16"/>
      <c r="N16" s="39">
        <v>5</v>
      </c>
      <c r="O16" s="39"/>
      <c r="P16" s="36"/>
    </row>
    <row r="17" spans="2:16" x14ac:dyDescent="0.3">
      <c r="B17" s="6">
        <v>165</v>
      </c>
      <c r="C17" s="15"/>
      <c r="D17" s="21"/>
      <c r="E17" s="11">
        <v>1.8</v>
      </c>
      <c r="F17" s="10"/>
      <c r="G17" s="15"/>
      <c r="H17" s="6">
        <v>165</v>
      </c>
      <c r="I17" s="15"/>
      <c r="J17" s="11">
        <v>1.8</v>
      </c>
      <c r="K17" s="10"/>
      <c r="M17" s="16"/>
      <c r="N17" s="39"/>
      <c r="O17" s="39"/>
      <c r="P17" s="36"/>
    </row>
    <row r="18" spans="2:16" x14ac:dyDescent="0.3">
      <c r="B18" s="6">
        <v>168</v>
      </c>
      <c r="C18" s="15">
        <v>0</v>
      </c>
      <c r="D18" s="21"/>
      <c r="E18" s="11"/>
      <c r="F18" s="10"/>
      <c r="G18" s="15"/>
      <c r="H18" s="6">
        <v>168</v>
      </c>
      <c r="I18" s="15">
        <v>0</v>
      </c>
      <c r="J18" s="11"/>
      <c r="K18" s="10"/>
      <c r="M18" s="16"/>
      <c r="N18" s="39"/>
      <c r="O18" s="39"/>
      <c r="P18" s="36"/>
    </row>
    <row r="19" spans="2:16" x14ac:dyDescent="0.3">
      <c r="B19" s="6">
        <v>170</v>
      </c>
      <c r="C19" s="15"/>
      <c r="D19" s="21"/>
      <c r="E19" s="11"/>
      <c r="F19" s="10">
        <v>10.199999999999999</v>
      </c>
      <c r="G19" s="15"/>
      <c r="H19" s="6">
        <v>170</v>
      </c>
      <c r="I19" s="15"/>
      <c r="J19" s="11"/>
      <c r="K19" s="10">
        <v>10.199999999999999</v>
      </c>
      <c r="M19" s="16"/>
      <c r="N19" s="39"/>
      <c r="O19" s="39">
        <v>8</v>
      </c>
      <c r="P19" s="36"/>
    </row>
    <row r="20" spans="2:16" x14ac:dyDescent="0.3">
      <c r="B20" s="6">
        <v>172</v>
      </c>
      <c r="C20" s="15"/>
      <c r="D20" s="21"/>
      <c r="E20" s="11"/>
      <c r="F20" s="10"/>
      <c r="G20" s="15"/>
      <c r="H20" s="6"/>
      <c r="I20" s="15"/>
      <c r="J20" s="11"/>
      <c r="K20" s="10"/>
      <c r="M20" s="16"/>
      <c r="N20" s="39">
        <v>8.1999999999999993</v>
      </c>
      <c r="O20" s="39"/>
      <c r="P20" s="36"/>
    </row>
    <row r="21" spans="2:16" x14ac:dyDescent="0.3">
      <c r="B21" s="6">
        <v>173</v>
      </c>
      <c r="C21" s="15"/>
      <c r="D21" s="21"/>
      <c r="E21" s="11">
        <v>1.8</v>
      </c>
      <c r="F21" s="10"/>
      <c r="G21" s="15"/>
      <c r="H21" s="6">
        <v>173</v>
      </c>
      <c r="I21" s="15"/>
      <c r="J21" s="11">
        <v>1.8</v>
      </c>
      <c r="K21" s="10"/>
      <c r="M21" s="16"/>
      <c r="N21" s="39"/>
      <c r="O21" s="39"/>
      <c r="P21" s="36"/>
    </row>
    <row r="22" spans="2:16" x14ac:dyDescent="0.3">
      <c r="B22" s="6">
        <v>177</v>
      </c>
      <c r="C22" s="15"/>
      <c r="D22" s="21"/>
      <c r="E22" s="11"/>
      <c r="F22" s="10">
        <v>4.8</v>
      </c>
      <c r="G22" s="15"/>
      <c r="H22" s="6">
        <v>177</v>
      </c>
      <c r="I22" s="15"/>
      <c r="J22" s="11"/>
      <c r="K22" s="10">
        <v>4.8</v>
      </c>
      <c r="M22" s="16"/>
      <c r="N22" s="39"/>
      <c r="O22" s="39">
        <v>8.1999999999999993</v>
      </c>
      <c r="P22" s="36"/>
    </row>
    <row r="23" spans="2:16" x14ac:dyDescent="0.3">
      <c r="B23" s="6">
        <v>179</v>
      </c>
      <c r="C23" s="15"/>
      <c r="D23" s="21"/>
      <c r="E23" s="11">
        <v>1.9</v>
      </c>
      <c r="F23" s="10"/>
      <c r="G23" s="15"/>
      <c r="H23" s="6">
        <v>179</v>
      </c>
      <c r="I23" s="15"/>
      <c r="J23" s="11">
        <v>1.9</v>
      </c>
      <c r="K23" s="10"/>
      <c r="M23" s="16"/>
      <c r="N23" s="39"/>
      <c r="O23" s="39"/>
      <c r="P23" s="36"/>
    </row>
    <row r="24" spans="2:16" x14ac:dyDescent="0.3">
      <c r="B24" s="6">
        <v>184</v>
      </c>
      <c r="C24" s="15">
        <v>0</v>
      </c>
      <c r="D24" s="21"/>
      <c r="E24" s="11"/>
      <c r="F24" s="10"/>
      <c r="H24" s="6">
        <v>184</v>
      </c>
      <c r="I24" s="15">
        <v>0</v>
      </c>
      <c r="J24" s="11"/>
      <c r="K24" s="10"/>
      <c r="N24" s="39"/>
      <c r="O24" s="39">
        <v>9</v>
      </c>
      <c r="P24" s="36"/>
    </row>
    <row r="25" spans="2:16" x14ac:dyDescent="0.3">
      <c r="B25" s="6">
        <v>185</v>
      </c>
      <c r="C25" s="15"/>
      <c r="D25" s="21"/>
      <c r="E25" s="11"/>
      <c r="F25" s="10"/>
      <c r="H25" s="6"/>
      <c r="I25" s="15"/>
      <c r="J25" s="11"/>
      <c r="K25" s="10"/>
      <c r="N25" s="39">
        <v>11.4</v>
      </c>
      <c r="O25" s="39"/>
      <c r="P25" s="36"/>
    </row>
    <row r="26" spans="2:16" x14ac:dyDescent="0.3">
      <c r="B26" s="6">
        <v>192</v>
      </c>
      <c r="C26" s="15"/>
      <c r="D26" s="21"/>
      <c r="E26" s="11">
        <v>0.8</v>
      </c>
      <c r="F26" s="10">
        <v>1.7</v>
      </c>
      <c r="H26" s="6">
        <v>192</v>
      </c>
      <c r="I26" s="15"/>
      <c r="J26" s="11">
        <v>0.8</v>
      </c>
      <c r="K26" s="10">
        <v>1.7</v>
      </c>
      <c r="N26" s="39"/>
      <c r="O26" s="39"/>
      <c r="P26" s="36"/>
    </row>
    <row r="27" spans="2:16" x14ac:dyDescent="0.3">
      <c r="B27" s="6">
        <v>198</v>
      </c>
      <c r="C27" s="15">
        <v>0</v>
      </c>
      <c r="D27" s="21"/>
      <c r="E27" s="11"/>
      <c r="F27" s="10"/>
      <c r="G27" s="15"/>
      <c r="H27" s="6">
        <v>198</v>
      </c>
      <c r="I27" s="15">
        <v>0</v>
      </c>
      <c r="J27" s="11"/>
      <c r="K27" s="10"/>
      <c r="M27" s="16"/>
      <c r="N27" s="39">
        <v>5.2</v>
      </c>
      <c r="O27" s="39"/>
      <c r="P27" s="36"/>
    </row>
    <row r="28" spans="2:16" x14ac:dyDescent="0.3">
      <c r="B28" s="6">
        <v>205</v>
      </c>
      <c r="C28" s="15"/>
      <c r="D28" s="21"/>
      <c r="E28" s="11"/>
      <c r="F28" s="10">
        <v>0.8</v>
      </c>
      <c r="G28" s="15"/>
      <c r="H28" s="6">
        <v>205</v>
      </c>
      <c r="I28" s="15"/>
      <c r="J28" s="11"/>
      <c r="K28" s="10">
        <v>0.8</v>
      </c>
      <c r="M28" s="16"/>
      <c r="N28" s="39"/>
      <c r="O28" s="39">
        <v>1.6</v>
      </c>
      <c r="P28" s="36"/>
    </row>
    <row r="29" spans="2:16" x14ac:dyDescent="0.3">
      <c r="B29" s="6">
        <v>206</v>
      </c>
      <c r="C29" s="15"/>
      <c r="D29" s="21"/>
      <c r="E29" s="11">
        <v>5.4</v>
      </c>
      <c r="F29" s="10"/>
      <c r="G29" s="15"/>
      <c r="H29" s="6">
        <v>206</v>
      </c>
      <c r="I29" s="15"/>
      <c r="J29" s="11">
        <v>5.4</v>
      </c>
      <c r="K29" s="10"/>
      <c r="M29" s="16"/>
      <c r="N29" s="39"/>
      <c r="O29" s="39"/>
      <c r="P29" s="36"/>
    </row>
    <row r="30" spans="2:16" x14ac:dyDescent="0.3">
      <c r="B30" s="6">
        <v>212</v>
      </c>
      <c r="C30" s="15">
        <v>0</v>
      </c>
      <c r="D30" s="21"/>
      <c r="E30" s="11"/>
      <c r="F30" s="10"/>
      <c r="H30" s="6">
        <v>212</v>
      </c>
      <c r="I30" s="15">
        <v>0</v>
      </c>
      <c r="J30" s="11"/>
      <c r="K30" s="10"/>
      <c r="M30" s="16"/>
      <c r="N30" s="39">
        <v>4.2</v>
      </c>
      <c r="O30" s="39"/>
      <c r="P30" s="36"/>
    </row>
    <row r="31" spans="2:16" x14ac:dyDescent="0.3">
      <c r="B31" s="6">
        <v>218</v>
      </c>
      <c r="C31" s="15"/>
      <c r="D31" s="21"/>
      <c r="E31" s="11"/>
      <c r="F31" s="10">
        <v>1.2</v>
      </c>
      <c r="H31" s="6">
        <v>218</v>
      </c>
      <c r="I31" s="15"/>
      <c r="J31" s="11"/>
      <c r="K31" s="10">
        <v>1.2</v>
      </c>
      <c r="M31" s="16"/>
      <c r="N31" s="39"/>
      <c r="O31" s="39"/>
      <c r="P31" s="36"/>
    </row>
    <row r="32" spans="2:16" x14ac:dyDescent="0.3">
      <c r="B32" s="6">
        <v>219</v>
      </c>
      <c r="C32" s="15"/>
      <c r="D32" s="21"/>
      <c r="E32" s="11"/>
      <c r="F32" s="10"/>
      <c r="H32" s="6"/>
      <c r="I32" s="15"/>
      <c r="J32" s="11"/>
      <c r="K32" s="10"/>
      <c r="M32" s="16"/>
      <c r="N32" s="39"/>
      <c r="O32" s="39">
        <v>4.8</v>
      </c>
      <c r="P32" s="36"/>
    </row>
    <row r="33" spans="2:16" x14ac:dyDescent="0.3">
      <c r="B33" s="6">
        <v>220</v>
      </c>
      <c r="C33" s="15"/>
      <c r="D33" s="21"/>
      <c r="E33" s="11">
        <v>8.4</v>
      </c>
      <c r="F33" s="10"/>
      <c r="H33" s="6">
        <v>220</v>
      </c>
      <c r="I33" s="15"/>
      <c r="J33" s="11">
        <v>8.4</v>
      </c>
      <c r="K33" s="10"/>
      <c r="M33" s="16"/>
      <c r="N33" s="39"/>
      <c r="O33" s="39"/>
      <c r="P33" s="36"/>
    </row>
    <row r="34" spans="2:16" x14ac:dyDescent="0.3">
      <c r="B34" s="6">
        <v>226</v>
      </c>
      <c r="C34" s="13">
        <v>0</v>
      </c>
      <c r="D34" s="21"/>
      <c r="E34" s="11"/>
      <c r="F34" s="10"/>
      <c r="H34" s="6">
        <v>226</v>
      </c>
      <c r="I34" s="13">
        <v>0</v>
      </c>
      <c r="J34" s="11"/>
      <c r="K34" s="10"/>
      <c r="N34" s="39">
        <v>8.8000000000000007</v>
      </c>
      <c r="O34" s="39"/>
      <c r="P34" s="36"/>
    </row>
    <row r="35" spans="2:16" x14ac:dyDescent="0.3">
      <c r="B35" s="6">
        <v>234</v>
      </c>
      <c r="C35" s="13"/>
      <c r="D35" s="21"/>
      <c r="E35" s="11">
        <v>10.199999999999999</v>
      </c>
      <c r="F35" s="10">
        <v>1.2</v>
      </c>
      <c r="H35" s="6">
        <v>234</v>
      </c>
      <c r="J35" s="11">
        <v>10.199999999999999</v>
      </c>
      <c r="K35" s="10">
        <v>1.2</v>
      </c>
      <c r="N35" s="39"/>
      <c r="O35" s="39">
        <v>17</v>
      </c>
      <c r="P35" s="36"/>
    </row>
    <row r="36" spans="2:16" x14ac:dyDescent="0.3">
      <c r="B36" s="6">
        <v>246</v>
      </c>
      <c r="C36" s="13"/>
      <c r="D36" s="21"/>
      <c r="E36" s="11"/>
      <c r="F36" s="10">
        <v>6.5</v>
      </c>
      <c r="H36" s="6">
        <v>246</v>
      </c>
      <c r="J36" s="11"/>
      <c r="K36" s="10">
        <v>6.5</v>
      </c>
      <c r="N36" s="39"/>
      <c r="O36" s="39"/>
      <c r="P36" s="36"/>
    </row>
    <row r="37" spans="2:16" x14ac:dyDescent="0.3">
      <c r="B37" s="6">
        <v>248</v>
      </c>
      <c r="C37" s="13"/>
      <c r="D37" s="21"/>
      <c r="E37" s="11"/>
      <c r="F37" s="10"/>
      <c r="H37" s="6"/>
      <c r="J37" s="11"/>
      <c r="K37" s="10"/>
      <c r="N37" s="39"/>
      <c r="O37" s="39">
        <v>9.8000000000000007</v>
      </c>
      <c r="P37" s="36"/>
    </row>
    <row r="38" spans="2:16" x14ac:dyDescent="0.3">
      <c r="B38" s="6"/>
      <c r="C38" s="1"/>
      <c r="D38" s="1"/>
      <c r="E38" s="1"/>
      <c r="F38" s="2"/>
      <c r="G38" s="15"/>
      <c r="I38" s="15"/>
      <c r="M38" s="16"/>
      <c r="N38" s="39"/>
      <c r="O38" s="39"/>
      <c r="P38" s="36"/>
    </row>
    <row r="39" spans="2:16" x14ac:dyDescent="0.3">
      <c r="B39" s="6" t="s">
        <v>6</v>
      </c>
      <c r="C39" s="13">
        <f>AVERAGE(C5:C36)</f>
        <v>0.3</v>
      </c>
      <c r="D39" s="22"/>
      <c r="E39" s="13">
        <f t="shared" ref="E39:F39" si="0">AVERAGE(E5:E36)</f>
        <v>3.910000000000001</v>
      </c>
      <c r="F39" s="13">
        <f t="shared" si="0"/>
        <v>4.9000000000000004</v>
      </c>
      <c r="G39" s="15"/>
      <c r="I39" s="15"/>
      <c r="J39" s="15"/>
      <c r="M39" s="16"/>
      <c r="N39" s="12">
        <f t="shared" ref="N39:O39" si="1">AVERAGE(N5:N36)</f>
        <v>11.3</v>
      </c>
      <c r="O39" s="12">
        <f t="shared" si="1"/>
        <v>9.3249999999999993</v>
      </c>
      <c r="P39" s="36"/>
    </row>
    <row r="40" spans="2:16" x14ac:dyDescent="0.3">
      <c r="B40" s="6" t="s">
        <v>7</v>
      </c>
      <c r="C40" s="13">
        <f>MIN(C5:C36)</f>
        <v>0</v>
      </c>
      <c r="D40" s="22"/>
      <c r="E40" s="13">
        <f t="shared" ref="E40:F40" si="2">MIN(E5:E36)</f>
        <v>0.8</v>
      </c>
      <c r="F40" s="13">
        <f t="shared" si="2"/>
        <v>0.8</v>
      </c>
      <c r="J40" s="15"/>
      <c r="N40" s="12">
        <f t="shared" ref="N40:O40" si="3">MIN(N5:N36)</f>
        <v>4.2</v>
      </c>
      <c r="O40" s="12">
        <f t="shared" si="3"/>
        <v>1.6</v>
      </c>
      <c r="P40" s="36"/>
    </row>
    <row r="41" spans="2:16" x14ac:dyDescent="0.3">
      <c r="B41" s="6" t="s">
        <v>8</v>
      </c>
      <c r="C41" s="13">
        <f>MAX(C5:C36)</f>
        <v>2.2999999999999998</v>
      </c>
      <c r="D41" s="22"/>
      <c r="E41" s="13">
        <f t="shared" ref="E41:F41" si="4">MAX(E5:E36)</f>
        <v>10.199999999999999</v>
      </c>
      <c r="F41" s="13">
        <f t="shared" si="4"/>
        <v>12.2</v>
      </c>
      <c r="G41" s="15"/>
      <c r="I41" s="15"/>
      <c r="M41" s="15"/>
      <c r="N41" s="12">
        <f t="shared" ref="N41:O41" si="5">MAX(N5:N36)</f>
        <v>29.8</v>
      </c>
      <c r="O41" s="12">
        <f t="shared" si="5"/>
        <v>18</v>
      </c>
      <c r="P41" s="36"/>
    </row>
    <row r="42" spans="2:16" x14ac:dyDescent="0.3">
      <c r="B42" s="6"/>
      <c r="C42" s="1"/>
      <c r="D42" s="1"/>
      <c r="E42" s="1"/>
      <c r="F42" s="2"/>
      <c r="G42" s="15"/>
      <c r="I42" s="15"/>
      <c r="M42" s="16"/>
    </row>
    <row r="43" spans="2:16" x14ac:dyDescent="0.3">
      <c r="B43" s="7"/>
      <c r="C43" s="1"/>
      <c r="D43" s="1"/>
      <c r="E43" s="1"/>
      <c r="F43" s="3"/>
      <c r="G43" s="15"/>
    </row>
    <row r="44" spans="2:16" x14ac:dyDescent="0.3">
      <c r="G44" s="15"/>
      <c r="I44" s="15"/>
      <c r="M44" s="15"/>
    </row>
    <row r="45" spans="2:16" x14ac:dyDescent="0.3">
      <c r="G45" s="15"/>
      <c r="I45" s="15"/>
      <c r="M45" s="16"/>
    </row>
    <row r="47" spans="2:16" x14ac:dyDescent="0.3">
      <c r="G47" s="15"/>
      <c r="I47" s="15"/>
      <c r="M47" s="15"/>
    </row>
    <row r="48" spans="2:16" x14ac:dyDescent="0.3">
      <c r="G48" s="15"/>
      <c r="I48" s="15"/>
      <c r="M48" s="16"/>
    </row>
    <row r="50" spans="7:13" x14ac:dyDescent="0.3">
      <c r="G50" s="15"/>
      <c r="I50" s="15"/>
      <c r="M50" s="15"/>
    </row>
    <row r="51" spans="7:13" x14ac:dyDescent="0.3">
      <c r="G51" s="15"/>
      <c r="I51" s="15"/>
      <c r="M51" s="16"/>
    </row>
    <row r="53" spans="7:13" x14ac:dyDescent="0.3">
      <c r="G53" s="18"/>
      <c r="I53" s="17"/>
      <c r="M53" s="16"/>
    </row>
    <row r="54" spans="7:13" x14ac:dyDescent="0.3">
      <c r="G54" s="18"/>
      <c r="M54" s="16"/>
    </row>
    <row r="55" spans="7:13" x14ac:dyDescent="0.3">
      <c r="J55" s="17"/>
    </row>
  </sheetData>
  <mergeCells count="1">
    <mergeCell ref="C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Aeshnidae - dragonfly</vt:lpstr>
      <vt:lpstr>Aeshna cy.- dragonfly (2)</vt:lpstr>
      <vt:lpstr>Anisoptera- dragonfly</vt:lpstr>
      <vt:lpstr>Asellus</vt:lpstr>
      <vt:lpstr>Chaoborus (lrv)</vt:lpstr>
      <vt:lpstr>Chironomidae (lrv)</vt:lpstr>
      <vt:lpstr>Cloeon spp</vt:lpstr>
      <vt:lpstr>Coenagrionidae-odonates</vt:lpstr>
      <vt:lpstr>Dugesia - flatworm</vt:lpstr>
      <vt:lpstr>Gammarus pulex</vt:lpstr>
      <vt:lpstr>Haemopsis - leech</vt:lpstr>
      <vt:lpstr>Helobdella - leech</vt:lpstr>
      <vt:lpstr>Lymnaea - snail</vt:lpstr>
      <vt:lpstr>Notonecta - backswimmer</vt:lpstr>
      <vt:lpstr>Phryganea - trichoptera</vt:lpstr>
      <vt:lpstr>Planorbis - snail</vt:lpstr>
      <vt:lpstr>Tanypodinae </vt:lpstr>
      <vt:lpstr>Tubifex spp</vt:lpstr>
      <vt:lpstr>Zygoptera - damselflies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Bartell</dc:creator>
  <cp:lastModifiedBy>Steve</cp:lastModifiedBy>
  <dcterms:created xsi:type="dcterms:W3CDTF">2021-11-19T15:01:04Z</dcterms:created>
  <dcterms:modified xsi:type="dcterms:W3CDTF">2022-06-07T18:52:21Z</dcterms:modified>
</cp:coreProperties>
</file>