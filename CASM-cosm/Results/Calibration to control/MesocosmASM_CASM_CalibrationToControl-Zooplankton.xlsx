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yngenta_WB-ASM\MesocosmData\Control-Combined\"/>
    </mc:Choice>
  </mc:AlternateContent>
  <xr:revisionPtr revIDLastSave="0" documentId="13_ncr:1_{293BC636-7909-4970-A018-0D0706890186}" xr6:coauthVersionLast="47" xr6:coauthVersionMax="47" xr10:uidLastSave="{00000000-0000-0000-0000-000000000000}"/>
  <bookViews>
    <workbookView xWindow="31500" yWindow="1965" windowWidth="18465" windowHeight="10455" activeTab="1" xr2:uid="{075614E4-6253-4D74-B70A-DD4D9EC3BFD1}"/>
  </bookViews>
  <sheets>
    <sheet name="Daphnia longispina" sheetId="3" r:id="rId1"/>
    <sheet name="Daphnia spp" sheetId="4" r:id="rId2"/>
    <sheet name="Cyclopoids" sheetId="2" r:id="rId3"/>
    <sheet name="Keratella" sheetId="1" r:id="rId4"/>
  </sheets>
  <calcPr calcId="18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<sst xmlns="http://schemas.openxmlformats.org/spreadsheetml/2006/main" count="24" uniqueCount="6">
  <si>
    <t>DOY</t>
  </si>
  <si>
    <t>14-a</t>
  </si>
  <si>
    <t>16-a</t>
  </si>
  <si>
    <t>18-c</t>
  </si>
  <si>
    <t>19-b</t>
  </si>
  <si>
    <t>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</si>
</sst>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Font="1" applyBorder="1" applyAlignment="1">
      <alignment horizontal="center"/>
    </xf>
    <xf numFmtId="2" fontId="0" fillId="0" borderId="0" xfId="1" applyNumberFormat="1" applyFont="1" applyBorder="1" applyAlignment="1">
      <alignment horizontal="center" wrapText="1"/>
    </xf>
    <xf numFmtId="2" fontId="3" fillId="0" borderId="0" xfId="1" applyNumberFormat="1" applyFont="1" applyBorder="1" applyAlignment="1">
      <alignment horizontal="center" vertical="center" wrapText="1"/>
    </xf>
    <xf numFmtId="2" fontId="3" fillId="0" borderId="0" xfId="1" applyNumberFormat="1" applyFont="1" applyBorder="1" applyAlignment="1">
      <alignment horizontal="center" vertical="center"/>
    </xf>
    <xf numFmtId="1" fontId="3" fillId="0" borderId="0" xfId="1" applyNumberFormat="1" applyFont="1" applyBorder="1" applyAlignment="1">
      <alignment horizontal="center" vertical="center" wrapText="1"/>
    </xf>
    <xf numFmtId="0" fontId="0" fillId="0" borderId="0" xfId="0" applyFont="1" applyBorder="1"/>
    <xf numFmtId="2" fontId="4" fillId="0" borderId="0" xfId="1" applyNumberFormat="1" applyFont="1" applyBorder="1" applyAlignment="1">
      <alignment horizontal="center"/>
    </xf>
    <xf numFmtId="2" fontId="4" fillId="0" borderId="0" xfId="1" applyNumberFormat="1" applyFont="1" applyBorder="1" applyAlignment="1">
      <alignment horizontal="center" wrapText="1"/>
    </xf>
    <xf numFmtId="2" fontId="0" fillId="0" borderId="0" xfId="0" applyNumberFormat="1" applyFont="1" applyBorder="1" applyAlignment="1">
      <alignment horizontal="center"/>
    </xf>
    <xf numFmtId="1" fontId="0" fillId="0" borderId="0" xfId="0" applyNumberFormat="1" applyFont="1" applyBorder="1" applyAlignment="1">
      <alignment horizontal="center"/>
    </xf>
    <xf numFmtId="1" fontId="3" fillId="0" borderId="0" xfId="1" applyNumberFormat="1" applyFont="1" applyFill="1" applyBorder="1" applyAlignment="1">
      <alignment horizontal="center" vertical="center" wrapText="1"/>
    </xf>
    <xf numFmtId="2" fontId="1" fillId="0" borderId="0" xfId="1" applyNumberFormat="1" applyFont="1" applyBorder="1" applyAlignment="1">
      <alignment horizontal="center" wrapText="1"/>
    </xf>
    <xf numFmtId="0" fontId="1" fillId="0" borderId="0" xfId="0" applyFont="1" applyBorder="1" applyAlignment="1">
      <alignment horizontal="center"/>
    </xf>
    <xf numFmtId="0" fontId="1" fillId="0" borderId="0" xfId="0" applyFont="1" applyBorder="1"/>
    <xf numFmtId="2" fontId="1" fillId="0" borderId="0" xfId="0" applyNumberFormat="1" applyFont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Normal" xfId="0" builtinId="0"/>
    <cellStyle name="Standard_Tabelle1 3" xfId="1" xr:uid="{400782B3-FFE4-4AEF-BC4E-EF13103F08D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Daphnia</a:t>
            </a:r>
            <a:r>
              <a:rPr lang="en-US" i="1" baseline="0"/>
              <a:t> longispina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'Daphnia longispina'!$C$3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'Daphnia longispina'!$B$4:$B$38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longispina'!$C$4:$C$38</c:f>
              <c:numCache>
                <c:formatCode>0.00</c:formatCode>
                <c:ptCount val="35"/>
                <c:pt idx="0">
                  <c:v>0</c:v>
                </c:pt>
                <c:pt idx="1">
                  <c:v>0.22666666666666668</c:v>
                </c:pt>
                <c:pt idx="3">
                  <c:v>0.186</c:v>
                </c:pt>
                <c:pt idx="5">
                  <c:v>4.6850000000000005</c:v>
                </c:pt>
                <c:pt idx="6">
                  <c:v>8.9083333333333332</c:v>
                </c:pt>
                <c:pt idx="10">
                  <c:v>1.8216666666666665</c:v>
                </c:pt>
                <c:pt idx="15">
                  <c:v>8.7683333333333344</c:v>
                </c:pt>
                <c:pt idx="20">
                  <c:v>11.556666666666667</c:v>
                </c:pt>
                <c:pt idx="23">
                  <c:v>4.2299999999999995</c:v>
                </c:pt>
                <c:pt idx="27">
                  <c:v>10.265000000000001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48-42CF-A96C-5401DB479BAA}"/>
            </c:ext>
          </c:extLst>
        </c:ser>
        <c:ser>
          <c:idx val="1"/>
          <c:order val="1"/>
          <c:tx>
            <c:strRef>
              <c:f>'Daphnia longispina'!$D$3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'Daphnia longispina'!$B$4:$B$38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longispina'!$D$4:$D$38</c:f>
              <c:numCache>
                <c:formatCode>General</c:formatCode>
                <c:ptCount val="35"/>
                <c:pt idx="11" formatCode="0.00">
                  <c:v>15.99</c:v>
                </c:pt>
                <c:pt idx="14" formatCode="0.00">
                  <c:v>6.1166666666666671</c:v>
                </c:pt>
                <c:pt idx="16" formatCode="0.00">
                  <c:v>1.4783333333333335</c:v>
                </c:pt>
                <c:pt idx="18" formatCode="0.00">
                  <c:v>1.4783333333333335</c:v>
                </c:pt>
                <c:pt idx="22" formatCode="0.00">
                  <c:v>1.4726270723237591</c:v>
                </c:pt>
                <c:pt idx="25" formatCode="0.00">
                  <c:v>1.1061175599077915</c:v>
                </c:pt>
                <c:pt idx="29" formatCode="0.00">
                  <c:v>1.25833333333333</c:v>
                </c:pt>
                <c:pt idx="33" formatCode="0.00">
                  <c:v>0.36833333333333335</c:v>
                </c:pt>
                <c:pt idx="34" formatCode="0.00">
                  <c:v>1.8266666666666669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48-42CF-A96C-5401DB479BAA}"/>
            </c:ext>
          </c:extLst>
        </c:ser>
        <c:ser>
          <c:idx val="2"/>
          <c:order val="2"/>
          <c:tx>
            <c:strRef>
              <c:f>'Daphnia longispina'!$E$3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'Daphnia longispina'!$B$4:$B$38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longispina'!$E$4:$E$38</c:f>
              <c:numCache>
                <c:formatCode>General</c:formatCode>
                <c:ptCount val="35"/>
                <c:pt idx="2" formatCode="0.00">
                  <c:v>6.4739999999999993</c:v>
                </c:pt>
                <c:pt idx="3" formatCode="0.00">
                  <c:v>1.1900000000000002</c:v>
                </c:pt>
                <c:pt idx="4" formatCode="0.00">
                  <c:v>15.984</c:v>
                </c:pt>
                <c:pt idx="5" formatCode="0.00">
                  <c:v>0.71399999999999997</c:v>
                </c:pt>
                <c:pt idx="8" formatCode="0.00">
                  <c:v>2.3620000000000005</c:v>
                </c:pt>
                <c:pt idx="13" formatCode="0.00">
                  <c:v>15.937999999999999</c:v>
                </c:pt>
                <c:pt idx="17" formatCode="0.00">
                  <c:v>5.0179999999999998</c:v>
                </c:pt>
                <c:pt idx="19" formatCode="0.00">
                  <c:v>12.916</c:v>
                </c:pt>
                <c:pt idx="21" formatCode="0.00">
                  <c:v>3.9199999999999995</c:v>
                </c:pt>
                <c:pt idx="22" formatCode="0.00">
                  <c:v>6.8759999999999994</c:v>
                </c:pt>
                <c:pt idx="26" formatCode="0.00">
                  <c:v>5.0419999999999998</c:v>
                </c:pt>
                <c:pt idx="30" formatCode="0.00">
                  <c:v>7.2119999999999989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48-42CF-A96C-5401DB479BAA}"/>
            </c:ext>
          </c:extLst>
        </c:ser>
        <c:ser>
          <c:idx val="3"/>
          <c:order val="3"/>
          <c:tx>
            <c:strRef>
              <c:f>'Daphnia longispina'!$F$3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'Daphnia longispina'!$B$4:$B$38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longispina'!$F$4:$F$38</c:f>
              <c:numCache>
                <c:formatCode>General</c:formatCode>
                <c:ptCount val="35"/>
                <c:pt idx="5" formatCode="0.00">
                  <c:v>1.0433333333333332</c:v>
                </c:pt>
                <c:pt idx="7" formatCode="0.00">
                  <c:v>0.47500000000000003</c:v>
                </c:pt>
                <c:pt idx="9" formatCode="0.00">
                  <c:v>0.43333333333333335</c:v>
                </c:pt>
                <c:pt idx="11" formatCode="0.00">
                  <c:v>1.2933333333333334</c:v>
                </c:pt>
                <c:pt idx="12" formatCode="0.00">
                  <c:v>0.59833333333333338</c:v>
                </c:pt>
                <c:pt idx="14" formatCode="0.00">
                  <c:v>0.6183333333333334</c:v>
                </c:pt>
                <c:pt idx="17" formatCode="0.00">
                  <c:v>0.31666666666666665</c:v>
                </c:pt>
                <c:pt idx="19" formatCode="0.00">
                  <c:v>1.0966666666666667</c:v>
                </c:pt>
                <c:pt idx="21" formatCode="0.00">
                  <c:v>0.97500000000000009</c:v>
                </c:pt>
                <c:pt idx="22" formatCode="0.00">
                  <c:v>1.8233333333333335</c:v>
                </c:pt>
                <c:pt idx="24" formatCode="0.00">
                  <c:v>2.3000000000000003</c:v>
                </c:pt>
                <c:pt idx="26" formatCode="0.00">
                  <c:v>1.6849999999999998</c:v>
                </c:pt>
                <c:pt idx="28" formatCode="0.00">
                  <c:v>3.0066666666666664</c:v>
                </c:pt>
                <c:pt idx="30" formatCode="0.00">
                  <c:v>4.8966666666666674</c:v>
                </c:pt>
                <c:pt idx="31" formatCode="0.00">
                  <c:v>4.546666666666666</c:v>
                </c:pt>
                <c:pt idx="32" formatCode="0.00">
                  <c:v>5.9849999999999994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F48-42CF-A96C-5401DB479B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Daphnia</a:t>
            </a:r>
            <a:r>
              <a:rPr lang="en-US" i="1" baseline="0"/>
              <a:t> spp</a:t>
            </a:r>
            <a:endParaRPr lang="en-US" i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'Daphnia spp'!$C$3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'Daphnia spp'!$B$4:$B$38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spp'!$C$4:$C$38</c:f>
              <c:numCache>
                <c:formatCode>0.00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B0-4F3F-BC84-28BFB77D3D27}"/>
            </c:ext>
          </c:extLst>
        </c:ser>
        <c:ser>
          <c:idx val="1"/>
          <c:order val="1"/>
          <c:tx>
            <c:strRef>
              <c:f>'Daphnia spp'!$D$3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'Daphnia spp'!$B$4:$B$38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spp'!$D$4:$D$38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2B0-4F3F-BC84-28BFB77D3D27}"/>
            </c:ext>
          </c:extLst>
        </c:ser>
        <c:ser>
          <c:idx val="2"/>
          <c:order val="2"/>
          <c:tx>
            <c:strRef>
              <c:f>'Daphnia spp'!$E$3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'Daphnia spp'!$B$4:$B$38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spp'!$E$4:$E$38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2B0-4F3F-BC84-28BFB77D3D27}"/>
            </c:ext>
          </c:extLst>
        </c:ser>
        <c:ser>
          <c:idx val="3"/>
          <c:order val="3"/>
          <c:tx>
            <c:strRef>
              <c:f>'Daphnia spp'!$F$3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'Daphnia spp'!$B$4:$B$38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'Daphnia spp'!$F$4:$F$38</c:f>
              <c:numCache>
                <c:formatCode>General</c:formatCode>
                <c:ptCount val="3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2B0-4F3F-BC84-28BFB77D3D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0"/>
              <a:t>Cyclopoids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Cyclopoids!$C$3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Cyclopoids!$B$4:$B$38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Cyclopoids!$C$4:$C$38</c:f>
              <c:numCache>
                <c:formatCode>0.00</c:formatCode>
                <c:ptCount val="35"/>
                <c:pt idx="0">
                  <c:v>36.606666666666669</c:v>
                </c:pt>
                <c:pt idx="1">
                  <c:v>53.308333333333337</c:v>
                </c:pt>
                <c:pt idx="3">
                  <c:v>53.490000000000009</c:v>
                </c:pt>
                <c:pt idx="5">
                  <c:v>94.821666666666673</c:v>
                </c:pt>
                <c:pt idx="6">
                  <c:v>65.695000000000007</c:v>
                </c:pt>
                <c:pt idx="10">
                  <c:v>32.121666666666663</c:v>
                </c:pt>
                <c:pt idx="15">
                  <c:v>20.36</c:v>
                </c:pt>
                <c:pt idx="20">
                  <c:v>17.455000000000002</c:v>
                </c:pt>
                <c:pt idx="23">
                  <c:v>11.858333333333334</c:v>
                </c:pt>
                <c:pt idx="27">
                  <c:v>4.5366666666666662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438-4430-85BD-3023614338A3}"/>
            </c:ext>
          </c:extLst>
        </c:ser>
        <c:ser>
          <c:idx val="1"/>
          <c:order val="1"/>
          <c:tx>
            <c:strRef>
              <c:f>Cyclopoids!$D$3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Cyclopoids!$B$4:$B$38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Cyclopoids!$D$4:$D$38</c:f>
              <c:numCache>
                <c:formatCode>General</c:formatCode>
                <c:ptCount val="35"/>
                <c:pt idx="11" formatCode="0.00">
                  <c:v>18.046666666666667</c:v>
                </c:pt>
                <c:pt idx="14" formatCode="0.00">
                  <c:v>10.106666666666667</c:v>
                </c:pt>
                <c:pt idx="16" formatCode="0.00">
                  <c:v>12.558333333333334</c:v>
                </c:pt>
                <c:pt idx="18" formatCode="0.00">
                  <c:v>12.558333333333334</c:v>
                </c:pt>
                <c:pt idx="22" formatCode="0.00">
                  <c:v>9.7858353781084677</c:v>
                </c:pt>
                <c:pt idx="25" formatCode="0.00">
                  <c:v>8.1397277539697317</c:v>
                </c:pt>
                <c:pt idx="29" formatCode="0.00">
                  <c:v>27.47</c:v>
                </c:pt>
                <c:pt idx="33" formatCode="0.00">
                  <c:v>23.251666666666669</c:v>
                </c:pt>
                <c:pt idx="34" formatCode="0.00">
                  <c:v>61.608333333333334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38-4430-85BD-3023614338A3}"/>
            </c:ext>
          </c:extLst>
        </c:ser>
        <c:ser>
          <c:idx val="2"/>
          <c:order val="2"/>
          <c:tx>
            <c:strRef>
              <c:f>Cyclopoids!$E$3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Cyclopoids!$B$4:$B$38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Cyclopoids!$E$4:$E$38</c:f>
              <c:numCache>
                <c:formatCode>General</c:formatCode>
                <c:ptCount val="35"/>
                <c:pt idx="2" formatCode="0.00">
                  <c:v>20.95</c:v>
                </c:pt>
                <c:pt idx="3" formatCode="0.00">
                  <c:v>29.152000000000005</c:v>
                </c:pt>
                <c:pt idx="4" formatCode="0.00">
                  <c:v>7.1419999999999986</c:v>
                </c:pt>
                <c:pt idx="5" formatCode="0.00">
                  <c:v>10.423999999999999</c:v>
                </c:pt>
                <c:pt idx="8" formatCode="0.00">
                  <c:v>16.271999999999998</c:v>
                </c:pt>
                <c:pt idx="13" formatCode="0.00">
                  <c:v>32.983999999999995</c:v>
                </c:pt>
                <c:pt idx="17" formatCode="0.00">
                  <c:v>77.298000000000002</c:v>
                </c:pt>
                <c:pt idx="19" formatCode="0.00">
                  <c:v>23.47</c:v>
                </c:pt>
                <c:pt idx="21" formatCode="0.00">
                  <c:v>64.918000000000006</c:v>
                </c:pt>
                <c:pt idx="22" formatCode="0.00">
                  <c:v>32.902000000000001</c:v>
                </c:pt>
                <c:pt idx="26" formatCode="0.00">
                  <c:v>21.887999999999998</c:v>
                </c:pt>
                <c:pt idx="30" formatCode="0.00">
                  <c:v>17.344000000000001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8-4430-85BD-3023614338A3}"/>
            </c:ext>
          </c:extLst>
        </c:ser>
        <c:ser>
          <c:idx val="3"/>
          <c:order val="3"/>
          <c:tx>
            <c:strRef>
              <c:f>Cyclopoids!$F$3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Cyclopoids!$B$4:$B$38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Cyclopoids!$F$4:$F$38</c:f>
              <c:numCache>
                <c:formatCode>General</c:formatCode>
                <c:ptCount val="35"/>
                <c:pt idx="5" formatCode="0.00">
                  <c:v>6.6366666666666667</c:v>
                </c:pt>
                <c:pt idx="7" formatCode="0.00">
                  <c:v>6.5766666666666662</c:v>
                </c:pt>
                <c:pt idx="9" formatCode="0.00">
                  <c:v>6.4083333333333332</c:v>
                </c:pt>
                <c:pt idx="11" formatCode="0.00">
                  <c:v>8.1133333333333333</c:v>
                </c:pt>
                <c:pt idx="12" formatCode="0.00">
                  <c:v>7.5483333333333329</c:v>
                </c:pt>
                <c:pt idx="14" formatCode="0.00">
                  <c:v>7.0583333333333336</c:v>
                </c:pt>
                <c:pt idx="17" formatCode="0.00">
                  <c:v>11.641666666666666</c:v>
                </c:pt>
                <c:pt idx="19" formatCode="0.00">
                  <c:v>20.555</c:v>
                </c:pt>
                <c:pt idx="21" formatCode="0.00">
                  <c:v>36.414999999999999</c:v>
                </c:pt>
                <c:pt idx="22" formatCode="0.00">
                  <c:v>63.784999999999989</c:v>
                </c:pt>
                <c:pt idx="24" formatCode="0.00">
                  <c:v>44.033333333333331</c:v>
                </c:pt>
                <c:pt idx="26" formatCode="0.00">
                  <c:v>44.031666666666666</c:v>
                </c:pt>
                <c:pt idx="28" formatCode="0.00">
                  <c:v>27.774999999999999</c:v>
                </c:pt>
                <c:pt idx="30" formatCode="0.00">
                  <c:v>21.790000000000003</c:v>
                </c:pt>
                <c:pt idx="31" formatCode="0.00">
                  <c:v>37.436666666666667</c:v>
                </c:pt>
                <c:pt idx="32" formatCode="0.00">
                  <c:v>16.708333333333332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438-4430-85BD-3023614338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Control - </a:t>
            </a:r>
            <a:r>
              <a:rPr lang="en-US" i="1"/>
              <a:t>Keratella quadrata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Keratella!$C$3</c:f>
              <c:strCache>
                <c:ptCount val="1"/>
                <c:pt idx="0">
                  <c:v>14-a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Keratella!$B$4:$B$38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Keratella!$C$4:$C$38</c:f>
              <c:numCache>
                <c:formatCode>0.00</c:formatCode>
                <c:ptCount val="35"/>
                <c:pt idx="0">
                  <c:v>607.35</c:v>
                </c:pt>
                <c:pt idx="1">
                  <c:v>534.79166666666663</c:v>
                </c:pt>
                <c:pt idx="3">
                  <c:v>408.072</c:v>
                </c:pt>
                <c:pt idx="5">
                  <c:v>326.32</c:v>
                </c:pt>
                <c:pt idx="6">
                  <c:v>205.77500000000001</c:v>
                </c:pt>
                <c:pt idx="10">
                  <c:v>511.4083333333333</c:v>
                </c:pt>
                <c:pt idx="15">
                  <c:v>478.38500000000005</c:v>
                </c:pt>
                <c:pt idx="20">
                  <c:v>192.68833333333336</c:v>
                </c:pt>
                <c:pt idx="23">
                  <c:v>126.07000000000001</c:v>
                </c:pt>
                <c:pt idx="27">
                  <c:v>223.83333333333334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FA25-4355-AC5E-E77DD1BD6C8D}"/>
            </c:ext>
          </c:extLst>
        </c:ser>
        <c:ser>
          <c:idx val="1"/>
          <c:order val="1"/>
          <c:tx>
            <c:strRef>
              <c:f>Keratella!$D$3</c:f>
              <c:strCache>
                <c:ptCount val="1"/>
                <c:pt idx="0">
                  <c:v>16-a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Keratella!$B$4:$B$38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Keratella!$D$4:$D$38</c:f>
              <c:numCache>
                <c:formatCode>General</c:formatCode>
                <c:ptCount val="35"/>
                <c:pt idx="11" formatCode="0.00">
                  <c:v>673.92333333333329</c:v>
                </c:pt>
                <c:pt idx="14" formatCode="0.00">
                  <c:v>993.41666666666663</c:v>
                </c:pt>
                <c:pt idx="16" formatCode="0.00">
                  <c:v>59.705000000000005</c:v>
                </c:pt>
                <c:pt idx="18" formatCode="0.00">
                  <c:v>59.705000000000005</c:v>
                </c:pt>
                <c:pt idx="25" formatCode="0.00">
                  <c:v>45.276566895364518</c:v>
                </c:pt>
                <c:pt idx="29" formatCode="0.00">
                  <c:v>13.528333333333334</c:v>
                </c:pt>
                <c:pt idx="33" formatCode="0.00">
                  <c:v>0.5099999999999999</c:v>
                </c:pt>
                <c:pt idx="34" formatCode="0.00">
                  <c:v>9.9650000000000016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A25-4355-AC5E-E77DD1BD6C8D}"/>
            </c:ext>
          </c:extLst>
        </c:ser>
        <c:ser>
          <c:idx val="2"/>
          <c:order val="2"/>
          <c:tx>
            <c:strRef>
              <c:f>Keratella!$E$3</c:f>
              <c:strCache>
                <c:ptCount val="1"/>
                <c:pt idx="0">
                  <c:v>18-c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Keratella!$B$4:$B$38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Keratella!$E$4:$E$38</c:f>
              <c:numCache>
                <c:formatCode>General</c:formatCode>
                <c:ptCount val="35"/>
                <c:pt idx="2" formatCode="0.00">
                  <c:v>1100.848</c:v>
                </c:pt>
                <c:pt idx="3" formatCode="0.00">
                  <c:v>687.33799999999997</c:v>
                </c:pt>
                <c:pt idx="4" formatCode="0.00">
                  <c:v>1901.8340000000001</c:v>
                </c:pt>
                <c:pt idx="5" formatCode="0.00">
                  <c:v>1206.626</c:v>
                </c:pt>
                <c:pt idx="8" formatCode="0.00">
                  <c:v>866.28399999999999</c:v>
                </c:pt>
                <c:pt idx="13" formatCode="0.00">
                  <c:v>343.78399999999999</c:v>
                </c:pt>
                <c:pt idx="17" formatCode="0.00">
                  <c:v>236.09399999999997</c:v>
                </c:pt>
                <c:pt idx="19" formatCode="0.00">
                  <c:v>360.68400000000003</c:v>
                </c:pt>
                <c:pt idx="21" formatCode="0.00">
                  <c:v>212.56400000000002</c:v>
                </c:pt>
                <c:pt idx="22" formatCode="0.00">
                  <c:v>246.78200000000001</c:v>
                </c:pt>
                <c:pt idx="26" formatCode="0.00">
                  <c:v>361.03399999999999</c:v>
                </c:pt>
                <c:pt idx="30" formatCode="0.00">
                  <c:v>544.1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A25-4355-AC5E-E77DD1BD6C8D}"/>
            </c:ext>
          </c:extLst>
        </c:ser>
        <c:ser>
          <c:idx val="3"/>
          <c:order val="3"/>
          <c:tx>
            <c:strRef>
              <c:f>Keratella!$F$3</c:f>
              <c:strCache>
                <c:ptCount val="1"/>
                <c:pt idx="0">
                  <c:v>19-b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Keratella!$B$4:$B$38</c:f>
              <c:numCache>
                <c:formatCode>General</c:formatCode>
                <c:ptCount val="35"/>
                <c:pt idx="0">
                  <c:v>133</c:v>
                </c:pt>
                <c:pt idx="1">
                  <c:v>141</c:v>
                </c:pt>
                <c:pt idx="2">
                  <c:v>142</c:v>
                </c:pt>
                <c:pt idx="3">
                  <c:v>148</c:v>
                </c:pt>
                <c:pt idx="4">
                  <c:v>152</c:v>
                </c:pt>
                <c:pt idx="5" formatCode="0">
                  <c:v>155</c:v>
                </c:pt>
                <c:pt idx="6" formatCode="0">
                  <c:v>162</c:v>
                </c:pt>
                <c:pt idx="7" formatCode="0">
                  <c:v>163</c:v>
                </c:pt>
                <c:pt idx="8" formatCode="0">
                  <c:v>164</c:v>
                </c:pt>
                <c:pt idx="9" formatCode="0">
                  <c:v>165</c:v>
                </c:pt>
                <c:pt idx="10" formatCode="0">
                  <c:v>170</c:v>
                </c:pt>
                <c:pt idx="11" formatCode="0">
                  <c:v>171</c:v>
                </c:pt>
                <c:pt idx="12" formatCode="0">
                  <c:v>173</c:v>
                </c:pt>
                <c:pt idx="13" formatCode="0">
                  <c:v>178</c:v>
                </c:pt>
                <c:pt idx="14" formatCode="0">
                  <c:v>179</c:v>
                </c:pt>
                <c:pt idx="15" formatCode="0">
                  <c:v>181</c:v>
                </c:pt>
                <c:pt idx="16" formatCode="0">
                  <c:v>185</c:v>
                </c:pt>
                <c:pt idx="17" formatCode="0">
                  <c:v>186</c:v>
                </c:pt>
                <c:pt idx="18" formatCode="0">
                  <c:v>192</c:v>
                </c:pt>
                <c:pt idx="19" formatCode="0">
                  <c:v>193</c:v>
                </c:pt>
                <c:pt idx="20" formatCode="0">
                  <c:v>195</c:v>
                </c:pt>
                <c:pt idx="21" formatCode="0">
                  <c:v>200</c:v>
                </c:pt>
                <c:pt idx="22" formatCode="0">
                  <c:v>207</c:v>
                </c:pt>
                <c:pt idx="23" formatCode="0">
                  <c:v>210</c:v>
                </c:pt>
                <c:pt idx="24" formatCode="0">
                  <c:v>214</c:v>
                </c:pt>
                <c:pt idx="25" formatCode="0">
                  <c:v>220</c:v>
                </c:pt>
                <c:pt idx="26" formatCode="0">
                  <c:v>221</c:v>
                </c:pt>
                <c:pt idx="27" formatCode="0">
                  <c:v>224</c:v>
                </c:pt>
                <c:pt idx="28" formatCode="0">
                  <c:v>228</c:v>
                </c:pt>
                <c:pt idx="29" formatCode="0">
                  <c:v>234</c:v>
                </c:pt>
                <c:pt idx="30" formatCode="0">
                  <c:v>235</c:v>
                </c:pt>
                <c:pt idx="31" formatCode="0">
                  <c:v>241</c:v>
                </c:pt>
                <c:pt idx="32" formatCode="0">
                  <c:v>249</c:v>
                </c:pt>
                <c:pt idx="33" formatCode="0">
                  <c:v>251</c:v>
                </c:pt>
                <c:pt idx="34" formatCode="0">
                  <c:v>262</c:v>
                </c:pt>
              </c:numCache>
            </c:numRef>
          </c:xVal>
          <c:yVal>
            <c:numRef>
              <c:f>Keratella!$F$4:$F$38</c:f>
              <c:numCache>
                <c:formatCode>General</c:formatCode>
                <c:ptCount val="35"/>
                <c:pt idx="5" formatCode="0.00">
                  <c:v>453.64999999999992</c:v>
                </c:pt>
                <c:pt idx="7" formatCode="0.00">
                  <c:v>556.62833333333333</c:v>
                </c:pt>
                <c:pt idx="9" formatCode="0.00">
                  <c:v>479.97</c:v>
                </c:pt>
                <c:pt idx="11" formatCode="0.00">
                  <c:v>274.83</c:v>
                </c:pt>
                <c:pt idx="12" formatCode="0.00">
                  <c:v>298.435</c:v>
                </c:pt>
                <c:pt idx="14" formatCode="0.00">
                  <c:v>209.41499999999996</c:v>
                </c:pt>
                <c:pt idx="17" formatCode="0.00">
                  <c:v>99.654999999999987</c:v>
                </c:pt>
                <c:pt idx="19" formatCode="0.00">
                  <c:v>93.241666666666674</c:v>
                </c:pt>
                <c:pt idx="21" formatCode="0.00">
                  <c:v>73.610000000000014</c:v>
                </c:pt>
                <c:pt idx="22" formatCode="0.00">
                  <c:v>97.86</c:v>
                </c:pt>
                <c:pt idx="24" formatCode="0.00">
                  <c:v>73.051666666666662</c:v>
                </c:pt>
                <c:pt idx="26" formatCode="0.00">
                  <c:v>134.60333333333332</c:v>
                </c:pt>
                <c:pt idx="28" formatCode="0.00">
                  <c:v>175.93666666666664</c:v>
                </c:pt>
                <c:pt idx="30" formatCode="0.00">
                  <c:v>181.48</c:v>
                </c:pt>
                <c:pt idx="31" formatCode="0.00">
                  <c:v>75.653333333333336</c:v>
                </c:pt>
                <c:pt idx="32" formatCode="0.00">
                  <c:v>97.283333333333346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FA25-4355-AC5E-E77DD1BD6C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9380192"/>
        <c:axId val="539379864"/>
      </c:scatterChart>
      <c:valAx>
        <c:axId val="539380192"/>
        <c:scaling>
          <c:orientation val="minMax"/>
          <c:max val="270"/>
          <c:min val="12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Day of year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79864"/>
        <c:crosses val="autoZero"/>
        <c:crossBetween val="midCat"/>
      </c:valAx>
      <c:valAx>
        <c:axId val="539379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Number/L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3801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277177</xdr:colOff>
      <xdr:row>20</xdr:row>
      <xdr:rowOff>152400</xdr:rowOff>
    </xdr:from>
    <xdr:to>
      <xdr:col>14</xdr:col>
      <xdr:colOff>581977</xdr:colOff>
      <xdr:row>35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9AF889-4A75-4371-A225-B302AB3A4E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277177</xdr:colOff>
      <xdr:row>20</xdr:row>
      <xdr:rowOff>152400</xdr:rowOff>
    </xdr:from>
    <xdr:to>
      <xdr:col>14</xdr:col>
      <xdr:colOff>581977</xdr:colOff>
      <xdr:row>35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853BA7-1DA4-43B1-AF76-284B9FFF6A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277177</xdr:colOff>
      <xdr:row>20</xdr:row>
      <xdr:rowOff>152400</xdr:rowOff>
    </xdr:from>
    <xdr:to>
      <xdr:col>14</xdr:col>
      <xdr:colOff>581977</xdr:colOff>
      <xdr:row>35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117239-6472-43A6-812E-C830DD9882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277177</xdr:colOff>
      <xdr:row>20</xdr:row>
      <xdr:rowOff>152400</xdr:rowOff>
    </xdr:from>
    <xdr:to>
      <xdr:col>14</xdr:col>
      <xdr:colOff>581977</xdr:colOff>
      <xdr:row>35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65C53A-D752-405C-8723-BF82AA856E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BAFB1-7F21-48B8-A260-72C34A8E387B}">
  <dimension ref="B2:F38"/>
  <sheetViews>
    <sheetView workbookViewId="0">
      <selection activeCell="I2" sqref="I2"/>
    </sheetView>
  </sheetViews>
  <sheetFormatPr defaultRowHeight="14.4" x14ac:dyDescent="0.3"/>
  <sheetData>
    <row r="2" spans="2:6" x14ac:dyDescent="0.3">
      <c r="C2" s="17" t="s">
        <v>5</v>
      </c>
      <c r="D2" s="17"/>
      <c r="E2" s="17"/>
      <c r="F2" s="17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133</v>
      </c>
      <c r="C4" s="13">
        <v>0</v>
      </c>
      <c r="D4" s="14"/>
      <c r="E4" s="14"/>
      <c r="F4" s="14"/>
    </row>
    <row r="5" spans="2:6" x14ac:dyDescent="0.3">
      <c r="B5" s="2">
        <v>141</v>
      </c>
      <c r="C5" s="13">
        <v>0.22666666666666668</v>
      </c>
      <c r="D5" s="14"/>
      <c r="E5" s="14"/>
      <c r="F5" s="14"/>
    </row>
    <row r="6" spans="2:6" x14ac:dyDescent="0.3">
      <c r="B6" s="2">
        <v>142</v>
      </c>
      <c r="C6" s="13"/>
      <c r="D6" s="14"/>
      <c r="E6" s="4">
        <v>6.4739999999999993</v>
      </c>
      <c r="F6" s="14"/>
    </row>
    <row r="7" spans="2:6" x14ac:dyDescent="0.3">
      <c r="B7" s="2">
        <v>148</v>
      </c>
      <c r="C7" s="13">
        <v>0.186</v>
      </c>
      <c r="D7" s="14"/>
      <c r="E7" s="5">
        <v>1.1900000000000002</v>
      </c>
      <c r="F7" s="14"/>
    </row>
    <row r="8" spans="2:6" x14ac:dyDescent="0.3">
      <c r="B8" s="2">
        <v>152</v>
      </c>
      <c r="C8" s="13"/>
      <c r="D8" s="14"/>
      <c r="E8" s="4">
        <v>15.984</v>
      </c>
      <c r="F8" s="14"/>
    </row>
    <row r="9" spans="2:6" x14ac:dyDescent="0.3">
      <c r="B9" s="6">
        <v>155</v>
      </c>
      <c r="C9" s="13">
        <v>4.6850000000000005</v>
      </c>
      <c r="D9" s="15"/>
      <c r="E9" s="4">
        <v>0.71399999999999997</v>
      </c>
      <c r="F9" s="4">
        <v>1.0433333333333332</v>
      </c>
    </row>
    <row r="10" spans="2:6" x14ac:dyDescent="0.3">
      <c r="B10" s="6">
        <v>162</v>
      </c>
      <c r="C10" s="13">
        <v>8.9083333333333332</v>
      </c>
      <c r="D10" s="15"/>
      <c r="E10" s="15"/>
      <c r="F10" s="4"/>
    </row>
    <row r="11" spans="2:6" x14ac:dyDescent="0.3">
      <c r="B11" s="6">
        <v>163</v>
      </c>
      <c r="C11" s="15"/>
      <c r="D11" s="15"/>
      <c r="E11" s="15"/>
      <c r="F11" s="4">
        <v>0.47500000000000003</v>
      </c>
    </row>
    <row r="12" spans="2:6" x14ac:dyDescent="0.3">
      <c r="B12" s="6">
        <v>164</v>
      </c>
      <c r="C12" s="15"/>
      <c r="D12" s="15"/>
      <c r="E12" s="5">
        <v>2.3620000000000005</v>
      </c>
      <c r="F12" s="4"/>
    </row>
    <row r="13" spans="2:6" x14ac:dyDescent="0.3">
      <c r="B13" s="6">
        <v>165</v>
      </c>
      <c r="C13" s="15"/>
      <c r="D13" s="15"/>
      <c r="E13" s="15"/>
      <c r="F13" s="4">
        <v>0.43333333333333335</v>
      </c>
    </row>
    <row r="14" spans="2:6" x14ac:dyDescent="0.3">
      <c r="B14" s="6">
        <v>170</v>
      </c>
      <c r="C14" s="13">
        <v>1.8216666666666665</v>
      </c>
      <c r="D14" s="15"/>
      <c r="E14" s="15"/>
      <c r="F14" s="4"/>
    </row>
    <row r="15" spans="2:6" x14ac:dyDescent="0.3">
      <c r="B15" s="6">
        <v>171</v>
      </c>
      <c r="C15" s="15"/>
      <c r="D15" s="8">
        <v>15.99</v>
      </c>
      <c r="E15" s="15"/>
      <c r="F15" s="4">
        <v>1.2933333333333334</v>
      </c>
    </row>
    <row r="16" spans="2:6" x14ac:dyDescent="0.3">
      <c r="B16" s="6">
        <v>173</v>
      </c>
      <c r="C16" s="15"/>
      <c r="D16" s="15"/>
      <c r="E16" s="15"/>
      <c r="F16" s="4">
        <v>0.59833333333333338</v>
      </c>
    </row>
    <row r="17" spans="2:6" x14ac:dyDescent="0.3">
      <c r="B17" s="6">
        <v>178</v>
      </c>
      <c r="C17" s="15"/>
      <c r="D17" s="15"/>
      <c r="E17" s="5">
        <v>15.937999999999999</v>
      </c>
      <c r="F17" s="4"/>
    </row>
    <row r="18" spans="2:6" x14ac:dyDescent="0.3">
      <c r="B18" s="6">
        <v>179</v>
      </c>
      <c r="C18" s="15"/>
      <c r="D18" s="8">
        <v>6.1166666666666671</v>
      </c>
      <c r="E18" s="15"/>
      <c r="F18" s="4">
        <v>0.6183333333333334</v>
      </c>
    </row>
    <row r="19" spans="2:6" x14ac:dyDescent="0.3">
      <c r="B19" s="6">
        <v>181</v>
      </c>
      <c r="C19" s="13">
        <v>8.7683333333333344</v>
      </c>
      <c r="D19" s="15"/>
      <c r="E19" s="15"/>
      <c r="F19" s="4"/>
    </row>
    <row r="20" spans="2:6" x14ac:dyDescent="0.3">
      <c r="B20" s="6">
        <v>185</v>
      </c>
      <c r="C20" s="13"/>
      <c r="D20" s="8">
        <v>1.4783333333333335</v>
      </c>
      <c r="E20" s="15"/>
      <c r="F20" s="4"/>
    </row>
    <row r="21" spans="2:6" x14ac:dyDescent="0.3">
      <c r="B21" s="6">
        <v>186</v>
      </c>
      <c r="C21" s="15"/>
      <c r="D21" s="15"/>
      <c r="E21" s="5">
        <v>5.0179999999999998</v>
      </c>
      <c r="F21" s="4">
        <v>0.31666666666666665</v>
      </c>
    </row>
    <row r="22" spans="2:6" x14ac:dyDescent="0.3">
      <c r="B22" s="6">
        <v>192</v>
      </c>
      <c r="C22" s="15"/>
      <c r="D22" s="8">
        <v>1.4783333333333335</v>
      </c>
      <c r="E22" s="15"/>
      <c r="F22" s="4"/>
    </row>
    <row r="23" spans="2:6" x14ac:dyDescent="0.3">
      <c r="B23" s="6">
        <v>193</v>
      </c>
      <c r="C23" s="15"/>
      <c r="D23" s="15"/>
      <c r="E23" s="5">
        <v>12.916</v>
      </c>
      <c r="F23" s="4">
        <v>1.0966666666666667</v>
      </c>
    </row>
    <row r="24" spans="2:6" x14ac:dyDescent="0.3">
      <c r="B24" s="6">
        <v>195</v>
      </c>
      <c r="C24" s="13">
        <v>11.556666666666667</v>
      </c>
      <c r="D24" s="15"/>
      <c r="E24" s="15"/>
      <c r="F24" s="4"/>
    </row>
    <row r="25" spans="2:6" x14ac:dyDescent="0.3">
      <c r="B25" s="6">
        <v>200</v>
      </c>
      <c r="C25" s="15"/>
      <c r="D25" s="15"/>
      <c r="E25" s="4">
        <v>3.9199999999999995</v>
      </c>
      <c r="F25" s="4">
        <v>0.97500000000000009</v>
      </c>
    </row>
    <row r="26" spans="2:6" x14ac:dyDescent="0.3">
      <c r="B26" s="6">
        <v>207</v>
      </c>
      <c r="C26" s="15"/>
      <c r="D26" s="8">
        <v>1.4726270723237591</v>
      </c>
      <c r="E26" s="5">
        <v>6.8759999999999994</v>
      </c>
      <c r="F26" s="4">
        <v>1.8233333333333335</v>
      </c>
    </row>
    <row r="27" spans="2:6" x14ac:dyDescent="0.3">
      <c r="B27" s="6">
        <v>210</v>
      </c>
      <c r="C27" s="13">
        <v>4.2299999999999995</v>
      </c>
      <c r="D27" s="15"/>
      <c r="E27" s="15"/>
      <c r="F27" s="4"/>
    </row>
    <row r="28" spans="2:6" x14ac:dyDescent="0.3">
      <c r="B28" s="6">
        <v>214</v>
      </c>
      <c r="C28" s="15"/>
      <c r="D28" s="15"/>
      <c r="E28" s="15"/>
      <c r="F28" s="4">
        <v>2.3000000000000003</v>
      </c>
    </row>
    <row r="29" spans="2:6" x14ac:dyDescent="0.3">
      <c r="B29" s="6">
        <v>220</v>
      </c>
      <c r="C29" s="15"/>
      <c r="D29" s="9">
        <v>1.1061175599077915</v>
      </c>
      <c r="E29" s="15"/>
      <c r="F29" s="4"/>
    </row>
    <row r="30" spans="2:6" x14ac:dyDescent="0.3">
      <c r="B30" s="6">
        <v>221</v>
      </c>
      <c r="C30" s="15"/>
      <c r="D30" s="15"/>
      <c r="E30" s="5">
        <v>5.0419999999999998</v>
      </c>
      <c r="F30" s="4">
        <v>1.6849999999999998</v>
      </c>
    </row>
    <row r="31" spans="2:6" x14ac:dyDescent="0.3">
      <c r="B31" s="6">
        <v>224</v>
      </c>
      <c r="C31" s="16">
        <v>10.265000000000001</v>
      </c>
      <c r="D31" s="15"/>
      <c r="E31" s="15"/>
      <c r="F31" s="4"/>
    </row>
    <row r="32" spans="2:6" x14ac:dyDescent="0.3">
      <c r="B32" s="6">
        <v>228</v>
      </c>
      <c r="C32" s="15"/>
      <c r="D32" s="15"/>
      <c r="E32" s="15"/>
      <c r="F32" s="4">
        <v>3.0066666666666664</v>
      </c>
    </row>
    <row r="33" spans="2:6" x14ac:dyDescent="0.3">
      <c r="B33" s="6">
        <v>234</v>
      </c>
      <c r="C33" s="15"/>
      <c r="D33" s="9">
        <v>1.25833333333333</v>
      </c>
      <c r="E33" s="15"/>
      <c r="F33" s="4"/>
    </row>
    <row r="34" spans="2:6" x14ac:dyDescent="0.3">
      <c r="B34" s="6">
        <v>235</v>
      </c>
      <c r="C34" s="15"/>
      <c r="D34" s="15"/>
      <c r="E34" s="16">
        <v>7.2119999999999989</v>
      </c>
      <c r="F34" s="4">
        <v>4.8966666666666674</v>
      </c>
    </row>
    <row r="35" spans="2:6" x14ac:dyDescent="0.3">
      <c r="B35" s="6">
        <v>241</v>
      </c>
      <c r="C35" s="15"/>
      <c r="D35" s="15"/>
      <c r="E35" s="15"/>
      <c r="F35" s="4">
        <v>4.546666666666666</v>
      </c>
    </row>
    <row r="36" spans="2:6" x14ac:dyDescent="0.3">
      <c r="B36" s="11">
        <v>249</v>
      </c>
      <c r="C36" s="15"/>
      <c r="D36" s="15"/>
      <c r="E36" s="15"/>
      <c r="F36" s="16">
        <v>5.9849999999999994</v>
      </c>
    </row>
    <row r="37" spans="2:6" x14ac:dyDescent="0.3">
      <c r="B37" s="12">
        <v>251</v>
      </c>
      <c r="C37" s="15"/>
      <c r="D37" s="9">
        <v>0.36833333333333335</v>
      </c>
      <c r="E37" s="15"/>
      <c r="F37" s="15"/>
    </row>
    <row r="38" spans="2:6" x14ac:dyDescent="0.3">
      <c r="B38" s="12">
        <v>262</v>
      </c>
      <c r="C38" s="15"/>
      <c r="D38" s="16">
        <v>1.8266666666666669</v>
      </c>
      <c r="E38" s="15"/>
      <c r="F38" s="15"/>
    </row>
  </sheetData>
  <mergeCells count="1">
    <mergeCell ref="C2:F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68E612-67B0-4BA5-9D58-94FB4F81FB19}">
  <dimension ref="B2:F38"/>
  <sheetViews>
    <sheetView tabSelected="1" workbookViewId="0">
      <selection activeCell="I4" sqref="I4"/>
    </sheetView>
  </sheetViews>
  <sheetFormatPr defaultRowHeight="14.4" x14ac:dyDescent="0.3"/>
  <sheetData>
    <row r="2" spans="2:6" x14ac:dyDescent="0.3">
      <c r="C2" s="17" t="s">
        <v>5</v>
      </c>
      <c r="D2" s="17"/>
      <c r="E2" s="17"/>
      <c r="F2" s="17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133</v>
      </c>
      <c r="C4" s="13"/>
      <c r="D4" s="14"/>
      <c r="E4" s="14"/>
      <c r="F4" s="14"/>
    </row>
    <row r="5" spans="2:6" x14ac:dyDescent="0.3">
      <c r="B5" s="2">
        <v>141</v>
      </c>
      <c r="C5" s="13"/>
      <c r="D5" s="14"/>
      <c r="E5" s="14"/>
      <c r="F5" s="14"/>
    </row>
    <row r="6" spans="2:6" x14ac:dyDescent="0.3">
      <c r="B6" s="2">
        <v>142</v>
      </c>
      <c r="C6" s="13"/>
      <c r="D6" s="14"/>
      <c r="E6" s="4"/>
      <c r="F6" s="14"/>
    </row>
    <row r="7" spans="2:6" x14ac:dyDescent="0.3">
      <c r="B7" s="2">
        <v>148</v>
      </c>
      <c r="C7" s="13"/>
      <c r="D7" s="14"/>
      <c r="E7" s="5"/>
      <c r="F7" s="14"/>
    </row>
    <row r="8" spans="2:6" x14ac:dyDescent="0.3">
      <c r="B8" s="2">
        <v>152</v>
      </c>
      <c r="C8" s="13"/>
      <c r="D8" s="14"/>
      <c r="E8" s="4"/>
      <c r="F8" s="14"/>
    </row>
    <row r="9" spans="2:6" x14ac:dyDescent="0.3">
      <c r="B9" s="6">
        <v>155</v>
      </c>
      <c r="C9" s="13"/>
      <c r="D9" s="15"/>
      <c r="E9" s="4"/>
      <c r="F9" s="4"/>
    </row>
    <row r="10" spans="2:6" x14ac:dyDescent="0.3">
      <c r="B10" s="6">
        <v>162</v>
      </c>
      <c r="C10" s="13"/>
      <c r="D10" s="15"/>
      <c r="E10" s="15"/>
      <c r="F10" s="4"/>
    </row>
    <row r="11" spans="2:6" x14ac:dyDescent="0.3">
      <c r="B11" s="6">
        <v>163</v>
      </c>
      <c r="C11" s="15"/>
      <c r="D11" s="15"/>
      <c r="E11" s="15"/>
      <c r="F11" s="4"/>
    </row>
    <row r="12" spans="2:6" x14ac:dyDescent="0.3">
      <c r="B12" s="6">
        <v>164</v>
      </c>
      <c r="C12" s="15"/>
      <c r="D12" s="15"/>
      <c r="E12" s="5"/>
      <c r="F12" s="4"/>
    </row>
    <row r="13" spans="2:6" x14ac:dyDescent="0.3">
      <c r="B13" s="6">
        <v>165</v>
      </c>
      <c r="C13" s="15"/>
      <c r="D13" s="15"/>
      <c r="E13" s="15"/>
      <c r="F13" s="4"/>
    </row>
    <row r="14" spans="2:6" x14ac:dyDescent="0.3">
      <c r="B14" s="6">
        <v>170</v>
      </c>
      <c r="C14" s="13"/>
      <c r="D14" s="15"/>
      <c r="E14" s="15"/>
      <c r="F14" s="4"/>
    </row>
    <row r="15" spans="2:6" x14ac:dyDescent="0.3">
      <c r="B15" s="6">
        <v>171</v>
      </c>
      <c r="C15" s="15"/>
      <c r="D15" s="8"/>
      <c r="E15" s="15"/>
      <c r="F15" s="4"/>
    </row>
    <row r="16" spans="2:6" x14ac:dyDescent="0.3">
      <c r="B16" s="6">
        <v>173</v>
      </c>
      <c r="C16" s="15"/>
      <c r="D16" s="15"/>
      <c r="E16" s="15"/>
      <c r="F16" s="4"/>
    </row>
    <row r="17" spans="2:6" x14ac:dyDescent="0.3">
      <c r="B17" s="6">
        <v>178</v>
      </c>
      <c r="C17" s="15"/>
      <c r="D17" s="15"/>
      <c r="E17" s="5"/>
      <c r="F17" s="4"/>
    </row>
    <row r="18" spans="2:6" x14ac:dyDescent="0.3">
      <c r="B18" s="6">
        <v>179</v>
      </c>
      <c r="C18" s="15"/>
      <c r="D18" s="8"/>
      <c r="E18" s="15"/>
      <c r="F18" s="4"/>
    </row>
    <row r="19" spans="2:6" x14ac:dyDescent="0.3">
      <c r="B19" s="6">
        <v>181</v>
      </c>
      <c r="C19" s="13"/>
      <c r="D19" s="15"/>
      <c r="E19" s="15"/>
      <c r="F19" s="4"/>
    </row>
    <row r="20" spans="2:6" x14ac:dyDescent="0.3">
      <c r="B20" s="6">
        <v>185</v>
      </c>
      <c r="C20" s="13"/>
      <c r="D20" s="8"/>
      <c r="E20" s="15"/>
      <c r="F20" s="4"/>
    </row>
    <row r="21" spans="2:6" x14ac:dyDescent="0.3">
      <c r="B21" s="6">
        <v>186</v>
      </c>
      <c r="C21" s="15"/>
      <c r="D21" s="15"/>
      <c r="E21" s="5"/>
      <c r="F21" s="4"/>
    </row>
    <row r="22" spans="2:6" x14ac:dyDescent="0.3">
      <c r="B22" s="6">
        <v>192</v>
      </c>
      <c r="C22" s="15"/>
      <c r="D22" s="8"/>
      <c r="E22" s="15"/>
      <c r="F22" s="4"/>
    </row>
    <row r="23" spans="2:6" x14ac:dyDescent="0.3">
      <c r="B23" s="6">
        <v>193</v>
      </c>
      <c r="C23" s="15"/>
      <c r="D23" s="15"/>
      <c r="E23" s="5"/>
      <c r="F23" s="4"/>
    </row>
    <row r="24" spans="2:6" x14ac:dyDescent="0.3">
      <c r="B24" s="6">
        <v>195</v>
      </c>
      <c r="C24" s="13"/>
      <c r="D24" s="15"/>
      <c r="E24" s="15"/>
      <c r="F24" s="4"/>
    </row>
    <row r="25" spans="2:6" x14ac:dyDescent="0.3">
      <c r="B25" s="6">
        <v>200</v>
      </c>
      <c r="C25" s="15"/>
      <c r="D25" s="15"/>
      <c r="E25" s="4"/>
      <c r="F25" s="4"/>
    </row>
    <row r="26" spans="2:6" x14ac:dyDescent="0.3">
      <c r="B26" s="6">
        <v>207</v>
      </c>
      <c r="C26" s="15"/>
      <c r="D26" s="8"/>
      <c r="E26" s="5"/>
      <c r="F26" s="4"/>
    </row>
    <row r="27" spans="2:6" x14ac:dyDescent="0.3">
      <c r="B27" s="6">
        <v>210</v>
      </c>
      <c r="C27" s="13"/>
      <c r="D27" s="15"/>
      <c r="E27" s="15"/>
      <c r="F27" s="4"/>
    </row>
    <row r="28" spans="2:6" x14ac:dyDescent="0.3">
      <c r="B28" s="6">
        <v>214</v>
      </c>
      <c r="C28" s="15"/>
      <c r="D28" s="15"/>
      <c r="E28" s="15"/>
      <c r="F28" s="4"/>
    </row>
    <row r="29" spans="2:6" x14ac:dyDescent="0.3">
      <c r="B29" s="6">
        <v>220</v>
      </c>
      <c r="C29" s="15"/>
      <c r="D29" s="9"/>
      <c r="E29" s="15"/>
      <c r="F29" s="4"/>
    </row>
    <row r="30" spans="2:6" x14ac:dyDescent="0.3">
      <c r="B30" s="6">
        <v>221</v>
      </c>
      <c r="C30" s="15"/>
      <c r="D30" s="15"/>
      <c r="E30" s="5"/>
      <c r="F30" s="4"/>
    </row>
    <row r="31" spans="2:6" x14ac:dyDescent="0.3">
      <c r="B31" s="6">
        <v>224</v>
      </c>
      <c r="C31" s="16"/>
      <c r="D31" s="15"/>
      <c r="E31" s="15"/>
      <c r="F31" s="4"/>
    </row>
    <row r="32" spans="2:6" x14ac:dyDescent="0.3">
      <c r="B32" s="6">
        <v>228</v>
      </c>
      <c r="C32" s="15"/>
      <c r="D32" s="15"/>
      <c r="E32" s="15"/>
      <c r="F32" s="4"/>
    </row>
    <row r="33" spans="2:6" x14ac:dyDescent="0.3">
      <c r="B33" s="6">
        <v>234</v>
      </c>
      <c r="C33" s="15"/>
      <c r="D33" s="9"/>
      <c r="E33" s="15"/>
      <c r="F33" s="4"/>
    </row>
    <row r="34" spans="2:6" x14ac:dyDescent="0.3">
      <c r="B34" s="6">
        <v>235</v>
      </c>
      <c r="C34" s="15"/>
      <c r="D34" s="15"/>
      <c r="E34" s="16"/>
      <c r="F34" s="4"/>
    </row>
    <row r="35" spans="2:6" x14ac:dyDescent="0.3">
      <c r="B35" s="6">
        <v>241</v>
      </c>
      <c r="C35" s="15"/>
      <c r="D35" s="15"/>
      <c r="E35" s="15"/>
      <c r="F35" s="4"/>
    </row>
    <row r="36" spans="2:6" x14ac:dyDescent="0.3">
      <c r="B36" s="11">
        <v>249</v>
      </c>
      <c r="C36" s="15"/>
      <c r="D36" s="15"/>
      <c r="E36" s="15"/>
      <c r="F36" s="16"/>
    </row>
    <row r="37" spans="2:6" x14ac:dyDescent="0.3">
      <c r="B37" s="12">
        <v>251</v>
      </c>
      <c r="C37" s="15"/>
      <c r="D37" s="9"/>
      <c r="E37" s="15"/>
      <c r="F37" s="15"/>
    </row>
    <row r="38" spans="2:6" x14ac:dyDescent="0.3">
      <c r="B38" s="12">
        <v>262</v>
      </c>
      <c r="C38" s="15"/>
      <c r="D38" s="16"/>
      <c r="E38" s="15"/>
      <c r="F38" s="15"/>
    </row>
  </sheetData>
  <mergeCells count="1">
    <mergeCell ref="C2:F2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4EE2B-7D54-4C21-AD13-C0736349790A}">
  <dimension ref="B2:F38"/>
  <sheetViews>
    <sheetView workbookViewId="0">
      <selection activeCell="C3" sqref="C3"/>
    </sheetView>
  </sheetViews>
  <sheetFormatPr defaultRowHeight="14.4" x14ac:dyDescent="0.3"/>
  <sheetData>
    <row r="2" spans="2:6" x14ac:dyDescent="0.3">
      <c r="C2" s="17" t="s">
        <v>5</v>
      </c>
      <c r="D2" s="17"/>
      <c r="E2" s="17"/>
      <c r="F2" s="17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133</v>
      </c>
      <c r="C4" s="13">
        <v>36.606666666666669</v>
      </c>
      <c r="D4" s="14"/>
      <c r="E4" s="14"/>
      <c r="F4" s="14"/>
    </row>
    <row r="5" spans="2:6" x14ac:dyDescent="0.3">
      <c r="B5" s="2">
        <v>141</v>
      </c>
      <c r="C5" s="13">
        <v>53.308333333333337</v>
      </c>
      <c r="D5" s="14"/>
      <c r="E5" s="14"/>
      <c r="F5" s="14"/>
    </row>
    <row r="6" spans="2:6" x14ac:dyDescent="0.3">
      <c r="B6" s="2">
        <v>142</v>
      </c>
      <c r="C6" s="13"/>
      <c r="D6" s="14"/>
      <c r="E6" s="4">
        <v>20.95</v>
      </c>
      <c r="F6" s="14"/>
    </row>
    <row r="7" spans="2:6" x14ac:dyDescent="0.3">
      <c r="B7" s="2">
        <v>148</v>
      </c>
      <c r="C7" s="13">
        <v>53.490000000000009</v>
      </c>
      <c r="D7" s="14"/>
      <c r="E7" s="5">
        <v>29.152000000000005</v>
      </c>
      <c r="F7" s="14"/>
    </row>
    <row r="8" spans="2:6" x14ac:dyDescent="0.3">
      <c r="B8" s="2">
        <v>152</v>
      </c>
      <c r="C8" s="13"/>
      <c r="D8" s="14"/>
      <c r="E8" s="4">
        <v>7.1419999999999986</v>
      </c>
      <c r="F8" s="14"/>
    </row>
    <row r="9" spans="2:6" x14ac:dyDescent="0.3">
      <c r="B9" s="6">
        <v>155</v>
      </c>
      <c r="C9" s="13">
        <v>94.821666666666673</v>
      </c>
      <c r="D9" s="15"/>
      <c r="E9" s="4">
        <v>10.423999999999999</v>
      </c>
      <c r="F9" s="4">
        <v>6.6366666666666667</v>
      </c>
    </row>
    <row r="10" spans="2:6" x14ac:dyDescent="0.3">
      <c r="B10" s="6">
        <v>162</v>
      </c>
      <c r="C10" s="13">
        <v>65.695000000000007</v>
      </c>
      <c r="D10" s="15"/>
      <c r="E10" s="15"/>
      <c r="F10" s="4"/>
    </row>
    <row r="11" spans="2:6" x14ac:dyDescent="0.3">
      <c r="B11" s="6">
        <v>163</v>
      </c>
      <c r="C11" s="15"/>
      <c r="D11" s="15"/>
      <c r="E11" s="15"/>
      <c r="F11" s="4">
        <v>6.5766666666666662</v>
      </c>
    </row>
    <row r="12" spans="2:6" x14ac:dyDescent="0.3">
      <c r="B12" s="6">
        <v>164</v>
      </c>
      <c r="C12" s="15"/>
      <c r="D12" s="15"/>
      <c r="E12" s="5">
        <v>16.271999999999998</v>
      </c>
      <c r="F12" s="4"/>
    </row>
    <row r="13" spans="2:6" x14ac:dyDescent="0.3">
      <c r="B13" s="6">
        <v>165</v>
      </c>
      <c r="C13" s="15"/>
      <c r="D13" s="15"/>
      <c r="E13" s="15"/>
      <c r="F13" s="4">
        <v>6.4083333333333332</v>
      </c>
    </row>
    <row r="14" spans="2:6" x14ac:dyDescent="0.3">
      <c r="B14" s="6">
        <v>170</v>
      </c>
      <c r="C14" s="13">
        <v>32.121666666666663</v>
      </c>
      <c r="D14" s="15"/>
      <c r="E14" s="15"/>
      <c r="F14" s="4"/>
    </row>
    <row r="15" spans="2:6" x14ac:dyDescent="0.3">
      <c r="B15" s="6">
        <v>171</v>
      </c>
      <c r="C15" s="15"/>
      <c r="D15" s="8">
        <v>18.046666666666667</v>
      </c>
      <c r="E15" s="15"/>
      <c r="F15" s="4">
        <v>8.1133333333333333</v>
      </c>
    </row>
    <row r="16" spans="2:6" x14ac:dyDescent="0.3">
      <c r="B16" s="6">
        <v>173</v>
      </c>
      <c r="C16" s="15"/>
      <c r="D16" s="15"/>
      <c r="E16" s="15"/>
      <c r="F16" s="4">
        <v>7.5483333333333329</v>
      </c>
    </row>
    <row r="17" spans="2:6" x14ac:dyDescent="0.3">
      <c r="B17" s="6">
        <v>178</v>
      </c>
      <c r="C17" s="15"/>
      <c r="D17" s="15"/>
      <c r="E17" s="5">
        <v>32.983999999999995</v>
      </c>
      <c r="F17" s="4"/>
    </row>
    <row r="18" spans="2:6" x14ac:dyDescent="0.3">
      <c r="B18" s="6">
        <v>179</v>
      </c>
      <c r="C18" s="15"/>
      <c r="D18" s="8">
        <v>10.106666666666667</v>
      </c>
      <c r="E18" s="15"/>
      <c r="F18" s="4">
        <v>7.0583333333333336</v>
      </c>
    </row>
    <row r="19" spans="2:6" x14ac:dyDescent="0.3">
      <c r="B19" s="6">
        <v>181</v>
      </c>
      <c r="C19" s="13">
        <v>20.36</v>
      </c>
      <c r="D19" s="15"/>
      <c r="E19" s="15"/>
      <c r="F19" s="4"/>
    </row>
    <row r="20" spans="2:6" x14ac:dyDescent="0.3">
      <c r="B20" s="6">
        <v>185</v>
      </c>
      <c r="C20" s="13"/>
      <c r="D20" s="8">
        <v>12.558333333333334</v>
      </c>
      <c r="E20" s="15"/>
      <c r="F20" s="4"/>
    </row>
    <row r="21" spans="2:6" x14ac:dyDescent="0.3">
      <c r="B21" s="6">
        <v>186</v>
      </c>
      <c r="C21" s="15"/>
      <c r="D21" s="15"/>
      <c r="E21" s="5">
        <v>77.298000000000002</v>
      </c>
      <c r="F21" s="4">
        <v>11.641666666666666</v>
      </c>
    </row>
    <row r="22" spans="2:6" x14ac:dyDescent="0.3">
      <c r="B22" s="6">
        <v>192</v>
      </c>
      <c r="C22" s="15"/>
      <c r="D22" s="8">
        <v>12.558333333333334</v>
      </c>
      <c r="E22" s="15"/>
      <c r="F22" s="4"/>
    </row>
    <row r="23" spans="2:6" x14ac:dyDescent="0.3">
      <c r="B23" s="6">
        <v>193</v>
      </c>
      <c r="C23" s="15"/>
      <c r="D23" s="15"/>
      <c r="E23" s="5">
        <v>23.47</v>
      </c>
      <c r="F23" s="4">
        <v>20.555</v>
      </c>
    </row>
    <row r="24" spans="2:6" x14ac:dyDescent="0.3">
      <c r="B24" s="6">
        <v>195</v>
      </c>
      <c r="C24" s="13">
        <v>17.455000000000002</v>
      </c>
      <c r="D24" s="15"/>
      <c r="E24" s="15"/>
      <c r="F24" s="4"/>
    </row>
    <row r="25" spans="2:6" x14ac:dyDescent="0.3">
      <c r="B25" s="6">
        <v>200</v>
      </c>
      <c r="C25" s="15"/>
      <c r="D25" s="15"/>
      <c r="E25" s="4">
        <v>64.918000000000006</v>
      </c>
      <c r="F25" s="4">
        <v>36.414999999999999</v>
      </c>
    </row>
    <row r="26" spans="2:6" x14ac:dyDescent="0.3">
      <c r="B26" s="6">
        <v>207</v>
      </c>
      <c r="C26" s="15"/>
      <c r="D26" s="8">
        <v>9.7858353781084677</v>
      </c>
      <c r="E26" s="5">
        <v>32.902000000000001</v>
      </c>
      <c r="F26" s="4">
        <v>63.784999999999989</v>
      </c>
    </row>
    <row r="27" spans="2:6" x14ac:dyDescent="0.3">
      <c r="B27" s="6">
        <v>210</v>
      </c>
      <c r="C27" s="13">
        <v>11.858333333333334</v>
      </c>
      <c r="D27" s="15"/>
      <c r="E27" s="15"/>
      <c r="F27" s="4"/>
    </row>
    <row r="28" spans="2:6" x14ac:dyDescent="0.3">
      <c r="B28" s="6">
        <v>214</v>
      </c>
      <c r="C28" s="15"/>
      <c r="D28" s="15"/>
      <c r="E28" s="15"/>
      <c r="F28" s="4">
        <v>44.033333333333331</v>
      </c>
    </row>
    <row r="29" spans="2:6" x14ac:dyDescent="0.3">
      <c r="B29" s="6">
        <v>220</v>
      </c>
      <c r="C29" s="15"/>
      <c r="D29" s="8">
        <v>8.1397277539697317</v>
      </c>
      <c r="E29" s="15"/>
      <c r="F29" s="4"/>
    </row>
    <row r="30" spans="2:6" x14ac:dyDescent="0.3">
      <c r="B30" s="6">
        <v>221</v>
      </c>
      <c r="C30" s="15"/>
      <c r="D30" s="15"/>
      <c r="E30" s="5">
        <v>21.887999999999998</v>
      </c>
      <c r="F30" s="4">
        <v>44.031666666666666</v>
      </c>
    </row>
    <row r="31" spans="2:6" x14ac:dyDescent="0.3">
      <c r="B31" s="6">
        <v>224</v>
      </c>
      <c r="C31" s="16">
        <v>4.5366666666666662</v>
      </c>
      <c r="D31" s="15"/>
      <c r="E31" s="15"/>
      <c r="F31" s="4"/>
    </row>
    <row r="32" spans="2:6" x14ac:dyDescent="0.3">
      <c r="B32" s="6">
        <v>228</v>
      </c>
      <c r="C32" s="15"/>
      <c r="D32" s="15"/>
      <c r="E32" s="15"/>
      <c r="F32" s="4">
        <v>27.774999999999999</v>
      </c>
    </row>
    <row r="33" spans="2:6" x14ac:dyDescent="0.3">
      <c r="B33" s="6">
        <v>234</v>
      </c>
      <c r="C33" s="15"/>
      <c r="D33" s="9">
        <v>27.47</v>
      </c>
      <c r="E33" s="15"/>
      <c r="F33" s="4"/>
    </row>
    <row r="34" spans="2:6" x14ac:dyDescent="0.3">
      <c r="B34" s="6">
        <v>235</v>
      </c>
      <c r="C34" s="15"/>
      <c r="D34" s="15"/>
      <c r="E34" s="16">
        <v>17.344000000000001</v>
      </c>
      <c r="F34" s="4">
        <v>21.790000000000003</v>
      </c>
    </row>
    <row r="35" spans="2:6" x14ac:dyDescent="0.3">
      <c r="B35" s="6">
        <v>241</v>
      </c>
      <c r="C35" s="15"/>
      <c r="D35" s="15"/>
      <c r="E35" s="15"/>
      <c r="F35" s="4">
        <v>37.436666666666667</v>
      </c>
    </row>
    <row r="36" spans="2:6" x14ac:dyDescent="0.3">
      <c r="B36" s="11">
        <v>249</v>
      </c>
      <c r="C36" s="15"/>
      <c r="D36" s="15"/>
      <c r="E36" s="15"/>
      <c r="F36" s="16">
        <v>16.708333333333332</v>
      </c>
    </row>
    <row r="37" spans="2:6" x14ac:dyDescent="0.3">
      <c r="B37" s="12">
        <v>251</v>
      </c>
      <c r="C37" s="15"/>
      <c r="D37" s="9">
        <v>23.251666666666669</v>
      </c>
      <c r="E37" s="15"/>
      <c r="F37" s="15"/>
    </row>
    <row r="38" spans="2:6" x14ac:dyDescent="0.3">
      <c r="B38" s="12">
        <v>262</v>
      </c>
      <c r="C38" s="15"/>
      <c r="D38" s="16">
        <v>61.608333333333334</v>
      </c>
      <c r="E38" s="15"/>
      <c r="F38" s="15"/>
    </row>
  </sheetData>
  <mergeCells count="1">
    <mergeCell ref="C2:F2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07CAD-897D-4CCE-AF85-53ABA83CE30C}">
  <dimension ref="B2:F38"/>
  <sheetViews>
    <sheetView workbookViewId="0">
      <selection activeCell="I3" sqref="I3"/>
    </sheetView>
  </sheetViews>
  <sheetFormatPr defaultRowHeight="14.4" x14ac:dyDescent="0.3"/>
  <sheetData>
    <row r="2" spans="2:6" x14ac:dyDescent="0.3">
      <c r="C2" s="17" t="s">
        <v>5</v>
      </c>
      <c r="D2" s="17"/>
      <c r="E2" s="17"/>
      <c r="F2" s="17"/>
    </row>
    <row r="3" spans="2:6" x14ac:dyDescent="0.3">
      <c r="B3" s="1" t="s">
        <v>0</v>
      </c>
      <c r="C3" s="1" t="s">
        <v>1</v>
      </c>
      <c r="D3" s="1" t="s">
        <v>2</v>
      </c>
      <c r="E3" s="1" t="s">
        <v>3</v>
      </c>
      <c r="F3" s="1" t="s">
        <v>4</v>
      </c>
    </row>
    <row r="4" spans="2:6" x14ac:dyDescent="0.3">
      <c r="B4" s="2">
        <v>133</v>
      </c>
      <c r="C4" s="3">
        <v>607.35</v>
      </c>
      <c r="D4" s="2"/>
      <c r="E4" s="2"/>
      <c r="F4" s="2"/>
    </row>
    <row r="5" spans="2:6" x14ac:dyDescent="0.3">
      <c r="B5" s="2">
        <v>141</v>
      </c>
      <c r="C5" s="3">
        <v>534.79166666666663</v>
      </c>
      <c r="D5" s="2"/>
      <c r="E5" s="2"/>
      <c r="F5" s="2"/>
    </row>
    <row r="6" spans="2:6" x14ac:dyDescent="0.3">
      <c r="B6" s="2">
        <v>142</v>
      </c>
      <c r="C6" s="3"/>
      <c r="D6" s="2"/>
      <c r="E6" s="4">
        <v>1100.848</v>
      </c>
      <c r="F6" s="2"/>
    </row>
    <row r="7" spans="2:6" x14ac:dyDescent="0.3">
      <c r="B7" s="2">
        <v>148</v>
      </c>
      <c r="C7" s="3">
        <v>408.072</v>
      </c>
      <c r="D7" s="2"/>
      <c r="E7" s="5">
        <v>687.33799999999997</v>
      </c>
      <c r="F7" s="2"/>
    </row>
    <row r="8" spans="2:6" x14ac:dyDescent="0.3">
      <c r="B8" s="2">
        <v>152</v>
      </c>
      <c r="C8" s="3"/>
      <c r="D8" s="2"/>
      <c r="E8" s="4">
        <v>1901.8340000000001</v>
      </c>
      <c r="F8" s="2"/>
    </row>
    <row r="9" spans="2:6" x14ac:dyDescent="0.3">
      <c r="B9" s="6">
        <v>155</v>
      </c>
      <c r="C9" s="3">
        <v>326.32</v>
      </c>
      <c r="D9" s="7"/>
      <c r="E9" s="4">
        <v>1206.626</v>
      </c>
      <c r="F9" s="4">
        <v>453.64999999999992</v>
      </c>
    </row>
    <row r="10" spans="2:6" x14ac:dyDescent="0.3">
      <c r="B10" s="6">
        <v>162</v>
      </c>
      <c r="C10" s="3">
        <v>205.77500000000001</v>
      </c>
      <c r="D10" s="7"/>
      <c r="E10" s="7"/>
      <c r="F10" s="4"/>
    </row>
    <row r="11" spans="2:6" x14ac:dyDescent="0.3">
      <c r="B11" s="6">
        <v>163</v>
      </c>
      <c r="C11" s="7"/>
      <c r="D11" s="7"/>
      <c r="E11" s="7"/>
      <c r="F11" s="4">
        <v>556.62833333333333</v>
      </c>
    </row>
    <row r="12" spans="2:6" x14ac:dyDescent="0.3">
      <c r="B12" s="6">
        <v>164</v>
      </c>
      <c r="C12" s="7"/>
      <c r="D12" s="7"/>
      <c r="E12" s="5">
        <v>866.28399999999999</v>
      </c>
      <c r="F12" s="4"/>
    </row>
    <row r="13" spans="2:6" x14ac:dyDescent="0.3">
      <c r="B13" s="6">
        <v>165</v>
      </c>
      <c r="C13" s="7"/>
      <c r="D13" s="7"/>
      <c r="E13" s="7"/>
      <c r="F13" s="4">
        <v>479.97</v>
      </c>
    </row>
    <row r="14" spans="2:6" x14ac:dyDescent="0.3">
      <c r="B14" s="6">
        <v>170</v>
      </c>
      <c r="C14" s="3">
        <v>511.4083333333333</v>
      </c>
      <c r="D14" s="7"/>
      <c r="E14" s="7"/>
      <c r="F14" s="4"/>
    </row>
    <row r="15" spans="2:6" x14ac:dyDescent="0.3">
      <c r="B15" s="6">
        <v>171</v>
      </c>
      <c r="C15" s="7"/>
      <c r="D15" s="8">
        <v>673.92333333333329</v>
      </c>
      <c r="E15" s="7"/>
      <c r="F15" s="4">
        <v>274.83</v>
      </c>
    </row>
    <row r="16" spans="2:6" x14ac:dyDescent="0.3">
      <c r="B16" s="6">
        <v>173</v>
      </c>
      <c r="C16" s="7"/>
      <c r="D16" s="7"/>
      <c r="E16" s="7"/>
      <c r="F16" s="4">
        <v>298.435</v>
      </c>
    </row>
    <row r="17" spans="2:6" x14ac:dyDescent="0.3">
      <c r="B17" s="6">
        <v>178</v>
      </c>
      <c r="C17" s="7"/>
      <c r="D17" s="7"/>
      <c r="E17" s="5">
        <v>343.78399999999999</v>
      </c>
      <c r="F17" s="4"/>
    </row>
    <row r="18" spans="2:6" x14ac:dyDescent="0.3">
      <c r="B18" s="6">
        <v>179</v>
      </c>
      <c r="C18" s="7"/>
      <c r="D18" s="8">
        <v>993.41666666666663</v>
      </c>
      <c r="E18" s="7"/>
      <c r="F18" s="4">
        <v>209.41499999999996</v>
      </c>
    </row>
    <row r="19" spans="2:6" x14ac:dyDescent="0.3">
      <c r="B19" s="6">
        <v>181</v>
      </c>
      <c r="C19" s="3">
        <v>478.38500000000005</v>
      </c>
      <c r="D19" s="7"/>
      <c r="E19" s="7"/>
      <c r="F19" s="4"/>
    </row>
    <row r="20" spans="2:6" x14ac:dyDescent="0.3">
      <c r="B20" s="6">
        <v>185</v>
      </c>
      <c r="C20" s="3"/>
      <c r="D20" s="8">
        <v>59.705000000000005</v>
      </c>
      <c r="E20" s="7"/>
      <c r="F20" s="4"/>
    </row>
    <row r="21" spans="2:6" x14ac:dyDescent="0.3">
      <c r="B21" s="6">
        <v>186</v>
      </c>
      <c r="C21" s="7"/>
      <c r="D21" s="7"/>
      <c r="E21" s="5">
        <v>236.09399999999997</v>
      </c>
      <c r="F21" s="4">
        <v>99.654999999999987</v>
      </c>
    </row>
    <row r="22" spans="2:6" x14ac:dyDescent="0.3">
      <c r="B22" s="6">
        <v>192</v>
      </c>
      <c r="C22" s="7"/>
      <c r="D22" s="8">
        <v>59.705000000000005</v>
      </c>
      <c r="E22" s="7"/>
      <c r="F22" s="4"/>
    </row>
    <row r="23" spans="2:6" x14ac:dyDescent="0.3">
      <c r="B23" s="6">
        <v>193</v>
      </c>
      <c r="C23" s="7"/>
      <c r="D23" s="7"/>
      <c r="E23" s="5">
        <v>360.68400000000003</v>
      </c>
      <c r="F23" s="4">
        <v>93.241666666666674</v>
      </c>
    </row>
    <row r="24" spans="2:6" x14ac:dyDescent="0.3">
      <c r="B24" s="6">
        <v>195</v>
      </c>
      <c r="C24" s="3">
        <v>192.68833333333336</v>
      </c>
      <c r="D24" s="7"/>
      <c r="E24" s="7"/>
      <c r="F24" s="4"/>
    </row>
    <row r="25" spans="2:6" x14ac:dyDescent="0.3">
      <c r="B25" s="6">
        <v>200</v>
      </c>
      <c r="C25" s="7"/>
      <c r="D25" s="7"/>
      <c r="E25" s="4">
        <v>212.56400000000002</v>
      </c>
      <c r="F25" s="4">
        <v>73.610000000000014</v>
      </c>
    </row>
    <row r="26" spans="2:6" x14ac:dyDescent="0.3">
      <c r="B26" s="6">
        <v>207</v>
      </c>
      <c r="C26" s="7"/>
      <c r="D26" s="7"/>
      <c r="E26" s="5">
        <v>246.78200000000001</v>
      </c>
      <c r="F26" s="4">
        <v>97.86</v>
      </c>
    </row>
    <row r="27" spans="2:6" x14ac:dyDescent="0.3">
      <c r="B27" s="6">
        <v>210</v>
      </c>
      <c r="C27" s="3">
        <v>126.07000000000001</v>
      </c>
      <c r="D27" s="7"/>
      <c r="E27" s="7"/>
      <c r="F27" s="4"/>
    </row>
    <row r="28" spans="2:6" x14ac:dyDescent="0.3">
      <c r="B28" s="6">
        <v>214</v>
      </c>
      <c r="C28" s="7"/>
      <c r="D28" s="7"/>
      <c r="E28" s="7"/>
      <c r="F28" s="4">
        <v>73.051666666666662</v>
      </c>
    </row>
    <row r="29" spans="2:6" x14ac:dyDescent="0.3">
      <c r="B29" s="6">
        <v>220</v>
      </c>
      <c r="C29" s="7"/>
      <c r="D29" s="9">
        <v>45.276566895364518</v>
      </c>
      <c r="E29" s="7"/>
      <c r="F29" s="4"/>
    </row>
    <row r="30" spans="2:6" x14ac:dyDescent="0.3">
      <c r="B30" s="6">
        <v>221</v>
      </c>
      <c r="C30" s="7"/>
      <c r="D30" s="7"/>
      <c r="E30" s="5">
        <v>361.03399999999999</v>
      </c>
      <c r="F30" s="4">
        <v>134.60333333333332</v>
      </c>
    </row>
    <row r="31" spans="2:6" x14ac:dyDescent="0.3">
      <c r="B31" s="6">
        <v>224</v>
      </c>
      <c r="C31" s="10">
        <v>223.83333333333334</v>
      </c>
      <c r="D31" s="7"/>
      <c r="E31" s="7"/>
      <c r="F31" s="4"/>
    </row>
    <row r="32" spans="2:6" x14ac:dyDescent="0.3">
      <c r="B32" s="6">
        <v>228</v>
      </c>
      <c r="C32" s="7"/>
      <c r="D32" s="7"/>
      <c r="E32" s="7"/>
      <c r="F32" s="4">
        <v>175.93666666666664</v>
      </c>
    </row>
    <row r="33" spans="2:6" x14ac:dyDescent="0.3">
      <c r="B33" s="6">
        <v>234</v>
      </c>
      <c r="C33" s="7"/>
      <c r="D33" s="9">
        <v>13.528333333333334</v>
      </c>
      <c r="E33" s="7"/>
      <c r="F33" s="4"/>
    </row>
    <row r="34" spans="2:6" x14ac:dyDescent="0.3">
      <c r="B34" s="6">
        <v>235</v>
      </c>
      <c r="C34" s="7"/>
      <c r="D34" s="7"/>
      <c r="E34" s="10">
        <v>544.1</v>
      </c>
      <c r="F34" s="4">
        <v>181.48</v>
      </c>
    </row>
    <row r="35" spans="2:6" x14ac:dyDescent="0.3">
      <c r="B35" s="6">
        <v>241</v>
      </c>
      <c r="C35" s="7"/>
      <c r="D35" s="7"/>
      <c r="E35" s="7"/>
      <c r="F35" s="4">
        <v>75.653333333333336</v>
      </c>
    </row>
    <row r="36" spans="2:6" x14ac:dyDescent="0.3">
      <c r="B36" s="11">
        <v>249</v>
      </c>
      <c r="C36" s="7"/>
      <c r="D36" s="7"/>
      <c r="E36" s="7"/>
      <c r="F36" s="10">
        <v>97.283333333333346</v>
      </c>
    </row>
    <row r="37" spans="2:6" x14ac:dyDescent="0.3">
      <c r="B37" s="12">
        <v>251</v>
      </c>
      <c r="C37" s="7"/>
      <c r="D37" s="9">
        <v>0.5099999999999999</v>
      </c>
      <c r="E37" s="7"/>
      <c r="F37" s="7"/>
    </row>
    <row r="38" spans="2:6" x14ac:dyDescent="0.3">
      <c r="B38" s="12">
        <v>262</v>
      </c>
      <c r="C38" s="7"/>
      <c r="D38" s="10">
        <v>9.9650000000000016</v>
      </c>
      <c r="E38" s="7"/>
      <c r="F38" s="7"/>
    </row>
  </sheetData>
  <mergeCells count="1">
    <mergeCell ref="C2:F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Daphnia longispina</vt:lpstr>
      <vt:lpstr>Daphnia spp</vt:lpstr>
      <vt:lpstr>Cyclopoids</vt:lpstr>
      <vt:lpstr>Keratella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 Bartell</dc:creator>
  <cp:lastModifiedBy>Steve Bartell</cp:lastModifiedBy>
  <dcterms:created xsi:type="dcterms:W3CDTF">2021-11-19T15:01:04Z</dcterms:created>
  <dcterms:modified xsi:type="dcterms:W3CDTF">2021-11-19T20:27:25Z</dcterms:modified>
</cp:coreProperties>
</file>