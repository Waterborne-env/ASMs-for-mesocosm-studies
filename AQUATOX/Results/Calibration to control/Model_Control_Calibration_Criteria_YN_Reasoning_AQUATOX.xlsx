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2"/>
  <workbookPr/>
  <mc:AlternateContent xmlns:mc="http://schemas.openxmlformats.org/markup-compatibility/2006">
    <mc:Choice Requires="x15">
      <x15ac:absPath xmlns:x15ac="http://schemas.microsoft.com/office/spreadsheetml/2010/11/ac" url="\\Client\C$\Users\cschultz43\Desktop\C3143 Ecosystem modeling of Mesocosms\Aquatox and Data\Calibration\Final Grading\"/>
    </mc:Choice>
  </mc:AlternateContent>
  <xr:revisionPtr revIDLastSave="0" documentId="8_{BB3B4C25-BEE0-4954-88FB-419D299524FA}" xr6:coauthVersionLast="47" xr6:coauthVersionMax="47" xr10:uidLastSave="{00000000-0000-0000-0000-000000000000}"/>
  <bookViews>
    <workbookView xWindow="-48120" yWindow="-120" windowWidth="29040" windowHeight="15840" firstSheet="4" activeTab="4" xr2:uid="{00000000-000D-0000-FFFF-FFFF00000000}"/>
  </bookViews>
  <sheets>
    <sheet name="All Criteria % Met" sheetId="5" r:id="rId1"/>
    <sheet name="Macroinvertebrates" sheetId="1" r:id="rId2"/>
    <sheet name="Zooplankton" sheetId="2" r:id="rId3"/>
    <sheet name="Periphyton-Chl-a" sheetId="3" r:id="rId4"/>
    <sheet name="Phytoplankton-Chl-a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<sst xmlns="http://schemas.openxmlformats.org/spreadsheetml/2006/main" count="185" uniqueCount="78">
  <si>
    <t>Percent Criteria Met (all studies/groups)</t>
  </si>
  <si>
    <t>Percent Criteria Met (EXCLUDE PEAKS)</t>
  </si>
  <si>
    <t>*Individual Damselfly and Dragonfly records not included towards calibration scoring; for informational purposes only.</t>
  </si>
  <si>
    <t>Calibration Criteria</t>
  </si>
  <si>
    <t>Are the Criteria Fulfilled? (Y/N)</t>
  </si>
  <si>
    <t>Species Group</t>
  </si>
  <si>
    <t>AQUATOX record</t>
  </si>
  <si>
    <t>Earliest peak date</t>
  </si>
  <si>
    <t>Latest peak date</t>
  </si>
  <si>
    <t>Minimum Peak Biomass</t>
  </si>
  <si>
    <t>Maximum Peak Biomass</t>
  </si>
  <si>
    <t>Minimum Biomass</t>
  </si>
  <si>
    <t>Maximum Biomass</t>
  </si>
  <si>
    <t>Peak Date and Biomass</t>
  </si>
  <si>
    <t>Minimum Biomass Fulfilled</t>
  </si>
  <si>
    <t>Maximum Biomass Fulfilled</t>
  </si>
  <si>
    <t>Peak Date Biomass Reasoning for Failure</t>
  </si>
  <si>
    <t>Biomass Max/Min Reasoning for Failure</t>
  </si>
  <si>
    <t>Asellus</t>
  </si>
  <si>
    <t>Asellus_Meso (g/m2 dry)</t>
  </si>
  <si>
    <t>Y</t>
  </si>
  <si>
    <t>Chaoborus</t>
  </si>
  <si>
    <t>Chaoborus_Meso (mg/L dry)</t>
  </si>
  <si>
    <t>N</t>
  </si>
  <si>
    <t>Peak timing OK; peak biomass within uncertainty for biomass conversions and sampler-&gt; enclosure extrapolation. Time varying size information is not provided.</t>
  </si>
  <si>
    <t>Chironomidae</t>
  </si>
  <si>
    <t>ChironomidOther_Meso (g/m2 dry)</t>
  </si>
  <si>
    <t>Cloeon</t>
  </si>
  <si>
    <t>Cloeon_Meso (g/m2 dry)</t>
  </si>
  <si>
    <t>Gammarus</t>
  </si>
  <si>
    <t>Gammarus_Meso (g/m2 dry)</t>
  </si>
  <si>
    <t>Gastropoda</t>
  </si>
  <si>
    <t>Gastropoda_Meso (g/m2 dry)</t>
  </si>
  <si>
    <t>Max biomass exceeds threshold in 2016 only; predictions otherwise within range of observed data.</t>
  </si>
  <si>
    <t>Hirudinea</t>
  </si>
  <si>
    <t>Hirudinea_Meso (g/m2 dry)</t>
  </si>
  <si>
    <t>Nepomorpha</t>
  </si>
  <si>
    <t>Notonecta_Meso (g/m2 dry)</t>
  </si>
  <si>
    <t>Odonata</t>
  </si>
  <si>
    <t>Damselfly_Meso (g/m2 dry)</t>
  </si>
  <si>
    <t>Dragonfly_Meso (g/m2 dry)</t>
  </si>
  <si>
    <t>Total Odonata</t>
  </si>
  <si>
    <t>Oligochaeta</t>
  </si>
  <si>
    <t>Oligochaeta_Meso (g/m2 dry)</t>
  </si>
  <si>
    <t>Tanypodinae</t>
  </si>
  <si>
    <t>Tanypodinae_Meso (g/m2 dry)</t>
  </si>
  <si>
    <t>Cladocera_phytophilous</t>
  </si>
  <si>
    <t>CladoceranPhyt_Meso (g/m2 dry)</t>
  </si>
  <si>
    <t>Cladocera_small</t>
  </si>
  <si>
    <t>CladoceranSmall_Meso (mg/L dry)</t>
  </si>
  <si>
    <t>Copepoda_herbivorous</t>
  </si>
  <si>
    <t>Calanoida_Meso (mg/L dry)</t>
  </si>
  <si>
    <t>Copepoda_predatory</t>
  </si>
  <si>
    <t>Cyclopidae_Meso (mg/L dry)</t>
  </si>
  <si>
    <t>Daphnidae</t>
  </si>
  <si>
    <t>Daphnidae_Meso (mg/L dry)</t>
  </si>
  <si>
    <t>Rotifera_herbivorous1</t>
  </si>
  <si>
    <t>RotiferBranch_Meso (mg/L dry)</t>
  </si>
  <si>
    <t>Max biomass exceeds threshold in 2019 only; validation dataset likely to include examples with increased biomass as current control datasets do not justify max threshold as defined.</t>
  </si>
  <si>
    <t>Rotifera_herbivorous2</t>
  </si>
  <si>
    <t>Keratella_Meso (mg/L dry)</t>
  </si>
  <si>
    <t>Simocephalus</t>
  </si>
  <si>
    <t>Simocephalus_Meso (mg/L dry)</t>
  </si>
  <si>
    <t>Blue Greens</t>
  </si>
  <si>
    <t>Peri Blue-Green_Meso (g/m2 dry)</t>
  </si>
  <si>
    <t>Minimum biomass drops below threshold in spring/early summer, but within range of plausible C:Chl conversions. Uncertainty in seasonility of C:Chl ratio</t>
  </si>
  <si>
    <t>Diatoms</t>
  </si>
  <si>
    <t>Peri Diatom_Meso (g/m2 dry)</t>
  </si>
  <si>
    <t>Maximum biomass exceeds threshold in 2019 only; predictions otherwise within range of observed data.</t>
  </si>
  <si>
    <t>Greens</t>
  </si>
  <si>
    <t>Peri Greens_Meso (g/m2 dry)</t>
  </si>
  <si>
    <t>Total Periphyton</t>
  </si>
  <si>
    <t>Phyto BlueGreen_Meso (mg/L dry)</t>
  </si>
  <si>
    <t>Cryptophytes</t>
  </si>
  <si>
    <t>Phyto Crypto_Meso (mg/L dry)</t>
  </si>
  <si>
    <t>Phyto Diatom_Meso (mg/L dry)</t>
  </si>
  <si>
    <t>Phyto Greens_Meso (mg/L dry)</t>
  </si>
  <si>
    <t>Total Phytoplankton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</si>
</sst>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8" xfId="0" applyBorder="1"/>
    <xf numFmtId="0" fontId="0" fillId="0" borderId="9" xfId="0" applyBorder="1"/>
    <xf numFmtId="0" fontId="1" fillId="0" borderId="11" xfId="0" applyFont="1" applyBorder="1" applyAlignment="1">
      <alignment horizontal="center" vertical="top" wrapText="1"/>
    </xf>
    <xf numFmtId="1" fontId="0" fillId="0" borderId="12" xfId="0" applyNumberFormat="1" applyBorder="1"/>
    <xf numFmtId="1" fontId="0" fillId="0" borderId="13" xfId="0" applyNumberFormat="1" applyBorder="1"/>
    <xf numFmtId="0" fontId="1" fillId="0" borderId="10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20"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  <dxf>
      <font>
        <sz val="11"/>
        <color rgb="FF000000"/>
        <name val="Calibri"/>
      </font>
      <fill>
        <patternFill patternType="solid">
          <bgColor rgb="FFCCFFCC"/>
        </patternFill>
      </fill>
    </dxf>
    <dxf>
      <font>
        <sz val="11"/>
        <color rgb="FF000000"/>
        <name val="Calibri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57C8C-5E1F-4555-A1F8-791DF177A5C1}">
  <dimension ref="A1:B5"/>
  <sheetViews>
    <sheetView workbookViewId="0">
      <selection activeCell="B9" sqref="B9"/>
    </sheetView>
  </sheetViews>
  <sheetFormatPr defaultRowHeight="15"/>
  <cols>
    <col min="1" max="2" width="23.42578125" customWidth="1"/>
  </cols>
  <sheetData>
    <row r="1" spans="1:2" ht="75.75" thickBot="1">
      <c r="A1" s="9" t="s">
        <v>0</v>
      </c>
      <c r="B1" s="12" t="s">
        <v>1</v>
      </c>
    </row>
    <row r="2" spans="1:2" ht="15.75" thickBot="1">
      <c r="A2" s="10">
        <v>87.096774193548399</v>
      </c>
      <c r="B2" s="11">
        <v>92.857142857142904</v>
      </c>
    </row>
    <row r="3" spans="1:2">
      <c r="A3" s="15" t="s">
        <v>2</v>
      </c>
      <c r="B3" s="16"/>
    </row>
    <row r="4" spans="1:2">
      <c r="A4" s="17"/>
      <c r="B4" s="18"/>
    </row>
    <row r="5" spans="1:2">
      <c r="A5" s="17"/>
      <c r="B5" s="18"/>
    </row>
  </sheetData>
  <mergeCells count="1">
    <mergeCell ref="A3:B5"/>
  </mergeCells>
  <conditionalFormatting sqref="A2:B2">
    <cfRule type="expression" dxfId="19" priority="1">
      <formula>A2&lt;90</formula>
    </cfRule>
    <cfRule type="expression" dxfId="18" priority="2">
      <formula>A2&gt;=90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L2" sqref="L2:M2"/>
    </sheetView>
  </sheetViews>
  <sheetFormatPr defaultColWidth="11.42578125" defaultRowHeight="15"/>
  <cols>
    <col min="1" max="1" width="17.140625" style="7" customWidth="1"/>
    <col min="2" max="2" width="31.7109375" style="8" customWidth="1"/>
    <col min="3" max="3" width="18.7109375" style="8" hidden="1" customWidth="1"/>
    <col min="4" max="4" width="16.7109375" style="7" hidden="1" customWidth="1"/>
    <col min="5" max="6" width="20.7109375" style="7" hidden="1" customWidth="1"/>
    <col min="7" max="8" width="15.7109375" style="7" hidden="1" customWidth="1"/>
    <col min="9" max="9" width="21.7109375" style="8" customWidth="1"/>
    <col min="10" max="11" width="25.7109375" style="7" customWidth="1"/>
    <col min="12" max="13" width="40.7109375" customWidth="1"/>
  </cols>
  <sheetData>
    <row r="1" spans="1:13" s="3" customFormat="1">
      <c r="A1" s="1"/>
      <c r="B1" s="2"/>
      <c r="C1" s="19" t="s">
        <v>3</v>
      </c>
      <c r="D1" s="20"/>
      <c r="E1" s="20"/>
      <c r="F1" s="20"/>
      <c r="G1" s="20"/>
      <c r="H1" s="21"/>
      <c r="I1" s="19" t="s">
        <v>4</v>
      </c>
      <c r="J1" s="20"/>
      <c r="K1" s="21"/>
      <c r="L1" s="13"/>
    </row>
    <row r="2" spans="1:13" s="6" customFormat="1" ht="30">
      <c r="A2" s="4" t="s">
        <v>5</v>
      </c>
      <c r="B2" s="5" t="s">
        <v>6</v>
      </c>
      <c r="C2" s="5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  <c r="J2" s="4" t="s">
        <v>14</v>
      </c>
      <c r="K2" s="4" t="s">
        <v>15</v>
      </c>
      <c r="L2" s="6" t="s">
        <v>16</v>
      </c>
      <c r="M2" s="6" t="s">
        <v>17</v>
      </c>
    </row>
    <row r="3" spans="1:13">
      <c r="A3" s="7" t="s">
        <v>18</v>
      </c>
      <c r="B3" s="8" t="s">
        <v>19</v>
      </c>
      <c r="G3" s="7">
        <v>1.6999999999999999E-3</v>
      </c>
      <c r="H3" s="7">
        <v>0.26</v>
      </c>
      <c r="J3" s="7" t="s">
        <v>20</v>
      </c>
      <c r="K3" s="7" t="s">
        <v>20</v>
      </c>
      <c r="L3" s="14"/>
      <c r="M3" s="14"/>
    </row>
    <row r="4" spans="1:13" ht="60">
      <c r="A4" s="7" t="s">
        <v>21</v>
      </c>
      <c r="B4" s="8" t="s">
        <v>22</v>
      </c>
      <c r="C4" s="8">
        <v>508</v>
      </c>
      <c r="D4" s="7">
        <v>731</v>
      </c>
      <c r="E4" s="7">
        <v>0.28000000000000003</v>
      </c>
      <c r="F4" s="7">
        <v>0.59</v>
      </c>
      <c r="G4" s="7">
        <v>3.4000000000000002E-2</v>
      </c>
      <c r="H4" s="7">
        <v>0.53</v>
      </c>
      <c r="I4" s="8" t="s">
        <v>23</v>
      </c>
      <c r="J4" s="7" t="s">
        <v>20</v>
      </c>
      <c r="K4" s="7" t="s">
        <v>20</v>
      </c>
      <c r="L4" s="14" t="s">
        <v>24</v>
      </c>
      <c r="M4" s="14"/>
    </row>
    <row r="5" spans="1:13">
      <c r="A5" s="7" t="s">
        <v>25</v>
      </c>
      <c r="B5" s="8" t="s">
        <v>26</v>
      </c>
      <c r="G5" s="7">
        <v>0</v>
      </c>
      <c r="H5" s="7">
        <v>0.18</v>
      </c>
      <c r="J5" s="7" t="s">
        <v>20</v>
      </c>
      <c r="K5" s="7" t="s">
        <v>20</v>
      </c>
      <c r="L5" s="14"/>
      <c r="M5" s="14"/>
    </row>
    <row r="6" spans="1:13">
      <c r="A6" s="7" t="s">
        <v>27</v>
      </c>
      <c r="B6" s="8" t="s">
        <v>28</v>
      </c>
      <c r="G6" s="7">
        <v>7.5000000000000002E-4</v>
      </c>
      <c r="H6" s="7">
        <v>6.2E-2</v>
      </c>
      <c r="J6" s="7" t="s">
        <v>20</v>
      </c>
      <c r="K6" s="7" t="s">
        <v>20</v>
      </c>
      <c r="L6" s="14"/>
      <c r="M6" s="14"/>
    </row>
    <row r="7" spans="1:13" ht="60">
      <c r="A7" s="7" t="s">
        <v>29</v>
      </c>
      <c r="B7" s="8" t="s">
        <v>30</v>
      </c>
      <c r="C7" s="8">
        <v>513</v>
      </c>
      <c r="D7" s="7">
        <v>727</v>
      </c>
      <c r="E7" s="7">
        <v>9.2999999999999992E-3</v>
      </c>
      <c r="F7" s="7">
        <v>5.1999999999999998E-2</v>
      </c>
      <c r="G7" s="7">
        <v>0</v>
      </c>
      <c r="H7" s="7">
        <v>0.05</v>
      </c>
      <c r="I7" s="8" t="s">
        <v>23</v>
      </c>
      <c r="J7" s="7" t="s">
        <v>20</v>
      </c>
      <c r="K7" s="7" t="s">
        <v>20</v>
      </c>
      <c r="L7" s="14" t="s">
        <v>24</v>
      </c>
      <c r="M7" s="14"/>
    </row>
    <row r="8" spans="1:13" ht="45">
      <c r="A8" s="7" t="s">
        <v>31</v>
      </c>
      <c r="B8" s="8" t="s">
        <v>32</v>
      </c>
      <c r="G8" s="7">
        <v>0.85</v>
      </c>
      <c r="H8" s="7">
        <v>11</v>
      </c>
      <c r="J8" s="7" t="s">
        <v>20</v>
      </c>
      <c r="K8" s="7" t="s">
        <v>23</v>
      </c>
      <c r="L8" s="14"/>
      <c r="M8" s="14" t="s">
        <v>33</v>
      </c>
    </row>
    <row r="9" spans="1:13">
      <c r="A9" s="7" t="s">
        <v>34</v>
      </c>
      <c r="B9" s="8" t="s">
        <v>35</v>
      </c>
      <c r="G9" s="7">
        <v>0</v>
      </c>
      <c r="H9" s="7">
        <v>0.89</v>
      </c>
      <c r="J9" s="7" t="s">
        <v>20</v>
      </c>
      <c r="K9" s="7" t="s">
        <v>20</v>
      </c>
      <c r="L9" s="14"/>
      <c r="M9" s="14"/>
    </row>
    <row r="10" spans="1:13">
      <c r="A10" s="7" t="s">
        <v>36</v>
      </c>
      <c r="B10" s="8" t="s">
        <v>37</v>
      </c>
      <c r="G10" s="7">
        <v>4.3E-3</v>
      </c>
      <c r="H10" s="7">
        <v>8.5999999999999993E-2</v>
      </c>
      <c r="J10" s="7" t="s">
        <v>20</v>
      </c>
      <c r="K10" s="7" t="s">
        <v>20</v>
      </c>
      <c r="L10" s="14"/>
      <c r="M10" s="14"/>
    </row>
    <row r="11" spans="1:13">
      <c r="A11" s="7" t="s">
        <v>38</v>
      </c>
      <c r="B11" s="8" t="s">
        <v>39</v>
      </c>
      <c r="G11" s="7">
        <v>1.6E-2</v>
      </c>
      <c r="H11" s="7">
        <v>0.46</v>
      </c>
      <c r="J11" s="7" t="s">
        <v>20</v>
      </c>
      <c r="K11" s="7" t="s">
        <v>20</v>
      </c>
      <c r="L11" s="14"/>
      <c r="M11" s="14"/>
    </row>
    <row r="12" spans="1:13">
      <c r="A12" s="7" t="s">
        <v>38</v>
      </c>
      <c r="B12" s="8" t="s">
        <v>40</v>
      </c>
      <c r="G12" s="7">
        <v>1.6E-2</v>
      </c>
      <c r="H12" s="7">
        <v>0.46</v>
      </c>
      <c r="J12" s="7" t="s">
        <v>20</v>
      </c>
      <c r="K12" s="7" t="s">
        <v>20</v>
      </c>
      <c r="L12" s="14"/>
      <c r="M12" s="14"/>
    </row>
    <row r="13" spans="1:13">
      <c r="A13" s="7" t="s">
        <v>38</v>
      </c>
      <c r="B13" s="8" t="s">
        <v>41</v>
      </c>
      <c r="G13" s="7">
        <v>1.6E-2</v>
      </c>
      <c r="H13" s="7">
        <v>0.46</v>
      </c>
      <c r="J13" s="7" t="s">
        <v>20</v>
      </c>
      <c r="K13" s="7" t="s">
        <v>20</v>
      </c>
      <c r="L13" s="14"/>
      <c r="M13" s="14"/>
    </row>
    <row r="14" spans="1:13">
      <c r="A14" s="7" t="s">
        <v>42</v>
      </c>
      <c r="B14" s="8" t="s">
        <v>43</v>
      </c>
      <c r="G14" s="7">
        <v>7.4999999999999997E-3</v>
      </c>
      <c r="H14" s="7">
        <v>0.45</v>
      </c>
      <c r="J14" s="7" t="s">
        <v>20</v>
      </c>
      <c r="K14" s="7" t="s">
        <v>20</v>
      </c>
      <c r="L14" s="14"/>
      <c r="M14" s="14"/>
    </row>
    <row r="15" spans="1:13" ht="60">
      <c r="A15" s="7" t="s">
        <v>44</v>
      </c>
      <c r="B15" s="8" t="s">
        <v>45</v>
      </c>
      <c r="C15" s="8">
        <v>513</v>
      </c>
      <c r="D15" s="7">
        <v>711</v>
      </c>
      <c r="E15" s="7">
        <v>6.8999999999999999E-3</v>
      </c>
      <c r="F15" s="7">
        <v>7.3999999999999996E-2</v>
      </c>
      <c r="G15" s="7">
        <v>0</v>
      </c>
      <c r="H15" s="7">
        <v>7.1999999999999995E-2</v>
      </c>
      <c r="I15" s="8" t="s">
        <v>23</v>
      </c>
      <c r="J15" s="7" t="s">
        <v>20</v>
      </c>
      <c r="K15" s="7" t="s">
        <v>20</v>
      </c>
      <c r="L15" s="14" t="s">
        <v>24</v>
      </c>
      <c r="M15" s="14"/>
    </row>
  </sheetData>
  <mergeCells count="2">
    <mergeCell ref="C1:H1"/>
    <mergeCell ref="I1:K1"/>
  </mergeCells>
  <conditionalFormatting sqref="A3:L3 A5:L6 A4:K4 A8:L14 A7:K7 A15:K15">
    <cfRule type="expression" dxfId="17" priority="5">
      <formula>A3="N"</formula>
    </cfRule>
    <cfRule type="expression" dxfId="16" priority="6">
      <formula>A3="Y"</formula>
    </cfRule>
  </conditionalFormatting>
  <conditionalFormatting sqref="A2:K2">
    <cfRule type="expression" dxfId="15" priority="1">
      <formula>A2="N"</formula>
    </cfRule>
    <cfRule type="expression" dxfId="14" priority="2">
      <formula>A2="Y"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opLeftCell="F1" workbookViewId="0">
      <selection activeCell="M9" sqref="M9"/>
    </sheetView>
  </sheetViews>
  <sheetFormatPr defaultColWidth="11.42578125" defaultRowHeight="15"/>
  <cols>
    <col min="1" max="1" width="22.7109375" style="7" customWidth="1"/>
    <col min="2" max="2" width="31.7109375" style="8" customWidth="1"/>
    <col min="3" max="3" width="18.7109375" style="8" customWidth="1"/>
    <col min="4" max="4" width="16.7109375" style="7" customWidth="1"/>
    <col min="5" max="6" width="20.7109375" style="7" customWidth="1"/>
    <col min="7" max="8" width="15.7109375" style="7" customWidth="1"/>
    <col min="9" max="9" width="21.7109375" style="8" customWidth="1"/>
    <col min="10" max="11" width="25.7109375" style="7" customWidth="1"/>
    <col min="12" max="13" width="40.7109375" customWidth="1"/>
  </cols>
  <sheetData>
    <row r="1" spans="1:13" s="3" customFormat="1">
      <c r="A1" s="1"/>
      <c r="B1" s="2"/>
      <c r="C1" s="19" t="s">
        <v>3</v>
      </c>
      <c r="D1" s="20"/>
      <c r="E1" s="20"/>
      <c r="F1" s="20"/>
      <c r="G1" s="20"/>
      <c r="H1" s="21"/>
      <c r="I1" s="19" t="s">
        <v>4</v>
      </c>
      <c r="J1" s="20"/>
      <c r="K1" s="21"/>
      <c r="L1" s="13"/>
    </row>
    <row r="2" spans="1:13" s="6" customFormat="1" ht="30">
      <c r="A2" s="4" t="s">
        <v>5</v>
      </c>
      <c r="B2" s="5" t="s">
        <v>6</v>
      </c>
      <c r="C2" s="5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5" t="s">
        <v>13</v>
      </c>
      <c r="J2" s="4" t="s">
        <v>14</v>
      </c>
      <c r="K2" s="4" t="s">
        <v>15</v>
      </c>
      <c r="L2" s="6" t="s">
        <v>16</v>
      </c>
      <c r="M2" s="6" t="s">
        <v>17</v>
      </c>
    </row>
    <row r="3" spans="1:13">
      <c r="A3" s="7" t="s">
        <v>46</v>
      </c>
      <c r="B3" s="8" t="s">
        <v>47</v>
      </c>
      <c r="C3" s="8">
        <v>719</v>
      </c>
      <c r="D3" s="7">
        <v>922</v>
      </c>
      <c r="E3" s="7">
        <v>8.8999999999999995E-5</v>
      </c>
      <c r="F3" s="7">
        <v>8.2000000000000007E-3</v>
      </c>
      <c r="G3" s="7">
        <v>0</v>
      </c>
      <c r="H3" s="7">
        <v>7.1999999999999998E-3</v>
      </c>
      <c r="I3" s="8" t="s">
        <v>20</v>
      </c>
      <c r="J3" s="7" t="s">
        <v>20</v>
      </c>
      <c r="K3" s="7" t="s">
        <v>20</v>
      </c>
      <c r="L3" s="14"/>
      <c r="M3" s="14"/>
    </row>
    <row r="4" spans="1:13">
      <c r="A4" s="7" t="s">
        <v>48</v>
      </c>
      <c r="B4" s="8" t="s">
        <v>49</v>
      </c>
      <c r="G4" s="7">
        <v>0</v>
      </c>
      <c r="H4" s="7">
        <v>0.28999999999999998</v>
      </c>
      <c r="J4" s="7" t="s">
        <v>20</v>
      </c>
      <c r="K4" s="7" t="s">
        <v>20</v>
      </c>
      <c r="L4" s="14"/>
      <c r="M4" s="14"/>
    </row>
    <row r="5" spans="1:13">
      <c r="A5" s="7" t="s">
        <v>50</v>
      </c>
      <c r="B5" s="8" t="s">
        <v>51</v>
      </c>
      <c r="G5" s="7">
        <v>0</v>
      </c>
      <c r="H5" s="7">
        <v>0.13</v>
      </c>
      <c r="J5" s="7" t="s">
        <v>20</v>
      </c>
      <c r="K5" s="7" t="s">
        <v>20</v>
      </c>
      <c r="L5" s="14"/>
      <c r="M5" s="14"/>
    </row>
    <row r="6" spans="1:13">
      <c r="A6" s="7" t="s">
        <v>52</v>
      </c>
      <c r="B6" s="8" t="s">
        <v>53</v>
      </c>
      <c r="G6" s="7">
        <v>0.2</v>
      </c>
      <c r="H6" s="7">
        <v>4.5</v>
      </c>
      <c r="J6" s="7" t="s">
        <v>20</v>
      </c>
      <c r="K6" s="7" t="s">
        <v>20</v>
      </c>
      <c r="L6" s="14"/>
      <c r="M6" s="14"/>
    </row>
    <row r="7" spans="1:13">
      <c r="A7" s="7" t="s">
        <v>54</v>
      </c>
      <c r="B7" s="8" t="s">
        <v>55</v>
      </c>
      <c r="C7" s="8">
        <v>712</v>
      </c>
      <c r="D7" s="7">
        <v>922</v>
      </c>
      <c r="E7" s="7">
        <v>0.42</v>
      </c>
      <c r="F7" s="7">
        <v>3.9</v>
      </c>
      <c r="G7" s="7">
        <v>0</v>
      </c>
      <c r="H7" s="7">
        <v>3.2</v>
      </c>
      <c r="I7" s="8" t="s">
        <v>20</v>
      </c>
      <c r="J7" s="7" t="s">
        <v>20</v>
      </c>
      <c r="K7" s="7" t="s">
        <v>20</v>
      </c>
      <c r="L7" s="14"/>
      <c r="M7" s="14"/>
    </row>
    <row r="8" spans="1:13" ht="75">
      <c r="A8" s="7" t="s">
        <v>56</v>
      </c>
      <c r="B8" s="8" t="s">
        <v>57</v>
      </c>
      <c r="G8" s="7">
        <v>1E-4</v>
      </c>
      <c r="H8" s="7">
        <v>5.3999999999999999E-2</v>
      </c>
      <c r="J8" s="7" t="s">
        <v>20</v>
      </c>
      <c r="K8" s="7" t="s">
        <v>23</v>
      </c>
      <c r="L8" s="14"/>
      <c r="M8" s="14" t="s">
        <v>58</v>
      </c>
    </row>
    <row r="9" spans="1:13" ht="60">
      <c r="A9" s="7" t="s">
        <v>59</v>
      </c>
      <c r="B9" s="8" t="s">
        <v>60</v>
      </c>
      <c r="C9" s="8">
        <v>513</v>
      </c>
      <c r="D9" s="7">
        <v>704</v>
      </c>
      <c r="E9" s="7">
        <v>7.9000000000000008E-3</v>
      </c>
      <c r="F9" s="7">
        <v>0.16</v>
      </c>
      <c r="G9" s="7">
        <v>6.0999999999999997E-4</v>
      </c>
      <c r="H9" s="7">
        <v>0.12</v>
      </c>
      <c r="I9" s="8" t="s">
        <v>23</v>
      </c>
      <c r="J9" s="7" t="s">
        <v>20</v>
      </c>
      <c r="K9" s="7" t="s">
        <v>20</v>
      </c>
      <c r="L9" s="14" t="s">
        <v>24</v>
      </c>
      <c r="M9" s="14"/>
    </row>
    <row r="10" spans="1:13">
      <c r="A10" s="7" t="s">
        <v>61</v>
      </c>
      <c r="B10" s="8" t="s">
        <v>62</v>
      </c>
      <c r="G10" s="7">
        <v>3.8E-3</v>
      </c>
      <c r="H10" s="7">
        <v>0.62</v>
      </c>
      <c r="J10" s="7" t="s">
        <v>20</v>
      </c>
      <c r="K10" s="7" t="s">
        <v>20</v>
      </c>
      <c r="L10" s="14"/>
      <c r="M10" s="14"/>
    </row>
    <row r="11" spans="1:13">
      <c r="L11" s="14"/>
      <c r="M11" s="14"/>
    </row>
    <row r="12" spans="1:13">
      <c r="L12" s="14"/>
      <c r="M12" s="14"/>
    </row>
    <row r="13" spans="1:13">
      <c r="L13" s="14"/>
      <c r="M13" s="14"/>
    </row>
    <row r="14" spans="1:13">
      <c r="L14" s="14"/>
      <c r="M14" s="14"/>
    </row>
    <row r="15" spans="1:13">
      <c r="L15" s="14"/>
      <c r="M15" s="14"/>
    </row>
  </sheetData>
  <mergeCells count="2">
    <mergeCell ref="C1:H1"/>
    <mergeCell ref="I1:K1"/>
  </mergeCells>
  <conditionalFormatting sqref="A3:K10">
    <cfRule type="expression" dxfId="13" priority="5">
      <formula>A3="N"</formula>
    </cfRule>
    <cfRule type="expression" dxfId="12" priority="6">
      <formula>A3="Y"</formula>
    </cfRule>
  </conditionalFormatting>
  <conditionalFormatting sqref="A2:K2">
    <cfRule type="expression" dxfId="11" priority="3">
      <formula>A2="N"</formula>
    </cfRule>
    <cfRule type="expression" dxfId="10" priority="4">
      <formula>A2="Y"</formula>
    </cfRule>
  </conditionalFormatting>
  <conditionalFormatting sqref="L3 L5:L6 L8 L10:L14">
    <cfRule type="expression" dxfId="9" priority="1">
      <formula>L3="N"</formula>
    </cfRule>
    <cfRule type="expression" dxfId="8" priority="2">
      <formula>L3="Y"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H10" sqref="H10"/>
    </sheetView>
  </sheetViews>
  <sheetFormatPr defaultColWidth="11.42578125" defaultRowHeight="15"/>
  <cols>
    <col min="1" max="1" width="16.7109375" style="7" customWidth="1"/>
    <col min="2" max="2" width="31.7109375" style="8" customWidth="1"/>
    <col min="3" max="3" width="15.7109375" style="8" customWidth="1"/>
    <col min="4" max="4" width="15.7109375" style="7" customWidth="1"/>
    <col min="5" max="5" width="25.7109375" style="8" customWidth="1"/>
    <col min="6" max="6" width="25.7109375" style="7" customWidth="1"/>
    <col min="7" max="8" width="40.7109375" customWidth="1"/>
  </cols>
  <sheetData>
    <row r="1" spans="1:8" s="3" customFormat="1">
      <c r="A1" s="1"/>
      <c r="B1" s="2"/>
      <c r="C1" s="19" t="s">
        <v>3</v>
      </c>
      <c r="D1" s="21"/>
      <c r="E1" s="19" t="s">
        <v>4</v>
      </c>
      <c r="F1" s="21"/>
    </row>
    <row r="2" spans="1:8" s="6" customFormat="1" ht="30">
      <c r="A2" s="4" t="s">
        <v>5</v>
      </c>
      <c r="B2" s="5" t="s">
        <v>6</v>
      </c>
      <c r="C2" s="5" t="s">
        <v>11</v>
      </c>
      <c r="D2" s="4" t="s">
        <v>12</v>
      </c>
      <c r="E2" s="5" t="s">
        <v>14</v>
      </c>
      <c r="F2" s="4" t="s">
        <v>15</v>
      </c>
      <c r="G2" s="6" t="s">
        <v>16</v>
      </c>
      <c r="H2" s="6" t="s">
        <v>17</v>
      </c>
    </row>
    <row r="3" spans="1:8" ht="60">
      <c r="A3" s="7" t="s">
        <v>63</v>
      </c>
      <c r="B3" s="8" t="s">
        <v>64</v>
      </c>
      <c r="C3" s="8">
        <v>5.5999999999999999E-3</v>
      </c>
      <c r="D3" s="7">
        <v>0.7</v>
      </c>
      <c r="E3" s="8" t="s">
        <v>23</v>
      </c>
      <c r="F3" s="7" t="s">
        <v>20</v>
      </c>
      <c r="G3" s="14" t="s">
        <v>65</v>
      </c>
    </row>
    <row r="4" spans="1:8" ht="45">
      <c r="A4" s="7" t="s">
        <v>66</v>
      </c>
      <c r="B4" s="8" t="s">
        <v>67</v>
      </c>
      <c r="C4" s="8">
        <v>1.0999999999999999E-2</v>
      </c>
      <c r="D4" s="7">
        <v>0.44</v>
      </c>
      <c r="E4" s="8" t="s">
        <v>20</v>
      </c>
      <c r="F4" s="7" t="s">
        <v>23</v>
      </c>
      <c r="H4" s="14" t="s">
        <v>68</v>
      </c>
    </row>
    <row r="5" spans="1:8">
      <c r="A5" s="7" t="s">
        <v>69</v>
      </c>
      <c r="B5" s="8" t="s">
        <v>70</v>
      </c>
      <c r="C5" s="8">
        <v>1.9E-2</v>
      </c>
      <c r="D5" s="7">
        <v>0.98</v>
      </c>
      <c r="E5" s="8" t="s">
        <v>20</v>
      </c>
      <c r="F5" s="7" t="s">
        <v>20</v>
      </c>
    </row>
    <row r="6" spans="1:8">
      <c r="A6" s="7" t="s">
        <v>71</v>
      </c>
      <c r="B6" s="8" t="s">
        <v>71</v>
      </c>
      <c r="C6" s="8">
        <v>3.5999999999999997E-2</v>
      </c>
      <c r="D6" s="7">
        <v>2.1</v>
      </c>
      <c r="E6" s="8" t="s">
        <v>20</v>
      </c>
      <c r="F6" s="7" t="s">
        <v>20</v>
      </c>
    </row>
  </sheetData>
  <mergeCells count="2">
    <mergeCell ref="C1:D1"/>
    <mergeCell ref="E1:F1"/>
  </mergeCells>
  <conditionalFormatting sqref="A3:F6">
    <cfRule type="expression" dxfId="7" priority="3">
      <formula>A3="N"</formula>
    </cfRule>
    <cfRule type="expression" dxfId="6" priority="4">
      <formula>A3="Y"</formula>
    </cfRule>
  </conditionalFormatting>
  <conditionalFormatting sqref="A2:F2">
    <cfRule type="expression" dxfId="5" priority="1">
      <formula>A2="N"</formula>
    </cfRule>
    <cfRule type="expression" dxfId="4" priority="2">
      <formula>A2="Y"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tabSelected="1" workbookViewId="0">
      <selection activeCell="E21" sqref="E21"/>
    </sheetView>
  </sheetViews>
  <sheetFormatPr defaultColWidth="11.42578125" defaultRowHeight="15"/>
  <cols>
    <col min="1" max="1" width="19.7109375" style="7" customWidth="1"/>
    <col min="2" max="2" width="31.7109375" customWidth="1"/>
    <col min="3" max="4" width="15.7109375" style="7" customWidth="1"/>
    <col min="5" max="5" width="25.7109375" style="8" customWidth="1"/>
    <col min="6" max="6" width="25.7109375" style="7" customWidth="1"/>
  </cols>
  <sheetData>
    <row r="1" spans="1:6" s="3" customFormat="1">
      <c r="A1" s="1"/>
      <c r="B1" s="1"/>
      <c r="C1" s="19" t="s">
        <v>3</v>
      </c>
      <c r="D1" s="21"/>
      <c r="E1" s="19" t="s">
        <v>4</v>
      </c>
      <c r="F1" s="21"/>
    </row>
    <row r="2" spans="1:6" s="6" customFormat="1" ht="30">
      <c r="A2" s="4" t="s">
        <v>5</v>
      </c>
      <c r="B2" s="4" t="s">
        <v>6</v>
      </c>
      <c r="C2" s="4" t="s">
        <v>11</v>
      </c>
      <c r="D2" s="4" t="s">
        <v>12</v>
      </c>
      <c r="E2" s="5" t="s">
        <v>14</v>
      </c>
      <c r="F2" s="4" t="s">
        <v>15</v>
      </c>
    </row>
    <row r="3" spans="1:6">
      <c r="A3" s="7" t="s">
        <v>63</v>
      </c>
      <c r="B3" t="s">
        <v>72</v>
      </c>
      <c r="C3" s="7">
        <v>8.6E-3</v>
      </c>
      <c r="D3" s="7">
        <v>0.5</v>
      </c>
      <c r="E3" s="8" t="s">
        <v>20</v>
      </c>
      <c r="F3" s="7" t="s">
        <v>20</v>
      </c>
    </row>
    <row r="4" spans="1:6">
      <c r="A4" s="7" t="s">
        <v>73</v>
      </c>
      <c r="B4" t="s">
        <v>74</v>
      </c>
      <c r="C4" s="7">
        <v>7.4000000000000003E-3</v>
      </c>
      <c r="D4" s="7">
        <v>0.32</v>
      </c>
      <c r="E4" s="8" t="s">
        <v>20</v>
      </c>
      <c r="F4" s="7" t="s">
        <v>20</v>
      </c>
    </row>
    <row r="5" spans="1:6">
      <c r="A5" s="7" t="s">
        <v>66</v>
      </c>
      <c r="B5" t="s">
        <v>75</v>
      </c>
      <c r="C5" s="7">
        <v>2.5999999999999999E-2</v>
      </c>
      <c r="D5" s="7">
        <v>0.36</v>
      </c>
      <c r="E5" s="8" t="s">
        <v>20</v>
      </c>
      <c r="F5" s="7" t="s">
        <v>20</v>
      </c>
    </row>
    <row r="6" spans="1:6">
      <c r="A6" s="7" t="s">
        <v>69</v>
      </c>
      <c r="B6" t="s">
        <v>76</v>
      </c>
      <c r="C6" s="7">
        <v>0</v>
      </c>
      <c r="D6" s="7">
        <v>1.2</v>
      </c>
      <c r="E6" s="8" t="s">
        <v>20</v>
      </c>
      <c r="F6" s="7" t="s">
        <v>20</v>
      </c>
    </row>
    <row r="7" spans="1:6">
      <c r="A7" s="7" t="s">
        <v>77</v>
      </c>
      <c r="B7" t="s">
        <v>77</v>
      </c>
      <c r="C7" s="7">
        <v>3.9E-2</v>
      </c>
      <c r="D7" s="7">
        <v>2.2000000000000002</v>
      </c>
      <c r="E7" s="8" t="s">
        <v>20</v>
      </c>
      <c r="F7" s="7" t="s">
        <v>20</v>
      </c>
    </row>
  </sheetData>
  <mergeCells count="2">
    <mergeCell ref="C1:D1"/>
    <mergeCell ref="E1:F1"/>
  </mergeCells>
  <conditionalFormatting sqref="A3:F7">
    <cfRule type="expression" dxfId="3" priority="3">
      <formula>A3="N"</formula>
    </cfRule>
    <cfRule type="expression" dxfId="2" priority="4">
      <formula>A3="Y"</formula>
    </cfRule>
  </conditionalFormatting>
  <conditionalFormatting sqref="A2:F2">
    <cfRule type="expression" dxfId="1" priority="1">
      <formula>A2="N"</formula>
    </cfRule>
    <cfRule type="expression" dxfId="0" priority="2">
      <formula>A2="Y"</formula>
    </cfRule>
  </conditionalFormatting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7AF7B9F1FC240A6875F947483EA07" ma:contentTypeVersion="15" ma:contentTypeDescription="Create a new document." ma:contentTypeScope="" ma:versionID="40f972364507ac95f4489fefba6a19c2">
  <xsd:schema xmlns:xsd="http://www.w3.org/2001/XMLSchema" xmlns:xs="http://www.w3.org/2001/XMLSchema" xmlns:p="http://schemas.microsoft.com/office/2006/metadata/properties" xmlns:ns2="ac4ce1b8-1b9c-4c67-9997-6a09534f0343" xmlns:ns3="8a40d87b-c72c-4c40-aa8f-f17293a06cf8" targetNamespace="http://schemas.microsoft.com/office/2006/metadata/properties" ma:root="true" ma:fieldsID="01dac2384098b29500e6ba4c01a508ac" ns2:_="" ns3:_="">
    <xsd:import namespace="ac4ce1b8-1b9c-4c67-9997-6a09534f0343"/>
    <xsd:import namespace="8a40d87b-c72c-4c40-aa8f-f17293a06c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ce1b8-1b9c-4c67-9997-6a09534f0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045b586b-fecb-4896-8ea8-413c682afb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0d87b-c72c-4c40-aa8f-f17293a06cf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589cdf4-7483-4f30-9f07-1b47ca50471f}" ma:internalName="TaxCatchAll" ma:showField="CatchAllData" ma:web="8a40d87b-c72c-4c40-aa8f-f17293a06c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40d87b-c72c-4c40-aa8f-f17293a06cf8" xsi:nil="true"/>
    <lcf76f155ced4ddcb4097134ff3c332f xmlns="ac4ce1b8-1b9c-4c67-9997-6a09534f03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342E28-585D-49F2-954F-43AB90391F50}"/>
</file>

<file path=customXml/itemProps2.xml><?xml version="1.0" encoding="utf-8"?>
<ds:datastoreItem xmlns:ds="http://schemas.openxmlformats.org/officeDocument/2006/customXml" ds:itemID="{6C4BBDA9-40E3-4046-A0EA-1DD1F77DE452}"/>
</file>

<file path=customXml/itemProps3.xml><?xml version="1.0" encoding="utf-8"?>
<ds:datastoreItem xmlns:ds="http://schemas.openxmlformats.org/officeDocument/2006/customXml" ds:itemID="{C4E3124D-7C9B-46E5-947D-811E1B7E82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lmudge39</dc:creator>
  <cp:keywords/>
  <dc:description/>
  <cp:lastModifiedBy>Conner Schultz</cp:lastModifiedBy>
  <cp:revision/>
  <dcterms:created xsi:type="dcterms:W3CDTF">2022-03-29T14:06:15Z</dcterms:created>
  <dcterms:modified xsi:type="dcterms:W3CDTF">2022-04-13T14:15:32Z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0x010100DC87AF7B9F1FC240A6875F947483EA07</vt:lpwstr>
  </property>
</Properties>
</file>