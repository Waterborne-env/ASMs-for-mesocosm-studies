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ngenta_WB-ASM\EffectsCriteria_Jun2022\"/>
    </mc:Choice>
  </mc:AlternateContent>
  <xr:revisionPtr revIDLastSave="0" documentId="8_{A9579875-395C-492C-B853-2E00C94CF3A7}" xr6:coauthVersionLast="47" xr6:coauthVersionMax="47" xr10:uidLastSave="{00000000-0000-0000-0000-000000000000}"/>
  <bookViews>
    <workbookView xWindow="30930" yWindow="1440" windowWidth="24615" windowHeight="14025" firstSheet="6" activeTab="7" xr2:uid="{D6307FC1-56E5-4FFB-9BD9-3284609FB3FE}"/>
  </bookViews>
  <sheets>
    <sheet name="Info" sheetId="1" r:id="rId1"/>
    <sheet name="Phytoplankton" sheetId="2" r:id="rId2"/>
    <sheet name="Copepoda predatory" sheetId="3" r:id="rId3"/>
    <sheet name="Nauplia" sheetId="8" r:id="rId4"/>
    <sheet name="Copepoda predatory - ALL" sheetId="10" r:id="rId5"/>
    <sheet name="Rotifera herbivorous 2" sheetId="4" r:id="rId6"/>
    <sheet name="Daphnidae" sheetId="6" r:id="rId7"/>
    <sheet name="Daphnidae - revised" sheetId="12" r:id="rId8"/>
    <sheet name="Cladocera small" sheetId="5" r:id="rId9"/>
    <sheet name="Final" sheetId="7" r:id="rId10"/>
    <sheet name="Sheet1" sheetId="11" r:id="rId1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8" i="12" l="1"/>
  <c r="P16" i="12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B14" i="12"/>
  <c r="Q9" i="12"/>
  <c r="Q8" i="1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P30" i="2"/>
  <c r="P14" i="12" l="1"/>
  <c r="Q25" i="2"/>
  <c r="P16" i="4"/>
  <c r="P18" i="6"/>
  <c r="P16" i="6"/>
  <c r="P16" i="5"/>
  <c r="P14" i="6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B14" i="6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14" i="4"/>
  <c r="P15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B15" i="8"/>
  <c r="P16" i="3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B16" i="3"/>
  <c r="O14" i="2"/>
  <c r="N14" i="2"/>
  <c r="M14" i="2"/>
  <c r="P14" i="2" s="1"/>
  <c r="L14" i="2"/>
  <c r="K14" i="2"/>
  <c r="J14" i="2"/>
  <c r="I14" i="2"/>
  <c r="H14" i="2"/>
  <c r="G14" i="2"/>
  <c r="F14" i="2"/>
  <c r="E14" i="2"/>
  <c r="D14" i="2"/>
  <c r="C14" i="2"/>
  <c r="B14" i="2"/>
  <c r="Q9" i="6"/>
  <c r="Q8" i="6"/>
  <c r="Q9" i="5"/>
  <c r="Q8" i="4"/>
  <c r="Q10" i="8"/>
  <c r="R10" i="3"/>
  <c r="S8" i="2" l="1"/>
  <c r="Q8" i="2"/>
  <c r="Q10" i="3"/>
  <c r="Q9" i="8"/>
  <c r="Q8" i="5"/>
  <c r="Q7" i="4"/>
</calcChain>
</file>

<file path=xl/sharedStrings.xml><?xml version="1.0" encoding="utf-8"?>
<sst xmlns="http://schemas.openxmlformats.org/spreadsheetml/2006/main" count="586" uniqueCount="133">
  <si>
    <t>day 63</t>
  </si>
  <si>
    <t>day 69</t>
  </si>
  <si>
    <t>day 76</t>
  </si>
  <si>
    <t>day 14</t>
  </si>
  <si>
    <t>day 21</t>
  </si>
  <si>
    <t>day 27</t>
  </si>
  <si>
    <t>day 35</t>
  </si>
  <si>
    <t>day 42</t>
  </si>
  <si>
    <t>day 49</t>
  </si>
  <si>
    <t>day 55</t>
  </si>
  <si>
    <t>day 7</t>
  </si>
  <si>
    <t>day 85</t>
  </si>
  <si>
    <t>day 29</t>
  </si>
  <si>
    <t>day 1</t>
  </si>
  <si>
    <t>day 9</t>
  </si>
  <si>
    <t>day 15</t>
  </si>
  <si>
    <t>****</t>
  </si>
  <si>
    <t>Species group</t>
  </si>
  <si>
    <t>Diatoms (3A)</t>
  </si>
  <si>
    <t>Cryptophytes (3A)</t>
  </si>
  <si>
    <t>day 5</t>
  </si>
  <si>
    <t>Model output</t>
  </si>
  <si>
    <t>Mesocosm effect study</t>
  </si>
  <si>
    <t>day 22</t>
  </si>
  <si>
    <t>day 36</t>
  </si>
  <si>
    <t>day 43</t>
  </si>
  <si>
    <t>day 50</t>
  </si>
  <si>
    <t>day 57</t>
  </si>
  <si>
    <t>day 64</t>
  </si>
  <si>
    <t>day 71</t>
  </si>
  <si>
    <t>day 77</t>
  </si>
  <si>
    <t>Sum Rotatoria (5B+)</t>
  </si>
  <si>
    <r>
      <rPr>
        <b/>
        <sz val="11"/>
        <color theme="1"/>
        <rFont val="Calibri"/>
        <family val="2"/>
        <scheme val="minor"/>
      </rPr>
      <t>Effect</t>
    </r>
    <r>
      <rPr>
        <sz val="11"/>
        <color theme="1"/>
        <rFont val="Calibri"/>
        <family val="2"/>
        <scheme val="minor"/>
      </rPr>
      <t xml:space="preserve">: </t>
    </r>
    <r>
      <rPr>
        <u/>
        <sz val="11"/>
        <color theme="1"/>
        <rFont val="Calibri"/>
        <family val="2"/>
        <scheme val="minor"/>
      </rPr>
      <t>DECREASE</t>
    </r>
    <r>
      <rPr>
        <sz val="11"/>
        <color theme="1"/>
        <rFont val="Calibri"/>
        <family val="2"/>
        <scheme val="minor"/>
      </rPr>
      <t xml:space="preserve"> in chlorophyll-a</t>
    </r>
  </si>
  <si>
    <r>
      <rPr>
        <b/>
        <sz val="11"/>
        <color theme="1"/>
        <rFont val="Calibri"/>
        <family val="2"/>
        <scheme val="minor"/>
      </rPr>
      <t>Effect</t>
    </r>
    <r>
      <rPr>
        <sz val="11"/>
        <color theme="1"/>
        <rFont val="Calibri"/>
        <family val="2"/>
        <scheme val="minor"/>
      </rPr>
      <t xml:space="preserve">: </t>
    </r>
    <r>
      <rPr>
        <u/>
        <sz val="11"/>
        <color theme="1"/>
        <rFont val="Calibri"/>
        <family val="2"/>
        <scheme val="minor"/>
      </rPr>
      <t>DECREASE</t>
    </r>
    <r>
      <rPr>
        <sz val="11"/>
        <color theme="1"/>
        <rFont val="Calibri"/>
        <family val="2"/>
        <scheme val="minor"/>
      </rPr>
      <t xml:space="preserve"> in abundance</t>
    </r>
  </si>
  <si>
    <r>
      <rPr>
        <b/>
        <sz val="11"/>
        <color theme="1"/>
        <rFont val="Calibri"/>
        <family val="2"/>
        <scheme val="minor"/>
      </rPr>
      <t>Effect</t>
    </r>
    <r>
      <rPr>
        <sz val="11"/>
        <color theme="1"/>
        <rFont val="Calibri"/>
        <family val="2"/>
        <scheme val="minor"/>
      </rPr>
      <t xml:space="preserve">: </t>
    </r>
    <r>
      <rPr>
        <u/>
        <sz val="11"/>
        <color theme="1"/>
        <rFont val="Calibri"/>
        <family val="2"/>
        <scheme val="minor"/>
      </rPr>
      <t>INCREASE</t>
    </r>
    <r>
      <rPr>
        <sz val="11"/>
        <color theme="1"/>
        <rFont val="Calibri"/>
        <family val="2"/>
        <scheme val="minor"/>
      </rPr>
      <t xml:space="preserve"> in abundance</t>
    </r>
  </si>
  <si>
    <t>CRITERIA TO ANALYZE MODEL OUTPUTS WHEN SIMULATING EFFECTS</t>
  </si>
  <si>
    <t>MDD [%]</t>
  </si>
  <si>
    <t>MDD  [%]</t>
  </si>
  <si>
    <t>Effect size [%]</t>
  </si>
  <si>
    <t>Day after first application</t>
  </si>
  <si>
    <t>Date</t>
  </si>
  <si>
    <t>Ecosystem modeling of mesocosm studies: Azoxystrobin effect calibration criteria</t>
  </si>
  <si>
    <t>Prepared by: Chiara Accolla, Farah Abi-Akar, Amelie Schmolke</t>
  </si>
  <si>
    <t>Model results need to be discussed whenever they fail to meet the criteria.</t>
  </si>
  <si>
    <t>Copepodit + adults (5B)</t>
  </si>
  <si>
    <r>
      <rPr>
        <b/>
        <i/>
        <sz val="11"/>
        <color theme="1"/>
        <rFont val="Calibri"/>
        <family val="2"/>
        <scheme val="minor"/>
      </rPr>
      <t>Chydorus sphaericus</t>
    </r>
    <r>
      <rPr>
        <b/>
        <sz val="11"/>
        <color theme="1"/>
        <rFont val="Calibri"/>
        <family val="2"/>
        <scheme val="minor"/>
      </rPr>
      <t xml:space="preserve"> (3A+)</t>
    </r>
  </si>
  <si>
    <r>
      <rPr>
        <b/>
        <i/>
        <sz val="11"/>
        <color theme="1"/>
        <rFont val="Calibri"/>
        <family val="2"/>
        <scheme val="minor"/>
      </rPr>
      <t xml:space="preserve">Daphnia sp. </t>
    </r>
    <r>
      <rPr>
        <b/>
        <sz val="11"/>
        <color theme="1"/>
        <rFont val="Calibri"/>
        <family val="2"/>
        <scheme val="minor"/>
      </rPr>
      <t>(3A)</t>
    </r>
  </si>
  <si>
    <t>Nauplii (5B)</t>
  </si>
  <si>
    <t>Sum Copepoda (5B)</t>
  </si>
  <si>
    <t>**** NOTE</t>
  </si>
  <si>
    <r>
      <t>You have to fill this table (and the table in the next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</si>
  <si>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r>
      <t xml:space="preserve">You have to fill this table only if you </t>
    </r>
    <r>
      <rPr>
        <b/>
        <u/>
        <sz val="18"/>
        <color rgb="FFFF0000"/>
        <rFont val="Calibri"/>
        <family val="2"/>
        <scheme val="minor"/>
      </rPr>
      <t>DID NOT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</si>
  <si>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r>
      <t>You have to fill this table (and the table in the previous sheet) only if you</t>
    </r>
    <r>
      <rPr>
        <b/>
        <u/>
        <sz val="18"/>
        <color rgb="FFFF0000"/>
        <rFont val="Calibri"/>
        <family val="2"/>
        <scheme val="minor"/>
      </rPr>
      <t xml:space="preserve"> explicitly represented</t>
    </r>
    <r>
      <rPr>
        <b/>
        <sz val="18"/>
        <color rgb="FFFF0000"/>
        <rFont val="Calibri"/>
        <family val="2"/>
        <scheme val="minor"/>
      </rPr>
      <t xml:space="preserve"> Nauplii</t>
    </r>
  </si>
  <si>
    <t>day 83</t>
  </si>
  <si>
    <t>White cases show when NO relevant treatment-related effects were found -&gt; simulated effect-size &lt; MDD</t>
  </si>
  <si>
    <t>ME</t>
  </si>
  <si>
    <t>Observed Effect size [%]</t>
  </si>
  <si>
    <t>Instructions:  In each tab, fill in the effect size percentage and ME in the rows under "Model Output"  (e.g., in sheet "Phytoplankton", cells B12:O12 and B13:O13)</t>
  </si>
  <si>
    <t>Yellow cases show when relevant treatment-related effects were found in the mesocosm experiment. -&gt; simulated effect-size &gt;= MDD</t>
  </si>
  <si>
    <t>Values in gray cells do not need to be compared to the corresponding MDD value, but effect-size values are required for the ME calculation</t>
  </si>
  <si>
    <t>Date: May 3 2022</t>
  </si>
  <si>
    <t>1) The effect direction needs to be captured (increase or decrease of chlorophyll-a/abundance)</t>
  </si>
  <si>
    <t>5) The Mean Error (ME), i.e., difference (absolute value) between simulated and observed  % effect size is calculated for each sampling day (after first application) as indicated in the tables.</t>
  </si>
  <si>
    <r>
      <t>For the species groups with relevant, treatment-related effects, the number of false negatives (abs(%effect</t>
    </r>
    <r>
      <rPr>
        <vertAlign val="subscript"/>
        <sz val="11"/>
        <color theme="1"/>
        <rFont val="Calibri"/>
        <family val="2"/>
        <scheme val="minor"/>
      </rPr>
      <t>sim</t>
    </r>
    <r>
      <rPr>
        <sz val="11"/>
        <color theme="1"/>
        <rFont val="Calibri"/>
        <family val="2"/>
        <scheme val="minor"/>
      </rPr>
      <t>) &lt; %MDD in yellow cells) and false positives (abs(%effect</t>
    </r>
    <r>
      <rPr>
        <vertAlign val="subscript"/>
        <sz val="11"/>
        <color theme="1"/>
        <rFont val="Calibri"/>
        <family val="2"/>
        <scheme val="minor"/>
      </rPr>
      <t>sim</t>
    </r>
    <r>
      <rPr>
        <sz val="11"/>
        <color theme="1"/>
        <rFont val="Calibri"/>
        <family val="2"/>
        <scheme val="minor"/>
      </rPr>
      <t xml:space="preserve">) </t>
    </r>
    <r>
      <rPr>
        <sz val="11"/>
        <color theme="1"/>
        <rFont val="Calibri"/>
        <family val="2"/>
      </rPr>
      <t xml:space="preserve">≥ %MDD in white cells) </t>
    </r>
    <r>
      <rPr>
        <sz val="11"/>
        <color theme="1"/>
        <rFont val="Calibri"/>
        <family val="2"/>
        <scheme val="minor"/>
      </rPr>
      <t>should be reported in the sheet "Final"</t>
    </r>
  </si>
  <si>
    <t>Summary of model performance relative to effect criteria</t>
  </si>
  <si>
    <t>False negatives</t>
  </si>
  <si>
    <t>False positives</t>
  </si>
  <si>
    <t>Avg. ME</t>
  </si>
  <si>
    <t xml:space="preserve">False negatives: </t>
  </si>
  <si>
    <t>Definitions</t>
  </si>
  <si>
    <t xml:space="preserve">False positives: </t>
  </si>
  <si>
    <r>
      <t>abs(%effect</t>
    </r>
    <r>
      <rPr>
        <vertAlign val="subscript"/>
        <sz val="11"/>
        <color theme="1"/>
        <rFont val="Calibri"/>
        <family val="2"/>
        <scheme val="minor"/>
      </rPr>
      <t>sim</t>
    </r>
    <r>
      <rPr>
        <sz val="11"/>
        <color theme="1"/>
        <rFont val="Calibri"/>
        <family val="2"/>
        <scheme val="minor"/>
      </rPr>
      <t xml:space="preserve">) &lt; %MDD on sampling dates </t>
    </r>
    <r>
      <rPr>
        <b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treatment-related effects observed in the 2019 AZT mesocoms study (yellow cells)</t>
    </r>
  </si>
  <si>
    <r>
      <t xml:space="preserve">abs(%effectsim) ≥ %MDD on sampling dates </t>
    </r>
    <r>
      <rPr>
        <b/>
        <sz val="11"/>
        <color theme="1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treatment-related effects observed in the 2019 AZT mesocoms study (white cells)</t>
    </r>
  </si>
  <si>
    <t>Simulated effect size  [%]</t>
  </si>
  <si>
    <t>Observed effect size [%]</t>
  </si>
  <si>
    <t>Simulated effect size [%]</t>
  </si>
  <si>
    <t>Avg. ME:</t>
  </si>
  <si>
    <t>Average of ME values comparing observed and simulated % effect sizes calculated for each sampling date</t>
  </si>
  <si>
    <t xml:space="preserve">ME: Mean Error, calculated as the absolute value of the difference between % simulated effect size and % observed effect size for each observation date. </t>
  </si>
  <si>
    <r>
      <t xml:space="preserve">The following sheets in this file provide the numerical effect criteria for relevant,treatment-related effects and templates for the reporting of the effect calibration outcomes. The following points summarize the steps for presentation of the simulated effects. </t>
    </r>
    <r>
      <rPr>
        <b/>
        <sz val="11"/>
        <color rgb="FFFF0000"/>
        <rFont val="Calibri"/>
        <family val="2"/>
        <scheme val="minor"/>
      </rPr>
      <t>Relevant, treatment-related effects that apply to consensus species groups were only observed in the highest treatment level (33 µg ai/L) applied in the 2019 AZT mesocsom study and thus, all criteria listed apply to this treatment level only.</t>
    </r>
    <r>
      <rPr>
        <sz val="11"/>
        <color theme="1"/>
        <rFont val="Calibri"/>
        <family val="2"/>
        <scheme val="minor"/>
      </rPr>
      <t xml:space="preserve"> Please refer to the accompanying document "</t>
    </r>
    <r>
      <rPr>
        <b/>
        <sz val="11"/>
        <color theme="1"/>
        <rFont val="Calibri"/>
        <family val="2"/>
        <scheme val="minor"/>
      </rPr>
      <t>AZT_effect_criteria_June2022.docx</t>
    </r>
    <r>
      <rPr>
        <sz val="11"/>
        <color theme="1"/>
        <rFont val="Calibri"/>
        <family val="2"/>
        <scheme val="minor"/>
      </rPr>
      <t xml:space="preserve">" for details. Reporting on simulated effects in species groups without observed, treatment-related effects in the mesocosm study is </t>
    </r>
    <r>
      <rPr>
        <i/>
        <sz val="11"/>
        <color theme="1"/>
        <rFont val="Calibri"/>
        <family val="2"/>
        <scheme val="minor"/>
      </rPr>
      <t>not</t>
    </r>
    <r>
      <rPr>
        <sz val="11"/>
        <color theme="1"/>
        <rFont val="Calibri"/>
        <family val="2"/>
        <scheme val="minor"/>
      </rPr>
      <t xml:space="preserve"> included in this template (see Section II. in the accompanying document). </t>
    </r>
  </si>
  <si>
    <t>Blue cases show when recovery must happen in the simulation. -&gt; simulated effect-size &lt; 20 %</t>
  </si>
  <si>
    <t>4) If a clear recovery was identified, model should capture it (table cells with blue shading). Recovery is defined by a 20% threshold: effect size must be less than 20% in absolute value.</t>
  </si>
  <si>
    <r>
      <t xml:space="preserve">2) The effect size, i.e., the </t>
    </r>
    <r>
      <rPr>
        <u/>
        <sz val="11"/>
        <color theme="1"/>
        <rFont val="Calibri"/>
        <family val="2"/>
        <scheme val="minor"/>
      </rPr>
      <t>relative difference between simulated treatment (%) and simulated control (%) (absolute value),</t>
    </r>
    <r>
      <rPr>
        <sz val="11"/>
        <color theme="1"/>
        <rFont val="Calibri"/>
        <family val="2"/>
        <scheme val="minor"/>
      </rPr>
      <t xml:space="preserve">  must be at least as large as the day-specific %MDD when effects have been observed (table cells with yellow shading).</t>
    </r>
  </si>
  <si>
    <r>
      <t xml:space="preserve">3) The effect size, i.e., the </t>
    </r>
    <r>
      <rPr>
        <u/>
        <sz val="11"/>
        <color theme="1"/>
        <rFont val="Calibri"/>
        <family val="2"/>
        <scheme val="minor"/>
      </rPr>
      <t>relative difference between simulated treatment (%) and simulated control (%) (absolute value)</t>
    </r>
    <r>
      <rPr>
        <sz val="11"/>
        <color theme="1"/>
        <rFont val="Calibri"/>
        <family val="2"/>
        <scheme val="minor"/>
      </rPr>
      <t>,  must be smaller than the day-specific %MDD when there are no observed effects.</t>
    </r>
  </si>
  <si>
    <t>DOY</t>
  </si>
  <si>
    <t>171</t>
  </si>
  <si>
    <t>173</t>
  </si>
  <si>
    <t>179</t>
  </si>
  <si>
    <t>186</t>
  </si>
  <si>
    <t>193</t>
  </si>
  <si>
    <t>200</t>
  </si>
  <si>
    <t>207</t>
  </si>
  <si>
    <t>214</t>
  </si>
  <si>
    <t>221</t>
  </si>
  <si>
    <t>228</t>
  </si>
  <si>
    <t>235</t>
  </si>
  <si>
    <t>241</t>
  </si>
  <si>
    <t>249</t>
  </si>
  <si>
    <t>last 8 dates</t>
  </si>
  <si>
    <t>all dates</t>
  </si>
  <si>
    <t>169</t>
  </si>
  <si>
    <t>178</t>
  </si>
  <si>
    <t>185</t>
  </si>
  <si>
    <t>191</t>
  </si>
  <si>
    <t>199</t>
  </si>
  <si>
    <t>206</t>
  </si>
  <si>
    <t>213</t>
  </si>
  <si>
    <t>219</t>
  </si>
  <si>
    <t>227</t>
  </si>
  <si>
    <t>233</t>
  </si>
  <si>
    <t>240</t>
  </si>
  <si>
    <t>247</t>
  </si>
  <si>
    <t>Reff</t>
  </si>
  <si>
    <t>Eff</t>
  </si>
  <si>
    <t>Day</t>
  </si>
  <si>
    <t>% diff</t>
  </si>
  <si>
    <t>MDD</t>
  </si>
  <si>
    <t>DPA</t>
  </si>
  <si>
    <t>Obs</t>
  </si>
  <si>
    <t>Eff_diatoms</t>
  </si>
  <si>
    <t>mean</t>
  </si>
  <si>
    <t>max</t>
  </si>
  <si>
    <t>ave</t>
  </si>
  <si>
    <t>Copepod-predatory</t>
  </si>
  <si>
    <t>Nauplii</t>
  </si>
  <si>
    <t>Rotifer-herb2</t>
  </si>
  <si>
    <t>Cladocera-small</t>
  </si>
  <si>
    <t>Daphnidae</t>
  </si>
  <si>
    <t>False negative</t>
  </si>
  <si>
    <t>False positive</t>
  </si>
  <si>
    <t>Phytoplankton-diatoms</t>
  </si>
  <si>
    <t>Phytoplankton-cryptophytes</t>
  </si>
  <si>
    <t>Daphnidae -revised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</si>
</sst>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;@"/>
  </numFmts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b/>
      <u/>
      <sz val="18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5F5F5F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132">
    <xf numFmtId="0" fontId="0" fillId="0" borderId="0" xfId="0"/>
    <xf numFmtId="0" fontId="0" fillId="0" borderId="0" xfId="0" applyFill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/>
    <xf numFmtId="0" fontId="1" fillId="0" borderId="0" xfId="0" applyFont="1" applyFill="1"/>
    <xf numFmtId="0" fontId="0" fillId="0" borderId="0" xfId="0" applyFont="1"/>
    <xf numFmtId="0" fontId="1" fillId="0" borderId="0" xfId="0" applyFont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1" xfId="0" applyFont="1" applyBorder="1"/>
    <xf numFmtId="0" fontId="0" fillId="0" borderId="1" xfId="0" applyFill="1" applyBorder="1" applyAlignment="1">
      <alignment horizontal="center" vertical="center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Border="1" applyAlignment="1">
      <alignment vertical="center"/>
    </xf>
    <xf numFmtId="0" fontId="0" fillId="0" borderId="0" xfId="0" applyFill="1" applyBorder="1"/>
    <xf numFmtId="0" fontId="0" fillId="0" borderId="1" xfId="0" applyFont="1" applyFill="1" applyBorder="1"/>
    <xf numFmtId="0" fontId="0" fillId="0" borderId="0" xfId="0" applyFont="1" applyFill="1" applyBorder="1"/>
    <xf numFmtId="0" fontId="0" fillId="0" borderId="1" xfId="0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Border="1" applyAlignment="1">
      <alignment vertical="center"/>
    </xf>
    <xf numFmtId="0" fontId="0" fillId="2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0" borderId="4" xfId="0" applyFont="1" applyBorder="1" applyAlignment="1">
      <alignment wrapText="1"/>
    </xf>
    <xf numFmtId="0" fontId="0" fillId="0" borderId="1" xfId="0" applyFont="1" applyBorder="1" applyAlignment="1"/>
    <xf numFmtId="14" fontId="0" fillId="0" borderId="1" xfId="0" applyNumberFormat="1" applyFont="1" applyBorder="1" applyAlignment="1">
      <alignment horizontal="center" vertical="center"/>
    </xf>
    <xf numFmtId="14" fontId="0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6" fillId="0" borderId="0" xfId="0" applyFont="1"/>
    <xf numFmtId="164" fontId="0" fillId="0" borderId="1" xfId="0" applyNumberFormat="1" applyFont="1" applyBorder="1" applyAlignment="1">
      <alignment horizontal="center" vertical="center"/>
    </xf>
    <xf numFmtId="14" fontId="0" fillId="0" borderId="0" xfId="0" applyNumberFormat="1" applyFont="1" applyFill="1" applyBorder="1" applyAlignment="1">
      <alignment horizontal="center" vertical="center"/>
    </xf>
    <xf numFmtId="0" fontId="0" fillId="0" borderId="0" xfId="0" applyFont="1" applyFill="1" applyBorder="1" applyAlignment="1">
      <alignment wrapText="1"/>
    </xf>
    <xf numFmtId="0" fontId="0" fillId="0" borderId="0" xfId="0" applyFont="1" applyFill="1" applyBorder="1" applyAlignment="1">
      <alignment horizontal="center" vertical="center"/>
    </xf>
    <xf numFmtId="0" fontId="0" fillId="0" borderId="4" xfId="0" applyBorder="1" applyAlignment="1">
      <alignment wrapText="1"/>
    </xf>
    <xf numFmtId="14" fontId="0" fillId="0" borderId="1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wrapText="1"/>
    </xf>
    <xf numFmtId="0" fontId="2" fillId="0" borderId="0" xfId="0" applyFont="1" applyFill="1" applyBorder="1" applyAlignment="1">
      <alignment vertical="center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4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2" borderId="10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0" xfId="0" applyFont="1" applyFill="1" applyBorder="1" applyAlignment="1">
      <alignment horizontal="center" vertical="center"/>
    </xf>
    <xf numFmtId="0" fontId="0" fillId="3" borderId="10" xfId="0" applyFont="1" applyFill="1" applyBorder="1" applyAlignment="1">
      <alignment horizontal="center" vertical="center"/>
    </xf>
    <xf numFmtId="0" fontId="0" fillId="3" borderId="1" xfId="0" applyFont="1" applyFill="1" applyBorder="1" applyAlignment="1">
      <alignment horizontal="center" vertical="center"/>
    </xf>
    <xf numFmtId="0" fontId="0" fillId="0" borderId="2" xfId="0" applyFont="1" applyBorder="1"/>
    <xf numFmtId="0" fontId="0" fillId="0" borderId="11" xfId="0" applyFont="1" applyBorder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3" xfId="0" applyFill="1" applyBorder="1" applyAlignment="1">
      <alignment horizontal="center" vertical="center" wrapText="1"/>
    </xf>
    <xf numFmtId="0" fontId="1" fillId="0" borderId="0" xfId="0" applyFont="1" applyFill="1" applyBorder="1" applyAlignment="1"/>
    <xf numFmtId="0" fontId="0" fillId="2" borderId="1" xfId="0" applyFill="1" applyBorder="1"/>
    <xf numFmtId="0" fontId="0" fillId="3" borderId="11" xfId="0" applyFill="1" applyBorder="1" applyAlignment="1">
      <alignment horizontal="center" vertical="center"/>
    </xf>
    <xf numFmtId="0" fontId="0" fillId="0" borderId="2" xfId="0" applyBorder="1"/>
    <xf numFmtId="0" fontId="0" fillId="0" borderId="11" xfId="0" applyBorder="1" applyAlignment="1">
      <alignment horizontal="center" vertical="center"/>
    </xf>
    <xf numFmtId="0" fontId="11" fillId="3" borderId="1" xfId="0" applyFont="1" applyFill="1" applyBorder="1"/>
    <xf numFmtId="0" fontId="0" fillId="0" borderId="11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wrapText="1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2" xfId="0" applyFont="1" applyBorder="1" applyAlignment="1">
      <alignment wrapText="1"/>
    </xf>
    <xf numFmtId="0" fontId="1" fillId="0" borderId="0" xfId="0" applyFont="1" applyFill="1" applyAlignment="1">
      <alignment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wrapText="1"/>
    </xf>
    <xf numFmtId="0" fontId="0" fillId="0" borderId="2" xfId="0" applyFont="1" applyFill="1" applyBorder="1" applyAlignment="1">
      <alignment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vertical="top" wrapText="1"/>
    </xf>
    <xf numFmtId="0" fontId="1" fillId="0" borderId="0" xfId="0" applyFont="1" applyFill="1" applyBorder="1" applyAlignment="1">
      <alignment wrapText="1"/>
    </xf>
    <xf numFmtId="0" fontId="0" fillId="0" borderId="0" xfId="0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1" xfId="0" applyFill="1" applyBorder="1"/>
    <xf numFmtId="0" fontId="0" fillId="0" borderId="4" xfId="0" applyBorder="1"/>
    <xf numFmtId="49" fontId="0" fillId="0" borderId="10" xfId="0" applyNumberFormat="1" applyBorder="1" applyAlignment="1">
      <alignment horizontal="center" vertical="center"/>
    </xf>
    <xf numFmtId="0" fontId="0" fillId="0" borderId="0" xfId="0" applyBorder="1" applyAlignment="1">
      <alignment horizontal="center"/>
    </xf>
    <xf numFmtId="1" fontId="0" fillId="0" borderId="0" xfId="0" applyNumberFormat="1"/>
    <xf numFmtId="2" fontId="0" fillId="0" borderId="0" xfId="0" applyNumberFormat="1" applyFill="1"/>
    <xf numFmtId="1" fontId="1" fillId="0" borderId="1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1" fontId="1" fillId="0" borderId="10" xfId="1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1" fontId="0" fillId="0" borderId="0" xfId="0" applyNumberFormat="1" applyFon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/>
    </xf>
    <xf numFmtId="0" fontId="2" fillId="0" borderId="8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A09DA-28BA-440B-8F0A-AF8BC4F620D1}">
  <dimension ref="A1:AA63"/>
  <sheetViews>
    <sheetView topLeftCell="A7" workbookViewId="0">
      <selection activeCell="B8" sqref="B8"/>
    </sheetView>
  </sheetViews>
  <sheetFormatPr defaultRowHeight="14.4" x14ac:dyDescent="0.3"/>
  <cols>
    <col min="1" max="1" width="9.109375" style="4"/>
    <col min="2" max="2" width="200.44140625" customWidth="1"/>
    <col min="4" max="4" width="11" customWidth="1"/>
  </cols>
  <sheetData>
    <row r="1" spans="1:7" ht="27.9" customHeight="1" x14ac:dyDescent="0.3">
      <c r="A1" s="116" t="s">
        <v>35</v>
      </c>
      <c r="B1" s="117"/>
      <c r="C1" s="117"/>
      <c r="D1" s="117"/>
      <c r="E1" s="117"/>
      <c r="F1" s="117"/>
      <c r="G1" s="118"/>
    </row>
    <row r="2" spans="1:7" ht="27.9" customHeight="1" x14ac:dyDescent="0.3">
      <c r="A2" s="7"/>
      <c r="B2" s="7"/>
      <c r="C2" s="7"/>
      <c r="D2" s="7"/>
      <c r="E2" s="7"/>
      <c r="F2" s="7"/>
      <c r="G2" s="7"/>
    </row>
    <row r="3" spans="1:7" ht="27.9" customHeight="1" x14ac:dyDescent="0.3">
      <c r="A3" s="33" t="s">
        <v>41</v>
      </c>
      <c r="B3" s="7"/>
      <c r="C3" s="7"/>
      <c r="D3" s="7"/>
      <c r="E3" s="7"/>
      <c r="F3" s="7"/>
      <c r="G3" s="7"/>
    </row>
    <row r="4" spans="1:7" ht="27.9" customHeight="1" x14ac:dyDescent="0.3">
      <c r="A4" s="33" t="s">
        <v>60</v>
      </c>
      <c r="B4" s="7"/>
      <c r="C4" s="7"/>
      <c r="D4" s="7"/>
      <c r="E4" s="7"/>
      <c r="F4" s="7"/>
      <c r="G4" s="7"/>
    </row>
    <row r="5" spans="1:7" ht="27.9" customHeight="1" x14ac:dyDescent="0.3">
      <c r="A5" s="33" t="s">
        <v>42</v>
      </c>
      <c r="B5" s="7"/>
      <c r="C5" s="7"/>
      <c r="D5" s="7"/>
      <c r="E5" s="7"/>
      <c r="F5" s="7"/>
      <c r="G5" s="7"/>
    </row>
    <row r="6" spans="1:7" ht="66" customHeight="1" x14ac:dyDescent="0.3">
      <c r="B6" s="34" t="s">
        <v>79</v>
      </c>
      <c r="C6" s="35"/>
      <c r="D6" s="36"/>
      <c r="E6" s="7"/>
      <c r="F6" s="7"/>
      <c r="G6" s="7"/>
    </row>
    <row r="7" spans="1:7" ht="39" customHeight="1" x14ac:dyDescent="0.3">
      <c r="B7" s="34" t="s">
        <v>57</v>
      </c>
      <c r="C7" s="7"/>
      <c r="D7" s="7"/>
      <c r="E7" s="7"/>
      <c r="F7" s="7"/>
      <c r="G7" s="7"/>
    </row>
    <row r="8" spans="1:7" ht="27.9" customHeight="1" x14ac:dyDescent="0.3">
      <c r="A8" s="7"/>
      <c r="B8" s="7"/>
      <c r="C8" s="7"/>
      <c r="D8" s="7"/>
      <c r="E8" s="7"/>
      <c r="F8" s="7"/>
      <c r="G8" s="7"/>
    </row>
    <row r="9" spans="1:7" x14ac:dyDescent="0.3">
      <c r="A9" s="4" t="s">
        <v>16</v>
      </c>
      <c r="B9" t="s">
        <v>61</v>
      </c>
    </row>
    <row r="10" spans="1:7" x14ac:dyDescent="0.3">
      <c r="A10" t="s">
        <v>16</v>
      </c>
      <c r="B10" t="s">
        <v>82</v>
      </c>
    </row>
    <row r="11" spans="1:7" x14ac:dyDescent="0.3">
      <c r="A11" t="s">
        <v>16</v>
      </c>
      <c r="B11" t="s">
        <v>83</v>
      </c>
    </row>
    <row r="12" spans="1:7" x14ac:dyDescent="0.3">
      <c r="A12" t="s">
        <v>16</v>
      </c>
      <c r="B12" t="s">
        <v>81</v>
      </c>
    </row>
    <row r="13" spans="1:7" x14ac:dyDescent="0.3">
      <c r="A13" t="s">
        <v>16</v>
      </c>
      <c r="B13" t="s">
        <v>62</v>
      </c>
    </row>
    <row r="14" spans="1:7" x14ac:dyDescent="0.3">
      <c r="A14"/>
    </row>
    <row r="15" spans="1:7" x14ac:dyDescent="0.3">
      <c r="A15" t="s">
        <v>16</v>
      </c>
      <c r="B15" t="s">
        <v>43</v>
      </c>
    </row>
    <row r="16" spans="1:7" ht="15.6" x14ac:dyDescent="0.35">
      <c r="A16" t="s">
        <v>16</v>
      </c>
      <c r="B16" s="84" t="s">
        <v>63</v>
      </c>
    </row>
    <row r="17" spans="1:27" x14ac:dyDescent="0.3">
      <c r="A17"/>
    </row>
    <row r="18" spans="1:27" x14ac:dyDescent="0.3">
      <c r="A18" s="4" t="s">
        <v>16</v>
      </c>
      <c r="B18" s="73" t="s">
        <v>58</v>
      </c>
    </row>
    <row r="19" spans="1:27" x14ac:dyDescent="0.3">
      <c r="A19" t="s">
        <v>16</v>
      </c>
      <c r="B19" s="102" t="s">
        <v>80</v>
      </c>
    </row>
    <row r="20" spans="1:27" x14ac:dyDescent="0.3">
      <c r="A20" t="s">
        <v>16</v>
      </c>
      <c r="B20" s="77" t="s">
        <v>59</v>
      </c>
    </row>
    <row r="21" spans="1:27" x14ac:dyDescent="0.3">
      <c r="A21" s="4" t="s">
        <v>16</v>
      </c>
      <c r="B21" s="20" t="s">
        <v>54</v>
      </c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</row>
    <row r="22" spans="1:27" x14ac:dyDescent="0.3">
      <c r="A22" s="4" t="s">
        <v>16</v>
      </c>
      <c r="B22" s="20" t="s">
        <v>78</v>
      </c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72"/>
      <c r="O22" s="72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</row>
    <row r="23" spans="1:27" x14ac:dyDescent="0.3">
      <c r="A23" s="25"/>
      <c r="B23" s="15"/>
      <c r="C23" s="9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</row>
    <row r="24" spans="1:27" x14ac:dyDescent="0.3">
      <c r="A24" s="25"/>
      <c r="B24" s="9"/>
      <c r="C24" s="9"/>
      <c r="D24" s="9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</row>
    <row r="25" spans="1:27" s="1" customFormat="1" x14ac:dyDescent="0.3">
      <c r="A25" s="17"/>
      <c r="B25" s="9"/>
      <c r="C25" s="9"/>
      <c r="D25" s="9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</row>
    <row r="26" spans="1:27" x14ac:dyDescent="0.3">
      <c r="A26" s="2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</row>
    <row r="27" spans="1:27" x14ac:dyDescent="0.3">
      <c r="A27" s="2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</row>
    <row r="28" spans="1:27" x14ac:dyDescent="0.3">
      <c r="A28" s="25"/>
      <c r="B28" s="15"/>
      <c r="C28" s="9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</row>
    <row r="29" spans="1:27" x14ac:dyDescent="0.3">
      <c r="A29" s="25"/>
      <c r="B29" s="9"/>
      <c r="C29" s="9"/>
      <c r="D29" s="9"/>
      <c r="E29" s="9"/>
      <c r="F29" s="9"/>
      <c r="G29" s="9"/>
      <c r="H29" s="9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</row>
    <row r="30" spans="1:27" s="1" customFormat="1" x14ac:dyDescent="0.3">
      <c r="A30" s="17"/>
      <c r="B30" s="9"/>
      <c r="C30" s="9"/>
      <c r="D30" s="9"/>
      <c r="E30" s="9"/>
      <c r="F30" s="9"/>
      <c r="G30" s="9"/>
      <c r="H30" s="9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x14ac:dyDescent="0.3">
      <c r="A31" s="2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</row>
    <row r="32" spans="1:27" x14ac:dyDescent="0.3">
      <c r="A32" s="2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</row>
    <row r="33" spans="1:27" x14ac:dyDescent="0.3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</row>
    <row r="34" spans="1:27" x14ac:dyDescent="0.3">
      <c r="A34" s="25"/>
      <c r="B34" s="15"/>
      <c r="C34" s="9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</row>
    <row r="35" spans="1:27" x14ac:dyDescent="0.3">
      <c r="A35" s="26"/>
      <c r="B35" s="27"/>
      <c r="C35" s="27"/>
      <c r="D35" s="27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</row>
    <row r="36" spans="1:27" x14ac:dyDescent="0.3">
      <c r="A36" s="28"/>
      <c r="B36" s="27"/>
      <c r="C36" s="27"/>
      <c r="D36" s="27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</row>
    <row r="37" spans="1:27" x14ac:dyDescent="0.3">
      <c r="A37" s="2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</row>
    <row r="38" spans="1:27" x14ac:dyDescent="0.3">
      <c r="A38" s="2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</row>
    <row r="39" spans="1:27" x14ac:dyDescent="0.3">
      <c r="A39" s="2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</row>
    <row r="40" spans="1:27" x14ac:dyDescent="0.3">
      <c r="A40" s="25"/>
      <c r="B40" s="15"/>
      <c r="C40" s="9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</row>
    <row r="41" spans="1:27" x14ac:dyDescent="0.3">
      <c r="A41" s="25"/>
      <c r="B41" s="9"/>
      <c r="C41" s="9"/>
      <c r="D41" s="9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</row>
    <row r="42" spans="1:27" x14ac:dyDescent="0.3">
      <c r="A42" s="17"/>
      <c r="B42" s="9"/>
      <c r="C42" s="9"/>
      <c r="D42" s="9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</row>
    <row r="43" spans="1:27" x14ac:dyDescent="0.3">
      <c r="A43" s="2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</row>
    <row r="44" spans="1:27" x14ac:dyDescent="0.3">
      <c r="A44" s="25"/>
      <c r="B44" s="15"/>
      <c r="C44" s="9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</row>
    <row r="45" spans="1:27" x14ac:dyDescent="0.3">
      <c r="A45" s="25"/>
      <c r="B45" s="9"/>
      <c r="C45" s="9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</row>
    <row r="46" spans="1:27" x14ac:dyDescent="0.3">
      <c r="A46" s="17"/>
      <c r="B46" s="9"/>
      <c r="C46" s="9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</row>
    <row r="47" spans="1:27" x14ac:dyDescent="0.3">
      <c r="A47" s="2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</row>
    <row r="48" spans="1:27" x14ac:dyDescent="0.3">
      <c r="A48" s="25"/>
      <c r="B48" s="15"/>
      <c r="C48" s="9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</row>
    <row r="49" spans="1:27" x14ac:dyDescent="0.3">
      <c r="A49" s="25"/>
      <c r="B49" s="9"/>
      <c r="C49" s="9"/>
      <c r="D49" s="9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</row>
    <row r="50" spans="1:27" x14ac:dyDescent="0.3">
      <c r="A50" s="17"/>
      <c r="B50" s="9"/>
      <c r="C50" s="9"/>
      <c r="D50" s="9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</row>
    <row r="51" spans="1:27" x14ac:dyDescent="0.3">
      <c r="A51" s="2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</row>
    <row r="52" spans="1:27" x14ac:dyDescent="0.3">
      <c r="A52" s="25"/>
      <c r="B52" s="15"/>
      <c r="C52" s="9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</row>
    <row r="53" spans="1:27" x14ac:dyDescent="0.3">
      <c r="A53" s="25"/>
      <c r="B53" s="9"/>
      <c r="C53" s="9"/>
      <c r="D53" s="9"/>
      <c r="E53" s="9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</row>
    <row r="54" spans="1:27" x14ac:dyDescent="0.3">
      <c r="A54" s="17"/>
      <c r="B54" s="9"/>
      <c r="C54" s="9"/>
      <c r="D54" s="9"/>
      <c r="E54" s="9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</row>
    <row r="55" spans="1:27" x14ac:dyDescent="0.3">
      <c r="A55" s="17"/>
      <c r="B55" s="9"/>
      <c r="C55" s="9"/>
      <c r="D55" s="9"/>
      <c r="E55" s="9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</row>
    <row r="56" spans="1:27" x14ac:dyDescent="0.3">
      <c r="A56" s="2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</row>
    <row r="57" spans="1:27" x14ac:dyDescent="0.3">
      <c r="A57" s="2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</row>
    <row r="58" spans="1:27" x14ac:dyDescent="0.3">
      <c r="A58" s="2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</row>
    <row r="59" spans="1:27" x14ac:dyDescent="0.3">
      <c r="A59" s="2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</row>
    <row r="60" spans="1:27" x14ac:dyDescent="0.3">
      <c r="A60" s="2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</row>
    <row r="61" spans="1:27" x14ac:dyDescent="0.3">
      <c r="A61" s="2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</row>
    <row r="62" spans="1:27" x14ac:dyDescent="0.3">
      <c r="A62" s="2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</row>
    <row r="63" spans="1:27" x14ac:dyDescent="0.3">
      <c r="A63" s="2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</row>
  </sheetData>
  <mergeCells count="2">
    <mergeCell ref="A33:O33"/>
    <mergeCell ref="A1:G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A9DBD-3F56-4320-80EA-B5DBDB2DF94E}">
  <dimension ref="A1:AL39"/>
  <sheetViews>
    <sheetView topLeftCell="A21" workbookViewId="0">
      <selection activeCell="K35" sqref="K35"/>
    </sheetView>
  </sheetViews>
  <sheetFormatPr defaultRowHeight="14.4" x14ac:dyDescent="0.3"/>
  <cols>
    <col min="1" max="1" width="18.6640625" style="84" customWidth="1"/>
    <col min="2" max="15" width="10.6640625" customWidth="1"/>
  </cols>
  <sheetData>
    <row r="1" spans="1:38" ht="15" thickBot="1" x14ac:dyDescent="0.35">
      <c r="A1" s="89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Q1" s="12"/>
      <c r="R1" s="21"/>
      <c r="S1" s="21"/>
      <c r="T1" s="21"/>
      <c r="U1" s="21"/>
      <c r="V1" s="21"/>
    </row>
    <row r="2" spans="1:38" ht="27.9" customHeight="1" thickBot="1" x14ac:dyDescent="0.35">
      <c r="A2" s="23" t="s">
        <v>17</v>
      </c>
      <c r="P2" s="14"/>
      <c r="Q2" s="13"/>
      <c r="R2" s="13"/>
      <c r="S2" s="13"/>
      <c r="T2" s="13"/>
      <c r="U2" s="13"/>
      <c r="V2" s="13"/>
    </row>
    <row r="3" spans="1:38" ht="27.9" customHeight="1" thickBot="1" x14ac:dyDescent="0.35">
      <c r="A3" s="90" t="s">
        <v>18</v>
      </c>
      <c r="B3" s="119" t="s">
        <v>22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1"/>
      <c r="P3" s="12"/>
    </row>
    <row r="4" spans="1:38" ht="30" customHeight="1" x14ac:dyDescent="0.3">
      <c r="A4" s="29" t="s">
        <v>40</v>
      </c>
      <c r="B4" s="32">
        <v>43630</v>
      </c>
      <c r="C4" s="32">
        <v>43634</v>
      </c>
      <c r="D4" s="32">
        <v>43638</v>
      </c>
      <c r="E4" s="32">
        <v>43643</v>
      </c>
      <c r="F4" s="32">
        <v>43650</v>
      </c>
      <c r="G4" s="32">
        <v>43656</v>
      </c>
      <c r="H4" s="32">
        <v>43664</v>
      </c>
      <c r="I4" s="32">
        <v>43671</v>
      </c>
      <c r="J4" s="32">
        <v>43678</v>
      </c>
      <c r="K4" s="32">
        <v>43684</v>
      </c>
      <c r="L4" s="32">
        <v>43692</v>
      </c>
      <c r="M4" s="32">
        <v>43698</v>
      </c>
      <c r="N4" s="32">
        <v>43705</v>
      </c>
      <c r="O4" s="32">
        <v>43712</v>
      </c>
      <c r="P4" s="12"/>
    </row>
    <row r="5" spans="1:38" ht="30" customHeight="1" x14ac:dyDescent="0.3">
      <c r="A5" s="103" t="s">
        <v>84</v>
      </c>
      <c r="B5" s="104">
        <v>165</v>
      </c>
      <c r="C5" s="104" t="s">
        <v>100</v>
      </c>
      <c r="D5" s="104" t="s">
        <v>86</v>
      </c>
      <c r="E5" s="104" t="s">
        <v>101</v>
      </c>
      <c r="F5" s="104" t="s">
        <v>102</v>
      </c>
      <c r="G5" s="104" t="s">
        <v>103</v>
      </c>
      <c r="H5" s="104" t="s">
        <v>104</v>
      </c>
      <c r="I5" s="104" t="s">
        <v>105</v>
      </c>
      <c r="J5" s="104" t="s">
        <v>106</v>
      </c>
      <c r="K5" s="104" t="s">
        <v>107</v>
      </c>
      <c r="L5" s="104" t="s">
        <v>108</v>
      </c>
      <c r="M5" s="104" t="s">
        <v>109</v>
      </c>
      <c r="N5" s="104" t="s">
        <v>110</v>
      </c>
      <c r="O5" s="104" t="s">
        <v>111</v>
      </c>
      <c r="P5" s="12"/>
    </row>
    <row r="6" spans="1:38" ht="30" customHeight="1" x14ac:dyDescent="0.3">
      <c r="A6" s="29" t="s">
        <v>39</v>
      </c>
      <c r="B6" s="56" t="s">
        <v>13</v>
      </c>
      <c r="C6" s="56" t="s">
        <v>20</v>
      </c>
      <c r="D6" s="56" t="s">
        <v>14</v>
      </c>
      <c r="E6" s="56" t="s">
        <v>3</v>
      </c>
      <c r="F6" s="56" t="s">
        <v>4</v>
      </c>
      <c r="G6" s="56" t="s">
        <v>5</v>
      </c>
      <c r="H6" s="56" t="s">
        <v>6</v>
      </c>
      <c r="I6" s="56" t="s">
        <v>7</v>
      </c>
      <c r="J6" s="56" t="s">
        <v>8</v>
      </c>
      <c r="K6" s="56" t="s">
        <v>9</v>
      </c>
      <c r="L6" s="57" t="s">
        <v>0</v>
      </c>
      <c r="M6" s="58" t="s">
        <v>1</v>
      </c>
      <c r="N6" s="57" t="s">
        <v>2</v>
      </c>
      <c r="O6" s="59" t="s">
        <v>53</v>
      </c>
      <c r="Q6" s="125" t="s">
        <v>32</v>
      </c>
      <c r="R6" s="126"/>
      <c r="S6" s="126"/>
      <c r="T6" s="127"/>
    </row>
    <row r="7" spans="1:38" ht="30" customHeight="1" x14ac:dyDescent="0.3">
      <c r="A7" s="91" t="s">
        <v>36</v>
      </c>
      <c r="B7" s="3">
        <v>48</v>
      </c>
      <c r="C7" s="3">
        <v>37</v>
      </c>
      <c r="D7" s="3">
        <v>32</v>
      </c>
      <c r="E7" s="3">
        <v>29</v>
      </c>
      <c r="F7" s="3">
        <v>44</v>
      </c>
      <c r="G7" s="3">
        <v>45</v>
      </c>
      <c r="H7" s="3">
        <v>47</v>
      </c>
      <c r="I7" s="3">
        <v>47</v>
      </c>
      <c r="J7" s="3">
        <v>49</v>
      </c>
      <c r="K7" s="3">
        <v>50</v>
      </c>
      <c r="L7" s="3">
        <v>57</v>
      </c>
      <c r="M7" s="55">
        <v>55</v>
      </c>
      <c r="N7" s="3">
        <v>53</v>
      </c>
      <c r="O7" s="3">
        <v>56</v>
      </c>
      <c r="Q7" s="1" t="s">
        <v>99</v>
      </c>
      <c r="R7" s="1"/>
      <c r="S7" s="1" t="s">
        <v>98</v>
      </c>
      <c r="W7" s="1"/>
      <c r="X7" s="1"/>
      <c r="Y7" s="1"/>
      <c r="Z7" s="1"/>
      <c r="AA7" s="1"/>
      <c r="AB7" s="1"/>
      <c r="AL7" s="1"/>
    </row>
    <row r="8" spans="1:38" ht="30" customHeight="1" x14ac:dyDescent="0.3">
      <c r="A8" s="81" t="s">
        <v>74</v>
      </c>
      <c r="B8" s="3">
        <v>91</v>
      </c>
      <c r="C8" s="3">
        <v>-3</v>
      </c>
      <c r="D8" s="3">
        <v>31</v>
      </c>
      <c r="E8" s="3">
        <v>7</v>
      </c>
      <c r="F8" s="3">
        <v>99</v>
      </c>
      <c r="G8" s="3">
        <v>94</v>
      </c>
      <c r="H8" s="3">
        <v>-4</v>
      </c>
      <c r="I8" s="3">
        <v>-38</v>
      </c>
      <c r="J8" s="3">
        <v>-32</v>
      </c>
      <c r="K8" s="3">
        <v>-39</v>
      </c>
      <c r="L8" s="3">
        <v>-60</v>
      </c>
      <c r="M8" s="55">
        <v>-2</v>
      </c>
      <c r="N8" s="3">
        <v>-45</v>
      </c>
      <c r="O8" s="11">
        <v>-24</v>
      </c>
      <c r="Q8" s="107">
        <f>AVERAGE(B8:O8)</f>
        <v>5.3571428571428568</v>
      </c>
      <c r="R8" s="1" t="s">
        <v>120</v>
      </c>
      <c r="S8" s="1">
        <f>AVERAGE(H8:O8)</f>
        <v>-30.5</v>
      </c>
      <c r="W8" s="1"/>
      <c r="X8" s="1"/>
      <c r="Y8" s="1"/>
      <c r="Z8" s="1"/>
      <c r="AA8" s="1"/>
      <c r="AB8" s="1"/>
      <c r="AL8" s="1"/>
    </row>
    <row r="9" spans="1:38" ht="15" thickBot="1" x14ac:dyDescent="0.35">
      <c r="A9" s="92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1"/>
      <c r="N9" s="1"/>
      <c r="R9" t="s">
        <v>121</v>
      </c>
      <c r="S9">
        <v>-60</v>
      </c>
    </row>
    <row r="10" spans="1:38" ht="27.9" customHeight="1" thickBot="1" x14ac:dyDescent="0.35">
      <c r="A10" s="93"/>
      <c r="B10" s="122" t="s">
        <v>21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4"/>
    </row>
    <row r="11" spans="1:38" ht="30" customHeight="1" x14ac:dyDescent="0.3">
      <c r="A11" s="81" t="s">
        <v>40</v>
      </c>
      <c r="B11" s="31">
        <v>43630</v>
      </c>
      <c r="C11" s="31">
        <v>43634</v>
      </c>
      <c r="D11" s="31">
        <v>43638</v>
      </c>
      <c r="E11" s="31">
        <v>43643</v>
      </c>
      <c r="F11" s="31">
        <v>43650</v>
      </c>
      <c r="G11" s="31">
        <v>43656</v>
      </c>
      <c r="H11" s="31">
        <v>43664</v>
      </c>
      <c r="I11" s="31">
        <v>43671</v>
      </c>
      <c r="J11" s="31">
        <v>43678</v>
      </c>
      <c r="K11" s="31">
        <v>43684</v>
      </c>
      <c r="L11" s="31">
        <v>43692</v>
      </c>
      <c r="M11" s="31">
        <v>43698</v>
      </c>
      <c r="N11" s="31">
        <v>43705</v>
      </c>
      <c r="O11" s="32">
        <v>43712</v>
      </c>
    </row>
    <row r="12" spans="1:38" ht="30" customHeight="1" x14ac:dyDescent="0.3">
      <c r="A12" s="29" t="s">
        <v>39</v>
      </c>
      <c r="B12" s="18" t="s">
        <v>13</v>
      </c>
      <c r="C12" s="18" t="s">
        <v>20</v>
      </c>
      <c r="D12" s="18" t="s">
        <v>14</v>
      </c>
      <c r="E12" s="18" t="s">
        <v>3</v>
      </c>
      <c r="F12" s="18" t="s">
        <v>4</v>
      </c>
      <c r="G12" s="18" t="s">
        <v>5</v>
      </c>
      <c r="H12" s="18" t="s">
        <v>6</v>
      </c>
      <c r="I12" s="18" t="s">
        <v>7</v>
      </c>
      <c r="J12" s="18" t="s">
        <v>8</v>
      </c>
      <c r="K12" s="18" t="s">
        <v>9</v>
      </c>
      <c r="L12" s="8" t="s">
        <v>0</v>
      </c>
      <c r="M12" s="55" t="s">
        <v>1</v>
      </c>
      <c r="N12" s="8" t="s">
        <v>2</v>
      </c>
      <c r="O12" s="2" t="s">
        <v>53</v>
      </c>
      <c r="R12" s="99"/>
    </row>
    <row r="13" spans="1:38" ht="30" customHeight="1" x14ac:dyDescent="0.3">
      <c r="A13" s="94" t="s">
        <v>73</v>
      </c>
      <c r="B13" s="19">
        <v>8</v>
      </c>
      <c r="C13" s="19">
        <v>7</v>
      </c>
      <c r="D13" s="19">
        <v>-14</v>
      </c>
      <c r="E13" s="19">
        <v>-20</v>
      </c>
      <c r="F13" s="19">
        <v>-27</v>
      </c>
      <c r="G13" s="19">
        <v>-33</v>
      </c>
      <c r="H13" s="19">
        <v>-34</v>
      </c>
      <c r="I13" s="19">
        <v>-39</v>
      </c>
      <c r="J13" s="19">
        <v>-42</v>
      </c>
      <c r="K13" s="19">
        <v>-45</v>
      </c>
      <c r="L13" s="19">
        <v>-51</v>
      </c>
      <c r="M13" s="64"/>
      <c r="N13" s="19">
        <v>-59</v>
      </c>
      <c r="O13" s="54">
        <v>-61</v>
      </c>
      <c r="P13" s="109" t="s">
        <v>122</v>
      </c>
      <c r="Q13" s="1"/>
      <c r="R13" s="99"/>
      <c r="S13" s="1"/>
      <c r="T13" s="1"/>
      <c r="U13" s="1"/>
      <c r="V13" s="1"/>
      <c r="W13" s="1"/>
      <c r="X13" s="1"/>
    </row>
    <row r="14" spans="1:38" ht="30" customHeight="1" x14ac:dyDescent="0.3">
      <c r="A14" s="81" t="s">
        <v>55</v>
      </c>
      <c r="B14" s="19">
        <f>ABS(B$13-B$8)</f>
        <v>83</v>
      </c>
      <c r="C14" s="19">
        <f t="shared" ref="C14:O14" si="0">ABS(C$13-C$8)</f>
        <v>10</v>
      </c>
      <c r="D14" s="19">
        <f t="shared" si="0"/>
        <v>45</v>
      </c>
      <c r="E14" s="19">
        <f t="shared" si="0"/>
        <v>27</v>
      </c>
      <c r="F14" s="19">
        <f t="shared" si="0"/>
        <v>126</v>
      </c>
      <c r="G14" s="19">
        <f t="shared" si="0"/>
        <v>127</v>
      </c>
      <c r="H14" s="19">
        <f t="shared" si="0"/>
        <v>30</v>
      </c>
      <c r="I14" s="19">
        <f t="shared" si="0"/>
        <v>1</v>
      </c>
      <c r="J14" s="19">
        <f t="shared" si="0"/>
        <v>10</v>
      </c>
      <c r="K14" s="19">
        <f t="shared" si="0"/>
        <v>6</v>
      </c>
      <c r="L14" s="19">
        <f t="shared" si="0"/>
        <v>9</v>
      </c>
      <c r="M14" s="19">
        <f t="shared" si="0"/>
        <v>2</v>
      </c>
      <c r="N14" s="19">
        <f t="shared" si="0"/>
        <v>14</v>
      </c>
      <c r="O14" s="19">
        <f t="shared" si="0"/>
        <v>37</v>
      </c>
      <c r="P14" s="108">
        <f>AVERAGE(B14:O14)</f>
        <v>37.642857142857146</v>
      </c>
    </row>
    <row r="15" spans="1:38" x14ac:dyDescent="0.3">
      <c r="A15" s="84" t="s">
        <v>128</v>
      </c>
      <c r="B15" s="4"/>
      <c r="C15" s="4"/>
      <c r="D15" s="4"/>
      <c r="E15" s="4"/>
      <c r="F15" s="4">
        <v>1</v>
      </c>
      <c r="G15" s="4">
        <v>1</v>
      </c>
      <c r="H15" s="4"/>
      <c r="I15" s="4"/>
      <c r="J15" s="4"/>
      <c r="K15" s="4"/>
      <c r="L15" s="4">
        <v>1</v>
      </c>
      <c r="P15">
        <v>3</v>
      </c>
    </row>
    <row r="16" spans="1:38" x14ac:dyDescent="0.3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35" x14ac:dyDescent="0.3">
      <c r="A17" s="84" t="s">
        <v>129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N17">
        <v>1</v>
      </c>
      <c r="P17">
        <v>1</v>
      </c>
    </row>
    <row r="18" spans="1:35" x14ac:dyDescent="0.3"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35" ht="15" thickBot="1" x14ac:dyDescent="0.35"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</row>
    <row r="20" spans="1:35" ht="27.9" customHeight="1" thickBot="1" x14ac:dyDescent="0.35">
      <c r="A20" s="90" t="s">
        <v>19</v>
      </c>
      <c r="B20" s="119" t="s">
        <v>22</v>
      </c>
      <c r="C20" s="120"/>
      <c r="D20" s="120"/>
      <c r="E20" s="120"/>
      <c r="F20" s="120"/>
      <c r="G20" s="120"/>
      <c r="H20" s="120"/>
      <c r="I20" s="120"/>
      <c r="J20" s="120"/>
      <c r="K20" s="120"/>
      <c r="L20" s="120"/>
      <c r="M20" s="120"/>
      <c r="N20" s="120"/>
      <c r="O20" s="121"/>
      <c r="P20" s="37"/>
    </row>
    <row r="21" spans="1:35" ht="30" customHeight="1" x14ac:dyDescent="0.3">
      <c r="A21" s="29" t="s">
        <v>40</v>
      </c>
      <c r="B21" s="32">
        <v>43630</v>
      </c>
      <c r="C21" s="32">
        <v>43634</v>
      </c>
      <c r="D21" s="32">
        <v>43638</v>
      </c>
      <c r="E21" s="32">
        <v>43643</v>
      </c>
      <c r="F21" s="32">
        <v>43650</v>
      </c>
      <c r="G21" s="32">
        <v>43656</v>
      </c>
      <c r="H21" s="32">
        <v>43664</v>
      </c>
      <c r="I21" s="32">
        <v>43671</v>
      </c>
      <c r="J21" s="32">
        <v>43678</v>
      </c>
      <c r="K21" s="32">
        <v>43684</v>
      </c>
      <c r="L21" s="32">
        <v>43692</v>
      </c>
      <c r="M21" s="32">
        <v>43698</v>
      </c>
      <c r="N21" s="32">
        <v>43705</v>
      </c>
      <c r="O21" s="32">
        <v>43712</v>
      </c>
    </row>
    <row r="22" spans="1:35" ht="30" customHeight="1" x14ac:dyDescent="0.3">
      <c r="A22" s="29" t="s">
        <v>39</v>
      </c>
      <c r="B22" s="79" t="s">
        <v>13</v>
      </c>
      <c r="C22" s="56" t="s">
        <v>20</v>
      </c>
      <c r="D22" s="56" t="s">
        <v>14</v>
      </c>
      <c r="E22" s="60" t="s">
        <v>3</v>
      </c>
      <c r="F22" s="62" t="s">
        <v>4</v>
      </c>
      <c r="G22" s="62" t="s">
        <v>5</v>
      </c>
      <c r="H22" s="62" t="s">
        <v>6</v>
      </c>
      <c r="I22" s="60" t="s">
        <v>7</v>
      </c>
      <c r="J22" s="63" t="s">
        <v>8</v>
      </c>
      <c r="K22" s="60" t="s">
        <v>9</v>
      </c>
      <c r="L22" s="61" t="s">
        <v>0</v>
      </c>
      <c r="M22" s="61" t="s">
        <v>1</v>
      </c>
      <c r="N22" s="61" t="s">
        <v>2</v>
      </c>
      <c r="O22" s="59" t="s">
        <v>53</v>
      </c>
      <c r="P22" s="9"/>
      <c r="Q22" s="125" t="s">
        <v>32</v>
      </c>
      <c r="R22" s="126"/>
      <c r="S22" s="126"/>
      <c r="T22" s="127"/>
      <c r="U22" s="9"/>
      <c r="V22" s="9"/>
      <c r="AF22" s="1"/>
      <c r="AG22" s="1"/>
      <c r="AH22" s="1"/>
      <c r="AI22" s="1"/>
    </row>
    <row r="23" spans="1:35" ht="30" customHeight="1" x14ac:dyDescent="0.3">
      <c r="A23" s="103" t="s">
        <v>84</v>
      </c>
      <c r="B23" s="104">
        <v>165</v>
      </c>
      <c r="C23" s="104" t="s">
        <v>100</v>
      </c>
      <c r="D23" s="104" t="s">
        <v>86</v>
      </c>
      <c r="E23" s="104" t="s">
        <v>101</v>
      </c>
      <c r="F23" s="104" t="s">
        <v>102</v>
      </c>
      <c r="G23" s="104" t="s">
        <v>103</v>
      </c>
      <c r="H23" s="104" t="s">
        <v>104</v>
      </c>
      <c r="I23" s="104" t="s">
        <v>105</v>
      </c>
      <c r="J23" s="104" t="s">
        <v>106</v>
      </c>
      <c r="K23" s="104" t="s">
        <v>107</v>
      </c>
      <c r="L23" s="104" t="s">
        <v>108</v>
      </c>
      <c r="M23" s="104" t="s">
        <v>109</v>
      </c>
      <c r="N23" s="104" t="s">
        <v>110</v>
      </c>
      <c r="O23" s="104" t="s">
        <v>111</v>
      </c>
      <c r="P23" s="9"/>
      <c r="Q23" s="105"/>
      <c r="R23" s="105"/>
      <c r="S23" s="105"/>
      <c r="T23" s="105"/>
      <c r="U23" s="9"/>
      <c r="V23" s="9"/>
      <c r="AF23" s="1"/>
      <c r="AG23" s="1"/>
      <c r="AH23" s="1"/>
      <c r="AI23" s="1"/>
    </row>
    <row r="24" spans="1:35" s="1" customFormat="1" ht="30" customHeight="1" x14ac:dyDescent="0.3">
      <c r="A24" s="95" t="s">
        <v>37</v>
      </c>
      <c r="B24" s="80">
        <v>48</v>
      </c>
      <c r="C24" s="3">
        <v>41</v>
      </c>
      <c r="D24" s="3">
        <v>48</v>
      </c>
      <c r="E24" s="3">
        <v>71</v>
      </c>
      <c r="F24" s="3">
        <v>92</v>
      </c>
      <c r="G24" s="3">
        <v>66</v>
      </c>
      <c r="H24" s="3">
        <v>73</v>
      </c>
      <c r="I24" s="3">
        <v>47</v>
      </c>
      <c r="J24" s="55">
        <v>85</v>
      </c>
      <c r="K24" s="3">
        <v>44</v>
      </c>
      <c r="L24" s="3">
        <v>85</v>
      </c>
      <c r="M24" s="3">
        <v>81</v>
      </c>
      <c r="N24" s="3">
        <v>86</v>
      </c>
      <c r="O24" s="3">
        <v>44</v>
      </c>
      <c r="P24" s="9"/>
      <c r="Q24" s="9" t="s">
        <v>122</v>
      </c>
      <c r="R24" s="9" t="s">
        <v>121</v>
      </c>
      <c r="S24" s="9"/>
      <c r="T24" s="9"/>
      <c r="U24" s="9"/>
    </row>
    <row r="25" spans="1:35" s="1" customFormat="1" ht="30" customHeight="1" x14ac:dyDescent="0.3">
      <c r="A25" s="81" t="s">
        <v>74</v>
      </c>
      <c r="B25" s="80">
        <v>126</v>
      </c>
      <c r="C25" s="3">
        <v>-26</v>
      </c>
      <c r="D25" s="3">
        <v>-17</v>
      </c>
      <c r="E25" s="3">
        <v>-74</v>
      </c>
      <c r="F25" s="3">
        <v>2</v>
      </c>
      <c r="G25" s="3">
        <v>31</v>
      </c>
      <c r="H25" s="3">
        <v>66</v>
      </c>
      <c r="I25" s="3">
        <v>-80</v>
      </c>
      <c r="J25" s="11">
        <v>-69</v>
      </c>
      <c r="K25" s="3">
        <v>-62</v>
      </c>
      <c r="L25" s="3">
        <v>-71</v>
      </c>
      <c r="M25" s="3">
        <v>-36</v>
      </c>
      <c r="N25" s="3">
        <v>-74</v>
      </c>
      <c r="O25" s="3">
        <v>-36</v>
      </c>
      <c r="P25" s="9"/>
      <c r="Q25" s="114">
        <f>AVERAGE(C25:O25)</f>
        <v>-34.307692307692307</v>
      </c>
      <c r="R25" s="9">
        <v>-80</v>
      </c>
      <c r="S25" s="9"/>
      <c r="T25" s="9"/>
      <c r="U25" s="9"/>
    </row>
    <row r="26" spans="1:35" ht="15" thickBot="1" x14ac:dyDescent="0.35">
      <c r="A26" s="92"/>
      <c r="B26" s="5"/>
      <c r="C26" s="5"/>
      <c r="D26" s="5"/>
      <c r="E26" s="1"/>
      <c r="F26" s="1"/>
      <c r="L26" s="5"/>
      <c r="P26" s="15"/>
      <c r="Q26" s="15"/>
      <c r="R26" s="15"/>
      <c r="S26" s="15"/>
      <c r="T26" s="15"/>
      <c r="U26" s="15"/>
    </row>
    <row r="27" spans="1:35" ht="27.9" customHeight="1" thickBot="1" x14ac:dyDescent="0.35">
      <c r="A27" s="93"/>
      <c r="B27" s="122" t="s">
        <v>21</v>
      </c>
      <c r="C27" s="123"/>
      <c r="D27" s="123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4"/>
    </row>
    <row r="28" spans="1:35" ht="30" customHeight="1" x14ac:dyDescent="0.3">
      <c r="A28" s="81" t="s">
        <v>40</v>
      </c>
      <c r="B28" s="31">
        <v>43630</v>
      </c>
      <c r="C28" s="31">
        <v>43634</v>
      </c>
      <c r="D28" s="31">
        <v>43638</v>
      </c>
      <c r="E28" s="31">
        <v>43643</v>
      </c>
      <c r="F28" s="31">
        <v>43650</v>
      </c>
      <c r="G28" s="31">
        <v>43656</v>
      </c>
      <c r="H28" s="31">
        <v>43664</v>
      </c>
      <c r="I28" s="31">
        <v>43671</v>
      </c>
      <c r="J28" s="31">
        <v>43678</v>
      </c>
      <c r="K28" s="31">
        <v>43684</v>
      </c>
      <c r="L28" s="31">
        <v>43692</v>
      </c>
      <c r="M28" s="31">
        <v>43698</v>
      </c>
      <c r="N28" s="31">
        <v>43705</v>
      </c>
      <c r="O28" s="32">
        <v>43712</v>
      </c>
    </row>
    <row r="29" spans="1:35" ht="30" customHeight="1" x14ac:dyDescent="0.3">
      <c r="A29" s="29" t="s">
        <v>39</v>
      </c>
      <c r="B29" s="18" t="s">
        <v>13</v>
      </c>
      <c r="C29" s="18" t="s">
        <v>20</v>
      </c>
      <c r="D29" s="18" t="s">
        <v>14</v>
      </c>
      <c r="E29" s="22" t="s">
        <v>3</v>
      </c>
      <c r="F29" s="19" t="s">
        <v>4</v>
      </c>
      <c r="G29" s="19" t="s">
        <v>5</v>
      </c>
      <c r="H29" s="19" t="s">
        <v>6</v>
      </c>
      <c r="I29" s="22" t="s">
        <v>7</v>
      </c>
      <c r="J29" s="64" t="s">
        <v>8</v>
      </c>
      <c r="K29" s="22" t="s">
        <v>9</v>
      </c>
      <c r="L29" s="3" t="s">
        <v>0</v>
      </c>
      <c r="M29" s="3" t="s">
        <v>1</v>
      </c>
      <c r="N29" s="3" t="s">
        <v>2</v>
      </c>
      <c r="O29" s="54" t="s">
        <v>53</v>
      </c>
    </row>
    <row r="30" spans="1:35" ht="30" customHeight="1" x14ac:dyDescent="0.3">
      <c r="A30" s="94" t="s">
        <v>75</v>
      </c>
      <c r="B30" s="19">
        <v>4</v>
      </c>
      <c r="C30" s="19">
        <v>0</v>
      </c>
      <c r="D30" s="19">
        <v>-20</v>
      </c>
      <c r="E30" s="19">
        <v>-29</v>
      </c>
      <c r="F30" s="19">
        <v>-35</v>
      </c>
      <c r="G30" s="19">
        <v>-38</v>
      </c>
      <c r="H30" s="19">
        <v>-41</v>
      </c>
      <c r="I30" s="19">
        <v>-43</v>
      </c>
      <c r="J30" s="64">
        <v>-46</v>
      </c>
      <c r="K30" s="19">
        <v>-49</v>
      </c>
      <c r="L30" s="19">
        <v>-53</v>
      </c>
      <c r="M30" s="19">
        <v>-56</v>
      </c>
      <c r="N30" s="19">
        <v>-60</v>
      </c>
      <c r="O30" s="19">
        <v>-62</v>
      </c>
      <c r="P30" s="6">
        <f>AVERAGE(B30:O30)</f>
        <v>-37.714285714285715</v>
      </c>
    </row>
    <row r="31" spans="1:35" ht="30" customHeight="1" x14ac:dyDescent="0.3">
      <c r="A31" s="81" t="s">
        <v>55</v>
      </c>
      <c r="B31" s="11">
        <f>ABS(B$30-B$25)</f>
        <v>122</v>
      </c>
      <c r="C31" s="11">
        <f t="shared" ref="C31:O31" si="1">ABS(C$30-C$25)</f>
        <v>26</v>
      </c>
      <c r="D31" s="11">
        <f t="shared" si="1"/>
        <v>3</v>
      </c>
      <c r="E31" s="11">
        <f t="shared" si="1"/>
        <v>45</v>
      </c>
      <c r="F31" s="11">
        <f t="shared" si="1"/>
        <v>37</v>
      </c>
      <c r="G31" s="11">
        <f t="shared" si="1"/>
        <v>69</v>
      </c>
      <c r="H31" s="11">
        <f t="shared" si="1"/>
        <v>107</v>
      </c>
      <c r="I31" s="11">
        <f t="shared" si="1"/>
        <v>37</v>
      </c>
      <c r="J31" s="11">
        <f t="shared" si="1"/>
        <v>23</v>
      </c>
      <c r="K31" s="11">
        <f t="shared" si="1"/>
        <v>13</v>
      </c>
      <c r="L31" s="11">
        <f t="shared" si="1"/>
        <v>18</v>
      </c>
      <c r="M31" s="11">
        <f t="shared" si="1"/>
        <v>20</v>
      </c>
      <c r="N31" s="11">
        <f t="shared" si="1"/>
        <v>14</v>
      </c>
      <c r="O31" s="11">
        <f t="shared" si="1"/>
        <v>26</v>
      </c>
      <c r="P31" s="59">
        <f>AVERAGE(B31:O31)</f>
        <v>40</v>
      </c>
    </row>
    <row r="33" spans="1:31" x14ac:dyDescent="0.3">
      <c r="A33" s="84" t="s">
        <v>128</v>
      </c>
      <c r="B33" s="109">
        <v>1</v>
      </c>
      <c r="E33" s="109">
        <v>1</v>
      </c>
      <c r="I33" s="109">
        <v>1</v>
      </c>
    </row>
    <row r="35" spans="1:31" x14ac:dyDescent="0.3">
      <c r="A35" s="84" t="s">
        <v>129</v>
      </c>
      <c r="O35" s="109">
        <v>1</v>
      </c>
    </row>
    <row r="37" spans="1:31" x14ac:dyDescent="0.3"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9" spans="1:31" x14ac:dyDescent="0.3">
      <c r="A39" s="87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</row>
  </sheetData>
  <mergeCells count="6">
    <mergeCell ref="B3:O3"/>
    <mergeCell ref="B10:O10"/>
    <mergeCell ref="B27:O27"/>
    <mergeCell ref="B20:O20"/>
    <mergeCell ref="Q6:T6"/>
    <mergeCell ref="Q22:T2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75E1B-747D-47E0-9633-D1AC379F6319}">
  <dimension ref="A1:T27"/>
  <sheetViews>
    <sheetView topLeftCell="A6" workbookViewId="0">
      <selection activeCell="B16" sqref="B16"/>
    </sheetView>
  </sheetViews>
  <sheetFormatPr defaultRowHeight="14.4" x14ac:dyDescent="0.3"/>
  <cols>
    <col min="1" max="1" width="21.5546875" style="84" customWidth="1"/>
    <col min="2" max="15" width="10.6640625" customWidth="1"/>
  </cols>
  <sheetData>
    <row r="1" spans="1:20" ht="36" customHeight="1" x14ac:dyDescent="0.3">
      <c r="A1" s="96" t="s">
        <v>49</v>
      </c>
      <c r="B1" s="51" t="s">
        <v>50</v>
      </c>
      <c r="C1" s="52"/>
      <c r="D1" s="52"/>
      <c r="E1" s="52"/>
      <c r="F1" s="52"/>
      <c r="G1" s="52"/>
      <c r="H1" s="53"/>
      <c r="I1" s="53"/>
      <c r="J1" s="53"/>
      <c r="K1" s="53"/>
      <c r="L1" s="53"/>
      <c r="M1" s="53"/>
      <c r="N1" s="53"/>
    </row>
    <row r="2" spans="1:20" ht="36" customHeight="1" x14ac:dyDescent="0.3">
      <c r="A2" s="97"/>
      <c r="B2" s="49"/>
      <c r="C2" s="50"/>
      <c r="D2" s="50"/>
      <c r="E2" s="50"/>
      <c r="F2" s="50"/>
      <c r="G2" s="50"/>
    </row>
    <row r="3" spans="1:20" ht="15" thickBot="1" x14ac:dyDescent="0.35"/>
    <row r="4" spans="1:20" ht="27.9" customHeight="1" thickBot="1" x14ac:dyDescent="0.35">
      <c r="A4" s="23" t="s">
        <v>17</v>
      </c>
    </row>
    <row r="5" spans="1:20" ht="27.9" customHeight="1" thickBot="1" x14ac:dyDescent="0.35">
      <c r="A5" s="90" t="s">
        <v>44</v>
      </c>
      <c r="B5" s="119" t="s">
        <v>22</v>
      </c>
      <c r="C5" s="120"/>
      <c r="D5" s="120"/>
      <c r="E5" s="120"/>
      <c r="F5" s="120"/>
      <c r="G5" s="120"/>
      <c r="H5" s="120"/>
      <c r="I5" s="120"/>
      <c r="J5" s="120"/>
      <c r="K5" s="120"/>
      <c r="L5" s="120"/>
      <c r="M5" s="120"/>
      <c r="N5" s="120"/>
      <c r="O5" s="121"/>
    </row>
    <row r="6" spans="1:20" ht="30" customHeight="1" x14ac:dyDescent="0.3">
      <c r="A6" s="81" t="s">
        <v>40</v>
      </c>
      <c r="B6" s="32">
        <v>43630</v>
      </c>
      <c r="C6" s="32">
        <v>43636</v>
      </c>
      <c r="D6" s="32">
        <v>43638</v>
      </c>
      <c r="E6" s="32">
        <v>43644</v>
      </c>
      <c r="F6" s="32">
        <v>43651</v>
      </c>
      <c r="G6" s="32">
        <v>43658</v>
      </c>
      <c r="H6" s="32">
        <v>43665</v>
      </c>
      <c r="I6" s="32">
        <v>43672</v>
      </c>
      <c r="J6" s="32">
        <v>43679</v>
      </c>
      <c r="K6" s="32">
        <v>43686</v>
      </c>
      <c r="L6" s="32">
        <v>43693</v>
      </c>
      <c r="M6" s="32">
        <v>43700</v>
      </c>
      <c r="N6" s="32">
        <v>43706</v>
      </c>
      <c r="O6" s="32">
        <v>43714</v>
      </c>
    </row>
    <row r="7" spans="1:20" ht="30" customHeight="1" x14ac:dyDescent="0.3">
      <c r="A7" s="103" t="s">
        <v>84</v>
      </c>
      <c r="B7" s="104">
        <v>165</v>
      </c>
      <c r="C7" s="104" t="s">
        <v>85</v>
      </c>
      <c r="D7" s="104" t="s">
        <v>86</v>
      </c>
      <c r="E7" s="104" t="s">
        <v>87</v>
      </c>
      <c r="F7" s="104" t="s">
        <v>88</v>
      </c>
      <c r="G7" s="104" t="s">
        <v>89</v>
      </c>
      <c r="H7" s="104" t="s">
        <v>90</v>
      </c>
      <c r="I7" s="104" t="s">
        <v>91</v>
      </c>
      <c r="J7" s="104" t="s">
        <v>92</v>
      </c>
      <c r="K7" s="104" t="s">
        <v>93</v>
      </c>
      <c r="L7" s="104" t="s">
        <v>94</v>
      </c>
      <c r="M7" s="104" t="s">
        <v>95</v>
      </c>
      <c r="N7" s="104" t="s">
        <v>96</v>
      </c>
      <c r="O7" s="104" t="s">
        <v>97</v>
      </c>
    </row>
    <row r="8" spans="1:20" ht="30" customHeight="1" x14ac:dyDescent="0.3">
      <c r="A8" s="29" t="s">
        <v>39</v>
      </c>
      <c r="B8" s="66" t="s">
        <v>13</v>
      </c>
      <c r="C8" s="67" t="s">
        <v>10</v>
      </c>
      <c r="D8" s="67" t="s">
        <v>14</v>
      </c>
      <c r="E8" s="67" t="s">
        <v>15</v>
      </c>
      <c r="F8" s="67" t="s">
        <v>23</v>
      </c>
      <c r="G8" s="67" t="s">
        <v>12</v>
      </c>
      <c r="H8" s="67" t="s">
        <v>24</v>
      </c>
      <c r="I8" s="67" t="s">
        <v>25</v>
      </c>
      <c r="J8" s="67" t="s">
        <v>26</v>
      </c>
      <c r="K8" s="67" t="s">
        <v>27</v>
      </c>
      <c r="L8" s="68" t="s">
        <v>28</v>
      </c>
      <c r="M8" s="69" t="s">
        <v>29</v>
      </c>
      <c r="N8" s="69" t="s">
        <v>30</v>
      </c>
      <c r="O8" s="100" t="s">
        <v>11</v>
      </c>
      <c r="Q8" s="125" t="s">
        <v>33</v>
      </c>
      <c r="R8" s="126"/>
      <c r="S8" s="126"/>
      <c r="T8" s="127"/>
    </row>
    <row r="9" spans="1:20" ht="30" customHeight="1" x14ac:dyDescent="0.3">
      <c r="A9" s="91" t="s">
        <v>36</v>
      </c>
      <c r="B9" s="70">
        <v>51</v>
      </c>
      <c r="C9" s="70">
        <v>40</v>
      </c>
      <c r="D9" s="70">
        <v>51</v>
      </c>
      <c r="E9" s="70">
        <v>60</v>
      </c>
      <c r="F9" s="70">
        <v>46</v>
      </c>
      <c r="G9" s="70">
        <v>38</v>
      </c>
      <c r="H9" s="70">
        <v>53</v>
      </c>
      <c r="I9" s="70">
        <v>53</v>
      </c>
      <c r="J9" s="70">
        <v>51</v>
      </c>
      <c r="K9" s="70">
        <v>47</v>
      </c>
      <c r="L9" s="70">
        <v>34</v>
      </c>
      <c r="M9" s="70">
        <v>56</v>
      </c>
      <c r="N9" s="70">
        <v>45</v>
      </c>
      <c r="O9" s="71">
        <v>59</v>
      </c>
    </row>
    <row r="10" spans="1:20" ht="30" customHeight="1" x14ac:dyDescent="0.3">
      <c r="A10" s="81" t="s">
        <v>74</v>
      </c>
      <c r="B10" s="70">
        <v>38</v>
      </c>
      <c r="C10" s="70">
        <v>-64</v>
      </c>
      <c r="D10" s="70">
        <v>-86</v>
      </c>
      <c r="E10" s="70">
        <v>-97</v>
      </c>
      <c r="F10" s="70">
        <v>-66</v>
      </c>
      <c r="G10" s="70">
        <v>-63</v>
      </c>
      <c r="H10" s="70">
        <v>-80</v>
      </c>
      <c r="I10" s="70">
        <v>-81</v>
      </c>
      <c r="J10" s="70">
        <v>-80</v>
      </c>
      <c r="K10" s="70">
        <v>-73</v>
      </c>
      <c r="L10" s="70">
        <v>-72</v>
      </c>
      <c r="M10" s="70">
        <v>4</v>
      </c>
      <c r="N10" s="70">
        <v>-36</v>
      </c>
      <c r="O10" s="82">
        <v>2</v>
      </c>
      <c r="Q10" s="106">
        <f>AVERAGE(B10:O10)</f>
        <v>-53.857142857142854</v>
      </c>
      <c r="R10" s="106">
        <f>MIN(B10:O10)</f>
        <v>-97</v>
      </c>
    </row>
    <row r="11" spans="1:20" ht="15" thickBot="1" x14ac:dyDescent="0.35">
      <c r="A11" s="92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1"/>
      <c r="N11" s="1"/>
    </row>
    <row r="12" spans="1:20" ht="27.9" customHeight="1" thickBot="1" x14ac:dyDescent="0.35">
      <c r="A12" s="92"/>
      <c r="B12" s="122" t="s">
        <v>21</v>
      </c>
      <c r="C12" s="123"/>
      <c r="D12" s="123"/>
      <c r="E12" s="123"/>
      <c r="F12" s="123"/>
      <c r="G12" s="123"/>
      <c r="H12" s="123"/>
      <c r="I12" s="123"/>
      <c r="J12" s="123"/>
      <c r="K12" s="123"/>
      <c r="L12" s="123"/>
      <c r="M12" s="123"/>
      <c r="N12" s="123"/>
      <c r="O12" s="124"/>
      <c r="R12" s="99"/>
    </row>
    <row r="13" spans="1:20" ht="30" customHeight="1" x14ac:dyDescent="0.3">
      <c r="A13" s="81" t="s">
        <v>40</v>
      </c>
      <c r="B13" s="31">
        <v>43630</v>
      </c>
      <c r="C13" s="31">
        <v>43636</v>
      </c>
      <c r="D13" s="31">
        <v>43638</v>
      </c>
      <c r="E13" s="31">
        <v>43644</v>
      </c>
      <c r="F13" s="31">
        <v>43651</v>
      </c>
      <c r="G13" s="31">
        <v>43658</v>
      </c>
      <c r="H13" s="31">
        <v>43665</v>
      </c>
      <c r="I13" s="31">
        <v>43672</v>
      </c>
      <c r="J13" s="31">
        <v>43679</v>
      </c>
      <c r="K13" s="31">
        <v>43686</v>
      </c>
      <c r="L13" s="31">
        <v>43693</v>
      </c>
      <c r="M13" s="31">
        <v>43700</v>
      </c>
      <c r="N13" s="31">
        <v>43706</v>
      </c>
      <c r="O13" s="31">
        <v>43714</v>
      </c>
      <c r="R13" s="99"/>
    </row>
    <row r="14" spans="1:20" ht="30" customHeight="1" x14ac:dyDescent="0.3">
      <c r="A14" s="29" t="s">
        <v>39</v>
      </c>
      <c r="B14" s="18" t="s">
        <v>13</v>
      </c>
      <c r="C14" s="22" t="s">
        <v>10</v>
      </c>
      <c r="D14" s="22" t="s">
        <v>14</v>
      </c>
      <c r="E14" s="22" t="s">
        <v>15</v>
      </c>
      <c r="F14" s="22" t="s">
        <v>23</v>
      </c>
      <c r="G14" s="22" t="s">
        <v>12</v>
      </c>
      <c r="H14" s="22" t="s">
        <v>24</v>
      </c>
      <c r="I14" s="22" t="s">
        <v>25</v>
      </c>
      <c r="J14" s="22" t="s">
        <v>26</v>
      </c>
      <c r="K14" s="22" t="s">
        <v>27</v>
      </c>
      <c r="L14" s="8" t="s">
        <v>28</v>
      </c>
      <c r="M14" s="11" t="s">
        <v>29</v>
      </c>
      <c r="N14" s="11" t="s">
        <v>30</v>
      </c>
      <c r="O14" s="100" t="s">
        <v>11</v>
      </c>
    </row>
    <row r="15" spans="1:20" ht="30" customHeight="1" x14ac:dyDescent="0.3">
      <c r="A15" s="94" t="s">
        <v>75</v>
      </c>
      <c r="B15" s="19">
        <v>-18</v>
      </c>
      <c r="C15" s="19">
        <v>-53</v>
      </c>
      <c r="D15" s="19">
        <v>-64</v>
      </c>
      <c r="E15" s="19">
        <v>-78</v>
      </c>
      <c r="F15" s="19">
        <v>-87</v>
      </c>
      <c r="G15" s="19">
        <v>-91</v>
      </c>
      <c r="H15" s="19">
        <v>-90</v>
      </c>
      <c r="I15" s="19">
        <v>-92</v>
      </c>
      <c r="J15" s="19">
        <v>-93</v>
      </c>
      <c r="K15" s="19">
        <v>-95</v>
      </c>
      <c r="L15" s="19">
        <v>-96</v>
      </c>
      <c r="M15" s="19">
        <v>-96</v>
      </c>
      <c r="N15" s="19">
        <v>-97</v>
      </c>
      <c r="O15" s="19">
        <v>-97</v>
      </c>
      <c r="P15" s="109" t="s">
        <v>122</v>
      </c>
    </row>
    <row r="16" spans="1:20" ht="30" customHeight="1" x14ac:dyDescent="0.3">
      <c r="A16" s="83" t="s">
        <v>55</v>
      </c>
      <c r="B16" s="11">
        <f>ABS(B$15-B$10)</f>
        <v>56</v>
      </c>
      <c r="C16" s="11">
        <f t="shared" ref="C16:O16" si="0">ABS(C$15-C$10)</f>
        <v>11</v>
      </c>
      <c r="D16" s="11">
        <f t="shared" si="0"/>
        <v>22</v>
      </c>
      <c r="E16" s="11">
        <f t="shared" si="0"/>
        <v>19</v>
      </c>
      <c r="F16" s="11">
        <f t="shared" si="0"/>
        <v>21</v>
      </c>
      <c r="G16" s="11">
        <f t="shared" si="0"/>
        <v>28</v>
      </c>
      <c r="H16" s="11">
        <f t="shared" si="0"/>
        <v>10</v>
      </c>
      <c r="I16" s="11">
        <f t="shared" si="0"/>
        <v>11</v>
      </c>
      <c r="J16" s="11">
        <f t="shared" si="0"/>
        <v>13</v>
      </c>
      <c r="K16" s="11">
        <f t="shared" si="0"/>
        <v>22</v>
      </c>
      <c r="L16" s="11">
        <f t="shared" si="0"/>
        <v>24</v>
      </c>
      <c r="M16" s="11">
        <f t="shared" si="0"/>
        <v>100</v>
      </c>
      <c r="N16" s="11">
        <f t="shared" si="0"/>
        <v>61</v>
      </c>
      <c r="O16" s="11">
        <f t="shared" si="0"/>
        <v>99</v>
      </c>
      <c r="P16" s="108">
        <f>AVERAGE(B16:O16)</f>
        <v>35.5</v>
      </c>
    </row>
    <row r="18" spans="1:20" x14ac:dyDescent="0.3">
      <c r="A18" s="84" t="s">
        <v>128</v>
      </c>
      <c r="O18" s="12"/>
      <c r="P18" s="109">
        <v>0</v>
      </c>
    </row>
    <row r="19" spans="1:20" ht="16.8" customHeight="1" x14ac:dyDescent="0.3"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"/>
      <c r="Q19" s="12"/>
      <c r="R19" s="12"/>
      <c r="S19" s="12"/>
      <c r="T19" s="12"/>
    </row>
    <row r="20" spans="1:20" ht="12.6" customHeight="1" x14ac:dyDescent="0.3">
      <c r="A20" s="84" t="s">
        <v>129</v>
      </c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113">
        <v>1</v>
      </c>
      <c r="N20" s="113">
        <v>1</v>
      </c>
      <c r="O20" s="113">
        <v>1</v>
      </c>
      <c r="P20" s="113">
        <v>3</v>
      </c>
      <c r="Q20" s="12"/>
      <c r="R20" s="12"/>
      <c r="S20" s="12"/>
      <c r="T20" s="12"/>
    </row>
    <row r="21" spans="1:20" ht="30" customHeight="1" x14ac:dyDescent="0.3">
      <c r="A21" s="40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9"/>
      <c r="M21" s="9"/>
      <c r="N21" s="9"/>
      <c r="O21" s="9"/>
      <c r="P21" s="12"/>
      <c r="Q21" s="130"/>
      <c r="R21" s="130"/>
      <c r="S21" s="130"/>
      <c r="T21" s="130"/>
    </row>
    <row r="22" spans="1:20" ht="30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9"/>
      <c r="K22" s="9"/>
      <c r="L22" s="9"/>
      <c r="M22" s="9"/>
      <c r="N22" s="9"/>
      <c r="O22" s="9"/>
      <c r="P22" s="12"/>
      <c r="Q22" s="12"/>
      <c r="R22" s="12"/>
      <c r="S22" s="12"/>
      <c r="T22" s="12"/>
    </row>
    <row r="23" spans="1:20" x14ac:dyDescent="0.3">
      <c r="A23" s="98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15"/>
      <c r="N23" s="15"/>
      <c r="O23" s="15"/>
      <c r="P23" s="12"/>
      <c r="Q23" s="12"/>
      <c r="R23" s="12"/>
      <c r="S23" s="12"/>
      <c r="T23" s="12"/>
    </row>
    <row r="24" spans="1:20" ht="27.9" customHeight="1" x14ac:dyDescent="0.3">
      <c r="A24" s="98"/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  <c r="N24" s="128"/>
      <c r="O24" s="128"/>
      <c r="P24" s="12"/>
      <c r="Q24" s="12"/>
      <c r="R24" s="12"/>
      <c r="S24" s="12"/>
      <c r="T24" s="12"/>
    </row>
    <row r="25" spans="1:20" ht="30" customHeight="1" x14ac:dyDescent="0.3">
      <c r="A25" s="40"/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12"/>
      <c r="Q25" s="12"/>
      <c r="R25" s="12"/>
      <c r="S25" s="12"/>
      <c r="T25" s="12"/>
    </row>
    <row r="26" spans="1:20" ht="30" customHeight="1" x14ac:dyDescent="0.3">
      <c r="A26" s="40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9"/>
      <c r="M26" s="9"/>
      <c r="N26" s="9"/>
      <c r="O26" s="9"/>
      <c r="P26" s="12"/>
      <c r="Q26" s="12"/>
      <c r="R26" s="12"/>
      <c r="S26" s="12"/>
      <c r="T26" s="12"/>
    </row>
    <row r="27" spans="1:20" ht="30" customHeight="1" x14ac:dyDescent="0.3">
      <c r="A27" s="40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15"/>
      <c r="N27" s="15"/>
      <c r="O27" s="15"/>
      <c r="P27" s="12"/>
      <c r="Q27" s="12"/>
      <c r="R27" s="12"/>
      <c r="S27" s="12"/>
      <c r="T27" s="12"/>
    </row>
  </sheetData>
  <mergeCells count="6">
    <mergeCell ref="B5:O5"/>
    <mergeCell ref="B12:O12"/>
    <mergeCell ref="B24:O24"/>
    <mergeCell ref="B19:O19"/>
    <mergeCell ref="Q8:T8"/>
    <mergeCell ref="Q21:T2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B7B8-F3FC-439E-9177-A162F19909E3}">
  <dimension ref="A1:T19"/>
  <sheetViews>
    <sheetView topLeftCell="A6" workbookViewId="0">
      <selection activeCell="C15" sqref="C15"/>
    </sheetView>
  </sheetViews>
  <sheetFormatPr defaultRowHeight="14.4" x14ac:dyDescent="0.3"/>
  <cols>
    <col min="1" max="1" width="20.6640625" style="84" customWidth="1"/>
    <col min="2" max="15" width="10.6640625" customWidth="1"/>
  </cols>
  <sheetData>
    <row r="1" spans="1:20" ht="35.1" customHeight="1" x14ac:dyDescent="0.3">
      <c r="A1" s="96" t="s">
        <v>49</v>
      </c>
      <c r="B1" s="51" t="s">
        <v>52</v>
      </c>
      <c r="C1" s="52"/>
      <c r="D1" s="52"/>
      <c r="E1" s="52"/>
      <c r="F1" s="52"/>
      <c r="G1" s="52"/>
      <c r="H1" s="53"/>
      <c r="I1" s="53"/>
      <c r="J1" s="53"/>
      <c r="K1" s="53"/>
      <c r="L1" s="53"/>
      <c r="M1" s="53"/>
      <c r="N1" s="53"/>
    </row>
    <row r="2" spans="1:20" ht="15" thickBot="1" x14ac:dyDescent="0.35"/>
    <row r="3" spans="1:20" ht="18.600000000000001" thickBot="1" x14ac:dyDescent="0.35">
      <c r="A3" s="23" t="s">
        <v>17</v>
      </c>
    </row>
    <row r="4" spans="1:20" ht="18.600000000000001" thickBot="1" x14ac:dyDescent="0.35">
      <c r="A4" s="90" t="s">
        <v>47</v>
      </c>
      <c r="B4" s="119" t="s">
        <v>22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1"/>
      <c r="P4" s="12"/>
    </row>
    <row r="5" spans="1:20" ht="30" customHeight="1" x14ac:dyDescent="0.3">
      <c r="A5" s="81" t="s">
        <v>40</v>
      </c>
      <c r="B5" s="38">
        <v>43630</v>
      </c>
      <c r="C5" s="38">
        <v>43636</v>
      </c>
      <c r="D5" s="38">
        <v>43638</v>
      </c>
      <c r="E5" s="38">
        <v>43644</v>
      </c>
      <c r="F5" s="38">
        <v>43651</v>
      </c>
      <c r="G5" s="38">
        <v>43658</v>
      </c>
      <c r="H5" s="38">
        <v>43665</v>
      </c>
      <c r="I5" s="38">
        <v>43672</v>
      </c>
      <c r="J5" s="38">
        <v>43679</v>
      </c>
      <c r="K5" s="38">
        <v>43686</v>
      </c>
      <c r="L5" s="38">
        <v>43693</v>
      </c>
      <c r="M5" s="38">
        <v>43700</v>
      </c>
      <c r="N5" s="38">
        <v>43706</v>
      </c>
      <c r="O5" s="38">
        <v>43714</v>
      </c>
      <c r="P5" s="12"/>
    </row>
    <row r="6" spans="1:20" ht="30" customHeight="1" x14ac:dyDescent="0.3">
      <c r="A6" s="103" t="s">
        <v>84</v>
      </c>
      <c r="B6" s="104">
        <v>165</v>
      </c>
      <c r="C6" s="104" t="s">
        <v>85</v>
      </c>
      <c r="D6" s="104" t="s">
        <v>86</v>
      </c>
      <c r="E6" s="104" t="s">
        <v>87</v>
      </c>
      <c r="F6" s="104" t="s">
        <v>88</v>
      </c>
      <c r="G6" s="104" t="s">
        <v>89</v>
      </c>
      <c r="H6" s="104" t="s">
        <v>90</v>
      </c>
      <c r="I6" s="104" t="s">
        <v>91</v>
      </c>
      <c r="J6" s="104" t="s">
        <v>92</v>
      </c>
      <c r="K6" s="104" t="s">
        <v>93</v>
      </c>
      <c r="L6" s="104" t="s">
        <v>94</v>
      </c>
      <c r="M6" s="104" t="s">
        <v>95</v>
      </c>
      <c r="N6" s="104" t="s">
        <v>96</v>
      </c>
      <c r="O6" s="104" t="s">
        <v>97</v>
      </c>
      <c r="P6" s="12"/>
    </row>
    <row r="7" spans="1:20" ht="30" customHeight="1" x14ac:dyDescent="0.3">
      <c r="A7" s="29" t="s">
        <v>39</v>
      </c>
      <c r="B7" s="66" t="s">
        <v>13</v>
      </c>
      <c r="C7" s="67" t="s">
        <v>10</v>
      </c>
      <c r="D7" s="67" t="s">
        <v>14</v>
      </c>
      <c r="E7" s="67" t="s">
        <v>15</v>
      </c>
      <c r="F7" s="67" t="s">
        <v>23</v>
      </c>
      <c r="G7" s="67" t="s">
        <v>12</v>
      </c>
      <c r="H7" s="67" t="s">
        <v>24</v>
      </c>
      <c r="I7" s="67" t="s">
        <v>25</v>
      </c>
      <c r="J7" s="67" t="s">
        <v>26</v>
      </c>
      <c r="K7" s="67" t="s">
        <v>27</v>
      </c>
      <c r="L7" s="68" t="s">
        <v>28</v>
      </c>
      <c r="M7" s="68" t="s">
        <v>29</v>
      </c>
      <c r="N7" s="74" t="s">
        <v>30</v>
      </c>
      <c r="O7" s="68" t="s">
        <v>11</v>
      </c>
      <c r="Q7" s="125" t="s">
        <v>33</v>
      </c>
      <c r="R7" s="126"/>
      <c r="S7" s="126"/>
      <c r="T7" s="127"/>
    </row>
    <row r="8" spans="1:20" ht="30" customHeight="1" x14ac:dyDescent="0.3">
      <c r="A8" s="91" t="s">
        <v>36</v>
      </c>
      <c r="B8" s="3">
        <v>47</v>
      </c>
      <c r="C8" s="3">
        <v>29</v>
      </c>
      <c r="D8" s="3">
        <v>54</v>
      </c>
      <c r="E8" s="3">
        <v>66</v>
      </c>
      <c r="F8" s="3">
        <v>67</v>
      </c>
      <c r="G8" s="3">
        <v>51</v>
      </c>
      <c r="H8" s="3">
        <v>53</v>
      </c>
      <c r="I8" s="3">
        <v>43</v>
      </c>
      <c r="J8" s="3">
        <v>55</v>
      </c>
      <c r="K8" s="3">
        <v>60</v>
      </c>
      <c r="L8" s="3">
        <v>57</v>
      </c>
      <c r="M8" s="3">
        <v>56</v>
      </c>
      <c r="N8" s="55">
        <v>65</v>
      </c>
      <c r="O8" s="3">
        <v>71</v>
      </c>
    </row>
    <row r="9" spans="1:20" ht="30" customHeight="1" x14ac:dyDescent="0.3">
      <c r="A9" s="81" t="s">
        <v>74</v>
      </c>
      <c r="B9" s="3">
        <v>-31</v>
      </c>
      <c r="C9" s="3">
        <v>-97</v>
      </c>
      <c r="D9" s="3">
        <v>-100</v>
      </c>
      <c r="E9" s="3">
        <v>-100</v>
      </c>
      <c r="F9" s="11">
        <v>-100</v>
      </c>
      <c r="G9" s="3">
        <v>-99</v>
      </c>
      <c r="H9" s="3">
        <v>-99</v>
      </c>
      <c r="I9" s="3">
        <v>-93</v>
      </c>
      <c r="J9" s="3">
        <v>-99</v>
      </c>
      <c r="K9" s="3">
        <v>-99</v>
      </c>
      <c r="L9" s="3">
        <v>-99</v>
      </c>
      <c r="M9" s="3">
        <v>-86</v>
      </c>
      <c r="N9" s="55">
        <v>-52</v>
      </c>
      <c r="O9" s="11">
        <v>-97</v>
      </c>
      <c r="Q9">
        <f>AVERAGE(B9:O9)</f>
        <v>-89.357142857142861</v>
      </c>
    </row>
    <row r="10" spans="1:20" ht="15" thickBot="1" x14ac:dyDescent="0.35">
      <c r="A10" s="92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1"/>
      <c r="N10" s="1"/>
      <c r="Q10">
        <f>MIN(B9:O9)</f>
        <v>-100</v>
      </c>
    </row>
    <row r="11" spans="1:20" ht="18.600000000000001" thickBot="1" x14ac:dyDescent="0.35">
      <c r="A11" s="92"/>
      <c r="B11" s="122" t="s">
        <v>21</v>
      </c>
      <c r="C11" s="123"/>
      <c r="D11" s="123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4"/>
    </row>
    <row r="12" spans="1:20" ht="30" customHeight="1" x14ac:dyDescent="0.3">
      <c r="A12" s="81" t="s">
        <v>40</v>
      </c>
      <c r="B12" s="31">
        <v>43630</v>
      </c>
      <c r="C12" s="31">
        <v>43636</v>
      </c>
      <c r="D12" s="31">
        <v>43638</v>
      </c>
      <c r="E12" s="31">
        <v>43644</v>
      </c>
      <c r="F12" s="31">
        <v>43651</v>
      </c>
      <c r="G12" s="31">
        <v>43658</v>
      </c>
      <c r="H12" s="31">
        <v>43665</v>
      </c>
      <c r="I12" s="31">
        <v>43672</v>
      </c>
      <c r="J12" s="31">
        <v>43679</v>
      </c>
      <c r="K12" s="31">
        <v>43686</v>
      </c>
      <c r="L12" s="31">
        <v>43693</v>
      </c>
      <c r="M12" s="31">
        <v>43700</v>
      </c>
      <c r="N12" s="31">
        <v>43706</v>
      </c>
      <c r="O12" s="31">
        <v>43714</v>
      </c>
      <c r="R12" s="99"/>
    </row>
    <row r="13" spans="1:20" ht="30" customHeight="1" x14ac:dyDescent="0.3">
      <c r="A13" s="29" t="s">
        <v>39</v>
      </c>
      <c r="B13" s="18" t="s">
        <v>13</v>
      </c>
      <c r="C13" s="22" t="s">
        <v>10</v>
      </c>
      <c r="D13" s="22" t="s">
        <v>14</v>
      </c>
      <c r="E13" s="22" t="s">
        <v>15</v>
      </c>
      <c r="F13" s="22" t="s">
        <v>23</v>
      </c>
      <c r="G13" s="22" t="s">
        <v>12</v>
      </c>
      <c r="H13" s="22" t="s">
        <v>24</v>
      </c>
      <c r="I13" s="22" t="s">
        <v>25</v>
      </c>
      <c r="J13" s="22" t="s">
        <v>26</v>
      </c>
      <c r="K13" s="22" t="s">
        <v>27</v>
      </c>
      <c r="L13" s="8" t="s">
        <v>28</v>
      </c>
      <c r="M13" s="8" t="s">
        <v>29</v>
      </c>
      <c r="N13" s="55" t="s">
        <v>30</v>
      </c>
      <c r="O13" s="8" t="s">
        <v>11</v>
      </c>
      <c r="R13" s="99"/>
    </row>
    <row r="14" spans="1:20" ht="30" customHeight="1" x14ac:dyDescent="0.3">
      <c r="A14" s="94" t="s">
        <v>75</v>
      </c>
      <c r="B14" s="19">
        <v>-24</v>
      </c>
      <c r="C14" s="19">
        <v>-67</v>
      </c>
      <c r="D14" s="19">
        <v>-79</v>
      </c>
      <c r="E14" s="19">
        <v>-90</v>
      </c>
      <c r="F14" s="19">
        <v>-95</v>
      </c>
      <c r="G14" s="19">
        <v>-98</v>
      </c>
      <c r="H14" s="19">
        <v>-99</v>
      </c>
      <c r="I14" s="19">
        <v>-99</v>
      </c>
      <c r="J14" s="19">
        <v>-98</v>
      </c>
      <c r="K14" s="19">
        <v>-97</v>
      </c>
      <c r="L14" s="19">
        <v>-96</v>
      </c>
      <c r="M14" s="19">
        <v>-94</v>
      </c>
      <c r="N14" s="19">
        <v>-93</v>
      </c>
      <c r="O14" s="19">
        <v>-95</v>
      </c>
      <c r="P14" s="7" t="s">
        <v>122</v>
      </c>
    </row>
    <row r="15" spans="1:20" ht="30" customHeight="1" x14ac:dyDescent="0.3">
      <c r="A15" s="83" t="s">
        <v>55</v>
      </c>
      <c r="B15" s="11">
        <f>ABS(B$14-B$9)</f>
        <v>7</v>
      </c>
      <c r="C15" s="11">
        <f t="shared" ref="C15:O15" si="0">ABS(C$14-C$9)</f>
        <v>30</v>
      </c>
      <c r="D15" s="11">
        <f t="shared" si="0"/>
        <v>21</v>
      </c>
      <c r="E15" s="11">
        <f t="shared" si="0"/>
        <v>10</v>
      </c>
      <c r="F15" s="11">
        <f t="shared" si="0"/>
        <v>5</v>
      </c>
      <c r="G15" s="11">
        <f t="shared" si="0"/>
        <v>1</v>
      </c>
      <c r="H15" s="11">
        <f t="shared" si="0"/>
        <v>0</v>
      </c>
      <c r="I15" s="11">
        <f t="shared" si="0"/>
        <v>6</v>
      </c>
      <c r="J15" s="11">
        <f t="shared" si="0"/>
        <v>1</v>
      </c>
      <c r="K15" s="11">
        <f t="shared" si="0"/>
        <v>2</v>
      </c>
      <c r="L15" s="11">
        <f t="shared" si="0"/>
        <v>3</v>
      </c>
      <c r="M15" s="11">
        <f t="shared" si="0"/>
        <v>8</v>
      </c>
      <c r="N15" s="11">
        <f t="shared" si="0"/>
        <v>41</v>
      </c>
      <c r="O15" s="11">
        <f t="shared" si="0"/>
        <v>2</v>
      </c>
      <c r="P15" s="110">
        <f>AVERAGE(B15:O15)</f>
        <v>9.7857142857142865</v>
      </c>
    </row>
    <row r="17" spans="1:16" x14ac:dyDescent="0.3">
      <c r="A17" s="84" t="s">
        <v>128</v>
      </c>
      <c r="P17">
        <v>0</v>
      </c>
    </row>
    <row r="19" spans="1:16" x14ac:dyDescent="0.3">
      <c r="A19" s="84" t="s">
        <v>129</v>
      </c>
      <c r="P19">
        <v>0</v>
      </c>
    </row>
  </sheetData>
  <mergeCells count="3">
    <mergeCell ref="B4:O4"/>
    <mergeCell ref="Q7:T7"/>
    <mergeCell ref="B11:O1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C497F-0AE2-4751-9EA9-BEAEBF00E3C1}">
  <dimension ref="A1:V30"/>
  <sheetViews>
    <sheetView topLeftCell="A3" workbookViewId="0">
      <selection activeCell="A19" sqref="A19"/>
    </sheetView>
  </sheetViews>
  <sheetFormatPr defaultRowHeight="14.4" x14ac:dyDescent="0.3"/>
  <cols>
    <col min="1" max="1" width="18.6640625" customWidth="1"/>
    <col min="2" max="15" width="10.6640625" customWidth="1"/>
  </cols>
  <sheetData>
    <row r="1" spans="1:20" s="53" customFormat="1" ht="35.1" customHeight="1" x14ac:dyDescent="0.3">
      <c r="A1" s="51" t="s">
        <v>49</v>
      </c>
      <c r="B1" s="51" t="s">
        <v>51</v>
      </c>
      <c r="C1" s="52"/>
      <c r="D1" s="52"/>
      <c r="E1" s="52"/>
      <c r="F1" s="52"/>
      <c r="G1" s="52"/>
    </row>
    <row r="2" spans="1:20" ht="15" thickBot="1" x14ac:dyDescent="0.35"/>
    <row r="3" spans="1:20" ht="27.9" customHeight="1" thickBot="1" x14ac:dyDescent="0.35">
      <c r="A3" s="23" t="s">
        <v>17</v>
      </c>
    </row>
    <row r="4" spans="1:20" ht="27.9" customHeight="1" thickBot="1" x14ac:dyDescent="0.35">
      <c r="A4" s="24" t="s">
        <v>48</v>
      </c>
      <c r="B4" s="119" t="s">
        <v>22</v>
      </c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1"/>
    </row>
    <row r="5" spans="1:20" ht="30" customHeight="1" x14ac:dyDescent="0.3">
      <c r="A5" s="20" t="s">
        <v>40</v>
      </c>
      <c r="B5" s="44">
        <v>43630</v>
      </c>
      <c r="C5" s="44">
        <v>43636</v>
      </c>
      <c r="D5" s="44">
        <v>43638</v>
      </c>
      <c r="E5" s="44">
        <v>43644</v>
      </c>
      <c r="F5" s="44">
        <v>43651</v>
      </c>
      <c r="G5" s="44">
        <v>43658</v>
      </c>
      <c r="H5" s="44">
        <v>43665</v>
      </c>
      <c r="I5" s="44">
        <v>43672</v>
      </c>
      <c r="J5" s="44">
        <v>43679</v>
      </c>
      <c r="K5" s="44">
        <v>43686</v>
      </c>
      <c r="L5" s="44">
        <v>43693</v>
      </c>
      <c r="M5" s="44">
        <v>43700</v>
      </c>
      <c r="N5" s="44">
        <v>43706</v>
      </c>
      <c r="O5" s="44">
        <v>43714</v>
      </c>
    </row>
    <row r="6" spans="1:20" ht="30" customHeight="1" x14ac:dyDescent="0.3">
      <c r="A6" s="103" t="s">
        <v>84</v>
      </c>
      <c r="B6" s="104">
        <v>165</v>
      </c>
      <c r="C6" s="104" t="s">
        <v>85</v>
      </c>
      <c r="D6" s="104" t="s">
        <v>86</v>
      </c>
      <c r="E6" s="104" t="s">
        <v>87</v>
      </c>
      <c r="F6" s="104" t="s">
        <v>88</v>
      </c>
      <c r="G6" s="104" t="s">
        <v>89</v>
      </c>
      <c r="H6" s="104" t="s">
        <v>90</v>
      </c>
      <c r="I6" s="104" t="s">
        <v>91</v>
      </c>
      <c r="J6" s="104" t="s">
        <v>92</v>
      </c>
      <c r="K6" s="104" t="s">
        <v>93</v>
      </c>
      <c r="L6" s="104" t="s">
        <v>94</v>
      </c>
      <c r="M6" s="104" t="s">
        <v>95</v>
      </c>
      <c r="N6" s="104" t="s">
        <v>96</v>
      </c>
      <c r="O6" s="104" t="s">
        <v>97</v>
      </c>
    </row>
    <row r="7" spans="1:20" ht="30" customHeight="1" x14ac:dyDescent="0.3">
      <c r="A7" s="42" t="s">
        <v>39</v>
      </c>
      <c r="B7" s="76" t="s">
        <v>13</v>
      </c>
      <c r="C7" s="68" t="s">
        <v>10</v>
      </c>
      <c r="D7" s="68" t="s">
        <v>14</v>
      </c>
      <c r="E7" s="68" t="s">
        <v>15</v>
      </c>
      <c r="F7" s="68" t="s">
        <v>23</v>
      </c>
      <c r="G7" s="68" t="s">
        <v>12</v>
      </c>
      <c r="H7" s="68" t="s">
        <v>24</v>
      </c>
      <c r="I7" s="68" t="s">
        <v>25</v>
      </c>
      <c r="J7" s="68" t="s">
        <v>26</v>
      </c>
      <c r="K7" s="68" t="s">
        <v>27</v>
      </c>
      <c r="L7" s="68" t="s">
        <v>28</v>
      </c>
      <c r="M7" s="68" t="s">
        <v>29</v>
      </c>
      <c r="N7" s="74" t="s">
        <v>30</v>
      </c>
      <c r="O7" s="68" t="s">
        <v>11</v>
      </c>
      <c r="Q7" s="125" t="s">
        <v>33</v>
      </c>
      <c r="R7" s="126"/>
      <c r="S7" s="126"/>
      <c r="T7" s="127"/>
    </row>
    <row r="8" spans="1:20" ht="30" customHeight="1" x14ac:dyDescent="0.3">
      <c r="A8" s="75" t="s">
        <v>36</v>
      </c>
      <c r="B8" s="3">
        <v>45</v>
      </c>
      <c r="C8" s="3">
        <v>29</v>
      </c>
      <c r="D8" s="3">
        <v>44</v>
      </c>
      <c r="E8" s="3">
        <v>64</v>
      </c>
      <c r="F8" s="3">
        <v>46</v>
      </c>
      <c r="G8" s="3">
        <v>36</v>
      </c>
      <c r="H8" s="3">
        <v>43</v>
      </c>
      <c r="I8" s="3">
        <v>40</v>
      </c>
      <c r="J8" s="3">
        <v>41</v>
      </c>
      <c r="K8" s="3">
        <v>43</v>
      </c>
      <c r="L8" s="3">
        <v>49</v>
      </c>
      <c r="M8" s="3">
        <v>49</v>
      </c>
      <c r="N8" s="55">
        <v>58</v>
      </c>
      <c r="O8" s="3">
        <v>66</v>
      </c>
    </row>
    <row r="9" spans="1:20" ht="30" customHeight="1" x14ac:dyDescent="0.3">
      <c r="A9" s="83" t="s">
        <v>56</v>
      </c>
      <c r="B9" s="3">
        <v>-27</v>
      </c>
      <c r="C9" s="3">
        <v>-96</v>
      </c>
      <c r="D9" s="3">
        <v>-99</v>
      </c>
      <c r="E9" s="3">
        <v>-100</v>
      </c>
      <c r="F9" s="3">
        <v>-99</v>
      </c>
      <c r="G9" s="3">
        <v>-98</v>
      </c>
      <c r="H9" s="3">
        <v>-97</v>
      </c>
      <c r="I9" s="3">
        <v>-91</v>
      </c>
      <c r="J9" s="3">
        <v>-96</v>
      </c>
      <c r="K9" s="3">
        <v>-96</v>
      </c>
      <c r="L9" s="3">
        <v>-97</v>
      </c>
      <c r="M9" s="3">
        <v>-78</v>
      </c>
      <c r="N9" s="55">
        <v>-49</v>
      </c>
      <c r="O9" s="3">
        <v>-91</v>
      </c>
    </row>
    <row r="10" spans="1:20" ht="15" thickBot="1" x14ac:dyDescent="0.3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1:20" ht="27.9" customHeight="1" thickBot="1" x14ac:dyDescent="0.35">
      <c r="A11" s="4"/>
      <c r="B11" s="119" t="s">
        <v>21</v>
      </c>
      <c r="C11" s="120"/>
      <c r="D11" s="120"/>
      <c r="E11" s="120"/>
      <c r="F11" s="120"/>
      <c r="G11" s="120"/>
      <c r="H11" s="120"/>
      <c r="I11" s="120"/>
      <c r="J11" s="120"/>
      <c r="K11" s="120"/>
      <c r="L11" s="120"/>
      <c r="M11" s="120"/>
      <c r="N11" s="120"/>
      <c r="O11" s="121"/>
    </row>
    <row r="12" spans="1:20" ht="30" customHeight="1" x14ac:dyDescent="0.3">
      <c r="A12" s="20" t="s">
        <v>40</v>
      </c>
      <c r="B12" s="43">
        <v>43630</v>
      </c>
      <c r="C12" s="43">
        <v>43636</v>
      </c>
      <c r="D12" s="43">
        <v>43638</v>
      </c>
      <c r="E12" s="43">
        <v>43644</v>
      </c>
      <c r="F12" s="43">
        <v>43651</v>
      </c>
      <c r="G12" s="43">
        <v>43658</v>
      </c>
      <c r="H12" s="43">
        <v>43665</v>
      </c>
      <c r="I12" s="43">
        <v>43672</v>
      </c>
      <c r="J12" s="43">
        <v>43679</v>
      </c>
      <c r="K12" s="43">
        <v>43686</v>
      </c>
      <c r="L12" s="43">
        <v>43693</v>
      </c>
      <c r="M12" s="43">
        <v>43700</v>
      </c>
      <c r="N12" s="43">
        <v>43706</v>
      </c>
      <c r="O12" s="43">
        <v>43714</v>
      </c>
    </row>
    <row r="13" spans="1:20" ht="30" customHeight="1" x14ac:dyDescent="0.3">
      <c r="A13" s="42" t="s">
        <v>39</v>
      </c>
      <c r="B13" s="3" t="s">
        <v>13</v>
      </c>
      <c r="C13" s="8" t="s">
        <v>10</v>
      </c>
      <c r="D13" s="8" t="s">
        <v>14</v>
      </c>
      <c r="E13" s="8" t="s">
        <v>15</v>
      </c>
      <c r="F13" s="8" t="s">
        <v>23</v>
      </c>
      <c r="G13" s="8" t="s">
        <v>12</v>
      </c>
      <c r="H13" s="8" t="s">
        <v>24</v>
      </c>
      <c r="I13" s="8" t="s">
        <v>25</v>
      </c>
      <c r="J13" s="8" t="s">
        <v>26</v>
      </c>
      <c r="K13" s="8" t="s">
        <v>27</v>
      </c>
      <c r="L13" s="8" t="s">
        <v>28</v>
      </c>
      <c r="M13" s="8" t="s">
        <v>29</v>
      </c>
      <c r="N13" s="55" t="s">
        <v>30</v>
      </c>
      <c r="O13" s="8" t="s">
        <v>11</v>
      </c>
      <c r="R13" s="99"/>
    </row>
    <row r="14" spans="1:20" ht="30" customHeight="1" x14ac:dyDescent="0.3">
      <c r="A14" s="20" t="s">
        <v>38</v>
      </c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R14" s="99"/>
    </row>
    <row r="15" spans="1:20" ht="30" customHeight="1" x14ac:dyDescent="0.3">
      <c r="A15" s="20" t="s">
        <v>55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</row>
    <row r="16" spans="1:20" ht="15" customHeight="1" x14ac:dyDescent="0.3"/>
    <row r="17" spans="1:22" ht="15" customHeight="1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</row>
    <row r="18" spans="1:22" ht="15" customHeight="1" x14ac:dyDescent="0.3">
      <c r="A18" s="45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15"/>
      <c r="Q18" s="15"/>
      <c r="R18" s="15"/>
      <c r="S18" s="15"/>
      <c r="T18" s="15"/>
      <c r="U18" s="15"/>
      <c r="V18" s="15"/>
    </row>
    <row r="19" spans="1:22" ht="15" customHeight="1" x14ac:dyDescent="0.3">
      <c r="A19" s="15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15"/>
      <c r="Q19" s="15"/>
      <c r="R19" s="15"/>
      <c r="S19" s="15"/>
      <c r="T19" s="15"/>
      <c r="U19" s="15"/>
      <c r="V19" s="15"/>
    </row>
    <row r="20" spans="1:22" ht="15" customHeight="1" x14ac:dyDescent="0.3">
      <c r="A20" s="47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15"/>
      <c r="Q20" s="131"/>
      <c r="R20" s="131"/>
      <c r="S20" s="131"/>
      <c r="T20" s="131"/>
      <c r="U20" s="15"/>
      <c r="V20" s="15"/>
    </row>
    <row r="21" spans="1:22" ht="15" customHeight="1" x14ac:dyDescent="0.3">
      <c r="A21" s="15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15"/>
      <c r="Q21" s="15"/>
      <c r="R21" s="15"/>
      <c r="S21" s="15"/>
      <c r="T21" s="15"/>
      <c r="U21" s="15"/>
      <c r="V21" s="15"/>
    </row>
    <row r="22" spans="1:22" ht="15" customHeight="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</row>
    <row r="23" spans="1:22" ht="15" customHeight="1" x14ac:dyDescent="0.3">
      <c r="A23" s="25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15"/>
      <c r="Q23" s="15"/>
      <c r="R23" s="15"/>
      <c r="S23" s="15"/>
      <c r="T23" s="15"/>
      <c r="U23" s="15"/>
      <c r="V23" s="15"/>
    </row>
    <row r="24" spans="1:22" ht="15" customHeight="1" x14ac:dyDescent="0.3">
      <c r="A24" s="15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15"/>
      <c r="Q24" s="15"/>
      <c r="R24" s="15"/>
      <c r="S24" s="15"/>
      <c r="T24" s="15"/>
      <c r="U24" s="15"/>
      <c r="V24" s="15"/>
    </row>
    <row r="25" spans="1:22" ht="15" customHeight="1" x14ac:dyDescent="0.3">
      <c r="A25" s="47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15"/>
      <c r="Q25" s="15"/>
      <c r="R25" s="15"/>
      <c r="S25" s="15"/>
      <c r="T25" s="15"/>
      <c r="U25" s="15"/>
      <c r="V25" s="15"/>
    </row>
    <row r="26" spans="1:22" ht="15" customHeight="1" x14ac:dyDescent="0.3">
      <c r="A26" s="1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1:22" ht="15" customHeight="1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8" spans="1:22" ht="15" customHeight="1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</row>
    <row r="29" spans="1:22" ht="15" customHeight="1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</row>
    <row r="30" spans="1:22" ht="15" customHeight="1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</row>
  </sheetData>
  <mergeCells count="4">
    <mergeCell ref="B4:O4"/>
    <mergeCell ref="B11:O11"/>
    <mergeCell ref="Q7:T7"/>
    <mergeCell ref="Q20:T2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63B93-9DA5-4FC6-BBC3-F5CEC41B30AA}">
  <dimension ref="A1:T18"/>
  <sheetViews>
    <sheetView topLeftCell="A4" workbookViewId="0">
      <selection activeCell="A16" sqref="A16:A18"/>
    </sheetView>
  </sheetViews>
  <sheetFormatPr defaultRowHeight="14.4" x14ac:dyDescent="0.3"/>
  <cols>
    <col min="1" max="1" width="18.6640625" style="84" customWidth="1"/>
    <col min="2" max="15" width="10.6640625" customWidth="1"/>
  </cols>
  <sheetData>
    <row r="1" spans="1:20" ht="15" thickBot="1" x14ac:dyDescent="0.35"/>
    <row r="2" spans="1:20" ht="27.9" customHeight="1" thickBot="1" x14ac:dyDescent="0.35">
      <c r="A2" s="23" t="s">
        <v>17</v>
      </c>
    </row>
    <row r="3" spans="1:20" ht="27.9" customHeight="1" thickBot="1" x14ac:dyDescent="0.35">
      <c r="A3" s="90" t="s">
        <v>31</v>
      </c>
      <c r="B3" s="119" t="s">
        <v>22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1"/>
    </row>
    <row r="4" spans="1:20" ht="30" customHeight="1" x14ac:dyDescent="0.3">
      <c r="A4" s="81" t="s">
        <v>40</v>
      </c>
      <c r="B4" s="31">
        <v>43630</v>
      </c>
      <c r="C4" s="31">
        <v>43636</v>
      </c>
      <c r="D4" s="31">
        <v>43638</v>
      </c>
      <c r="E4" s="31">
        <v>43644</v>
      </c>
      <c r="F4" s="31">
        <v>43651</v>
      </c>
      <c r="G4" s="31">
        <v>43658</v>
      </c>
      <c r="H4" s="31">
        <v>43665</v>
      </c>
      <c r="I4" s="31">
        <v>43672</v>
      </c>
      <c r="J4" s="31">
        <v>43679</v>
      </c>
      <c r="K4" s="31">
        <v>43686</v>
      </c>
      <c r="L4" s="31">
        <v>43693</v>
      </c>
      <c r="M4" s="31">
        <v>43700</v>
      </c>
      <c r="N4" s="31">
        <v>43706</v>
      </c>
      <c r="O4" s="31">
        <v>43714</v>
      </c>
    </row>
    <row r="5" spans="1:20" ht="30" customHeight="1" x14ac:dyDescent="0.3">
      <c r="A5" s="103" t="s">
        <v>84</v>
      </c>
      <c r="B5" s="104">
        <v>165</v>
      </c>
      <c r="C5" s="104" t="s">
        <v>85</v>
      </c>
      <c r="D5" s="104" t="s">
        <v>86</v>
      </c>
      <c r="E5" s="104" t="s">
        <v>87</v>
      </c>
      <c r="F5" s="104" t="s">
        <v>88</v>
      </c>
      <c r="G5" s="104" t="s">
        <v>89</v>
      </c>
      <c r="H5" s="104" t="s">
        <v>90</v>
      </c>
      <c r="I5" s="104" t="s">
        <v>91</v>
      </c>
      <c r="J5" s="104" t="s">
        <v>92</v>
      </c>
      <c r="K5" s="104" t="s">
        <v>93</v>
      </c>
      <c r="L5" s="104" t="s">
        <v>94</v>
      </c>
      <c r="M5" s="104" t="s">
        <v>95</v>
      </c>
      <c r="N5" s="104" t="s">
        <v>96</v>
      </c>
      <c r="O5" s="104" t="s">
        <v>97</v>
      </c>
    </row>
    <row r="6" spans="1:20" ht="30" customHeight="1" x14ac:dyDescent="0.3">
      <c r="A6" s="29" t="s">
        <v>39</v>
      </c>
      <c r="B6" s="66" t="s">
        <v>13</v>
      </c>
      <c r="C6" s="78" t="s">
        <v>10</v>
      </c>
      <c r="D6" s="78" t="s">
        <v>14</v>
      </c>
      <c r="E6" s="78" t="s">
        <v>15</v>
      </c>
      <c r="F6" s="78" t="s">
        <v>23</v>
      </c>
      <c r="G6" s="67" t="s">
        <v>12</v>
      </c>
      <c r="H6" s="67" t="s">
        <v>24</v>
      </c>
      <c r="I6" s="67" t="s">
        <v>25</v>
      </c>
      <c r="J6" s="67" t="s">
        <v>26</v>
      </c>
      <c r="K6" s="67" t="s">
        <v>27</v>
      </c>
      <c r="L6" s="68" t="s">
        <v>28</v>
      </c>
      <c r="M6" s="68" t="s">
        <v>29</v>
      </c>
      <c r="N6" s="68" t="s">
        <v>30</v>
      </c>
      <c r="O6" s="68" t="s">
        <v>11</v>
      </c>
      <c r="Q6" s="125" t="s">
        <v>34</v>
      </c>
      <c r="R6" s="126"/>
      <c r="S6" s="126"/>
      <c r="T6" s="127"/>
    </row>
    <row r="7" spans="1:20" ht="30" customHeight="1" x14ac:dyDescent="0.3">
      <c r="A7" s="91" t="s">
        <v>36</v>
      </c>
      <c r="B7" s="3">
        <v>71</v>
      </c>
      <c r="C7" s="3">
        <v>73</v>
      </c>
      <c r="D7" s="3">
        <v>75</v>
      </c>
      <c r="E7" s="3">
        <v>86</v>
      </c>
      <c r="F7" s="3">
        <v>57</v>
      </c>
      <c r="G7" s="3">
        <v>54</v>
      </c>
      <c r="H7" s="3">
        <v>56</v>
      </c>
      <c r="I7" s="3">
        <v>52</v>
      </c>
      <c r="J7" s="3">
        <v>64</v>
      </c>
      <c r="K7" s="3">
        <v>67</v>
      </c>
      <c r="L7" s="3">
        <v>69</v>
      </c>
      <c r="M7" s="3">
        <v>66</v>
      </c>
      <c r="N7" s="3">
        <v>71</v>
      </c>
      <c r="O7" s="3">
        <v>63</v>
      </c>
      <c r="Q7">
        <f>AVERAGE(B8:O8)</f>
        <v>221.21428571428572</v>
      </c>
    </row>
    <row r="8" spans="1:20" ht="30" customHeight="1" x14ac:dyDescent="0.3">
      <c r="A8" s="81" t="s">
        <v>74</v>
      </c>
      <c r="B8" s="3">
        <v>-32</v>
      </c>
      <c r="C8" s="3">
        <v>58</v>
      </c>
      <c r="D8" s="3">
        <v>56</v>
      </c>
      <c r="E8" s="3">
        <v>119</v>
      </c>
      <c r="F8" s="3">
        <v>156</v>
      </c>
      <c r="G8" s="3">
        <v>251</v>
      </c>
      <c r="H8" s="3">
        <v>249</v>
      </c>
      <c r="I8" s="3">
        <v>317</v>
      </c>
      <c r="J8" s="3">
        <v>584</v>
      </c>
      <c r="K8" s="3">
        <v>337</v>
      </c>
      <c r="L8" s="3">
        <v>159</v>
      </c>
      <c r="M8" s="3">
        <v>167</v>
      </c>
      <c r="N8" s="3">
        <v>446</v>
      </c>
      <c r="O8" s="3">
        <v>230</v>
      </c>
      <c r="Q8">
        <f>MAX(B8:O8)</f>
        <v>584</v>
      </c>
    </row>
    <row r="9" spans="1:20" ht="15" thickBot="1" x14ac:dyDescent="0.35">
      <c r="A9" s="92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1"/>
      <c r="N9" s="1"/>
    </row>
    <row r="10" spans="1:20" ht="27.9" customHeight="1" thickBot="1" x14ac:dyDescent="0.35">
      <c r="A10" s="92"/>
      <c r="B10" s="122" t="s">
        <v>21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4"/>
    </row>
    <row r="11" spans="1:20" ht="30" customHeight="1" x14ac:dyDescent="0.3">
      <c r="A11" s="81" t="s">
        <v>40</v>
      </c>
      <c r="B11" s="31">
        <v>43630</v>
      </c>
      <c r="C11" s="31">
        <v>43636</v>
      </c>
      <c r="D11" s="31">
        <v>43638</v>
      </c>
      <c r="E11" s="31">
        <v>43644</v>
      </c>
      <c r="F11" s="31">
        <v>43651</v>
      </c>
      <c r="G11" s="31">
        <v>43658</v>
      </c>
      <c r="H11" s="31">
        <v>43665</v>
      </c>
      <c r="I11" s="31">
        <v>43672</v>
      </c>
      <c r="J11" s="31">
        <v>43679</v>
      </c>
      <c r="K11" s="31">
        <v>43686</v>
      </c>
      <c r="L11" s="31">
        <v>43693</v>
      </c>
      <c r="M11" s="31">
        <v>43700</v>
      </c>
      <c r="N11" s="31">
        <v>43706</v>
      </c>
      <c r="O11" s="31">
        <v>43714</v>
      </c>
    </row>
    <row r="12" spans="1:20" ht="30" customHeight="1" x14ac:dyDescent="0.3">
      <c r="A12" s="29" t="s">
        <v>39</v>
      </c>
      <c r="B12" s="18" t="s">
        <v>13</v>
      </c>
      <c r="C12" s="19" t="s">
        <v>10</v>
      </c>
      <c r="D12" s="19" t="s">
        <v>14</v>
      </c>
      <c r="E12" s="19" t="s">
        <v>15</v>
      </c>
      <c r="F12" s="19" t="s">
        <v>23</v>
      </c>
      <c r="G12" s="22" t="s">
        <v>12</v>
      </c>
      <c r="H12" s="22" t="s">
        <v>24</v>
      </c>
      <c r="I12" s="22" t="s">
        <v>25</v>
      </c>
      <c r="J12" s="22" t="s">
        <v>26</v>
      </c>
      <c r="K12" s="22" t="s">
        <v>27</v>
      </c>
      <c r="L12" s="8" t="s">
        <v>28</v>
      </c>
      <c r="M12" s="8" t="s">
        <v>29</v>
      </c>
      <c r="N12" s="8" t="s">
        <v>30</v>
      </c>
      <c r="O12" s="8" t="s">
        <v>11</v>
      </c>
      <c r="R12" s="99"/>
    </row>
    <row r="13" spans="1:20" ht="30" customHeight="1" x14ac:dyDescent="0.3">
      <c r="A13" s="94" t="s">
        <v>75</v>
      </c>
      <c r="B13" s="19">
        <v>2</v>
      </c>
      <c r="C13" s="19">
        <v>8</v>
      </c>
      <c r="D13" s="19">
        <v>9</v>
      </c>
      <c r="E13" s="19">
        <v>10</v>
      </c>
      <c r="F13" s="19">
        <v>11</v>
      </c>
      <c r="G13" s="19">
        <v>13</v>
      </c>
      <c r="H13" s="19">
        <v>15</v>
      </c>
      <c r="I13" s="19">
        <v>16</v>
      </c>
      <c r="J13" s="19">
        <v>19</v>
      </c>
      <c r="K13" s="19">
        <v>28</v>
      </c>
      <c r="L13" s="19">
        <v>31</v>
      </c>
      <c r="M13" s="19">
        <v>34</v>
      </c>
      <c r="N13" s="19">
        <v>34</v>
      </c>
      <c r="O13" s="19">
        <v>39</v>
      </c>
      <c r="P13" s="7" t="s">
        <v>122</v>
      </c>
      <c r="R13" s="99"/>
    </row>
    <row r="14" spans="1:20" ht="30" customHeight="1" x14ac:dyDescent="0.3">
      <c r="A14" s="83" t="s">
        <v>55</v>
      </c>
      <c r="B14" s="11">
        <f>ABS(B$13-B$8)</f>
        <v>34</v>
      </c>
      <c r="C14" s="11">
        <f t="shared" ref="C14:O14" si="0">ABS(C$13-C$8)</f>
        <v>50</v>
      </c>
      <c r="D14" s="11">
        <f t="shared" si="0"/>
        <v>47</v>
      </c>
      <c r="E14" s="11">
        <f t="shared" si="0"/>
        <v>109</v>
      </c>
      <c r="F14" s="11">
        <f t="shared" si="0"/>
        <v>145</v>
      </c>
      <c r="G14" s="11">
        <f t="shared" si="0"/>
        <v>238</v>
      </c>
      <c r="H14" s="11">
        <f t="shared" si="0"/>
        <v>234</v>
      </c>
      <c r="I14" s="11">
        <f t="shared" si="0"/>
        <v>301</v>
      </c>
      <c r="J14" s="11">
        <f t="shared" si="0"/>
        <v>565</v>
      </c>
      <c r="K14" s="11">
        <f t="shared" si="0"/>
        <v>309</v>
      </c>
      <c r="L14" s="11">
        <f t="shared" si="0"/>
        <v>128</v>
      </c>
      <c r="M14" s="11">
        <f t="shared" si="0"/>
        <v>133</v>
      </c>
      <c r="N14" s="11">
        <f t="shared" si="0"/>
        <v>412</v>
      </c>
      <c r="O14" s="11">
        <f t="shared" si="0"/>
        <v>191</v>
      </c>
      <c r="P14" s="108">
        <f>AVERAGE(B14:O14)</f>
        <v>206.85714285714286</v>
      </c>
    </row>
    <row r="16" spans="1:20" x14ac:dyDescent="0.3">
      <c r="A16" s="84" t="s">
        <v>128</v>
      </c>
      <c r="B16" s="109"/>
      <c r="C16" s="109"/>
      <c r="D16" s="109"/>
      <c r="E16" s="109">
        <v>1</v>
      </c>
      <c r="F16" s="109"/>
      <c r="G16" s="109">
        <v>1</v>
      </c>
      <c r="H16" s="109">
        <v>1</v>
      </c>
      <c r="I16" s="109">
        <v>1</v>
      </c>
      <c r="J16" s="109">
        <v>1</v>
      </c>
      <c r="K16" s="109">
        <v>1</v>
      </c>
      <c r="L16" s="109">
        <v>1</v>
      </c>
      <c r="M16" s="109">
        <v>1</v>
      </c>
      <c r="N16" s="109">
        <v>1</v>
      </c>
      <c r="O16" s="109">
        <v>1</v>
      </c>
      <c r="P16">
        <f>SUM(B16:O16)</f>
        <v>10</v>
      </c>
    </row>
    <row r="17" spans="1:15" x14ac:dyDescent="0.3"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</row>
    <row r="18" spans="1:15" x14ac:dyDescent="0.3">
      <c r="A18" s="84" t="s">
        <v>129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</row>
  </sheetData>
  <mergeCells count="3">
    <mergeCell ref="B3:O3"/>
    <mergeCell ref="B10:O10"/>
    <mergeCell ref="Q6:T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64D8D1-39D9-4530-A288-66AB9C6F6D71}">
  <dimension ref="A1:T18"/>
  <sheetViews>
    <sheetView workbookViewId="0">
      <selection activeCell="F8" sqref="F8"/>
    </sheetView>
  </sheetViews>
  <sheetFormatPr defaultRowHeight="14.4" x14ac:dyDescent="0.3"/>
  <cols>
    <col min="1" max="1" width="21.88671875" customWidth="1"/>
    <col min="2" max="15" width="10.6640625" customWidth="1"/>
  </cols>
  <sheetData>
    <row r="1" spans="1:20" ht="15" thickBot="1" x14ac:dyDescent="0.35"/>
    <row r="2" spans="1:20" ht="27.9" customHeight="1" thickBot="1" x14ac:dyDescent="0.35">
      <c r="A2" s="23" t="s">
        <v>17</v>
      </c>
    </row>
    <row r="3" spans="1:20" ht="27.9" customHeight="1" thickBot="1" x14ac:dyDescent="0.35">
      <c r="A3" s="24" t="s">
        <v>46</v>
      </c>
      <c r="B3" s="119" t="s">
        <v>22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1"/>
    </row>
    <row r="4" spans="1:20" ht="30" customHeight="1" x14ac:dyDescent="0.3">
      <c r="A4" s="30" t="s">
        <v>40</v>
      </c>
      <c r="B4" s="31">
        <v>43630</v>
      </c>
      <c r="C4" s="31">
        <v>43636</v>
      </c>
      <c r="D4" s="31">
        <v>43638</v>
      </c>
      <c r="E4" s="31">
        <v>43644</v>
      </c>
      <c r="F4" s="31">
        <v>43651</v>
      </c>
      <c r="G4" s="31">
        <v>43658</v>
      </c>
      <c r="H4" s="31">
        <v>43665</v>
      </c>
      <c r="I4" s="31">
        <v>43672</v>
      </c>
      <c r="J4" s="31">
        <v>43679</v>
      </c>
      <c r="K4" s="31">
        <v>43686</v>
      </c>
      <c r="L4" s="31">
        <v>43693</v>
      </c>
      <c r="M4" s="31">
        <v>43700</v>
      </c>
      <c r="N4" s="31">
        <v>43706</v>
      </c>
      <c r="O4" s="31">
        <v>43714</v>
      </c>
    </row>
    <row r="5" spans="1:20" ht="30" customHeight="1" x14ac:dyDescent="0.3">
      <c r="A5" s="103" t="s">
        <v>84</v>
      </c>
      <c r="B5" s="104">
        <v>165</v>
      </c>
      <c r="C5" s="104" t="s">
        <v>85</v>
      </c>
      <c r="D5" s="104" t="s">
        <v>86</v>
      </c>
      <c r="E5" s="104" t="s">
        <v>87</v>
      </c>
      <c r="F5" s="104" t="s">
        <v>88</v>
      </c>
      <c r="G5" s="104" t="s">
        <v>89</v>
      </c>
      <c r="H5" s="104" t="s">
        <v>90</v>
      </c>
      <c r="I5" s="104" t="s">
        <v>91</v>
      </c>
      <c r="J5" s="104" t="s">
        <v>92</v>
      </c>
      <c r="K5" s="104" t="s">
        <v>93</v>
      </c>
      <c r="L5" s="104" t="s">
        <v>94</v>
      </c>
      <c r="M5" s="104" t="s">
        <v>95</v>
      </c>
      <c r="N5" s="104" t="s">
        <v>96</v>
      </c>
      <c r="O5" s="104" t="s">
        <v>97</v>
      </c>
    </row>
    <row r="6" spans="1:20" ht="30" customHeight="1" x14ac:dyDescent="0.3">
      <c r="A6" s="29" t="s">
        <v>39</v>
      </c>
      <c r="B6" s="67" t="s">
        <v>13</v>
      </c>
      <c r="C6" s="67" t="s">
        <v>10</v>
      </c>
      <c r="D6" s="67" t="s">
        <v>14</v>
      </c>
      <c r="E6" s="67" t="s">
        <v>15</v>
      </c>
      <c r="F6" s="78" t="s">
        <v>23</v>
      </c>
      <c r="G6" s="78" t="s">
        <v>12</v>
      </c>
      <c r="H6" s="78" t="s">
        <v>24</v>
      </c>
      <c r="I6" s="78" t="s">
        <v>25</v>
      </c>
      <c r="J6" s="78" t="s">
        <v>26</v>
      </c>
      <c r="K6" s="78" t="s">
        <v>27</v>
      </c>
      <c r="L6" s="69" t="s">
        <v>28</v>
      </c>
      <c r="M6" s="101" t="s">
        <v>29</v>
      </c>
      <c r="N6" s="69" t="s">
        <v>30</v>
      </c>
      <c r="O6" s="69" t="s">
        <v>11</v>
      </c>
      <c r="Q6" s="125" t="s">
        <v>33</v>
      </c>
      <c r="R6" s="126"/>
      <c r="S6" s="126"/>
      <c r="T6" s="127"/>
    </row>
    <row r="7" spans="1:20" ht="30" customHeight="1" x14ac:dyDescent="0.3">
      <c r="A7" s="65" t="s">
        <v>36</v>
      </c>
      <c r="B7" s="3">
        <v>56</v>
      </c>
      <c r="C7" s="3">
        <v>75</v>
      </c>
      <c r="D7" s="3">
        <v>56</v>
      </c>
      <c r="E7" s="3">
        <v>64</v>
      </c>
      <c r="F7" s="3">
        <v>90</v>
      </c>
      <c r="G7" s="3">
        <v>78</v>
      </c>
      <c r="H7" s="3">
        <v>79</v>
      </c>
      <c r="I7" s="3">
        <v>65</v>
      </c>
      <c r="J7" s="3">
        <v>64</v>
      </c>
      <c r="K7" s="3">
        <v>78</v>
      </c>
      <c r="L7" s="3">
        <v>64</v>
      </c>
      <c r="M7" s="71">
        <v>60</v>
      </c>
      <c r="N7" s="3">
        <v>72</v>
      </c>
      <c r="O7" s="3">
        <v>65</v>
      </c>
    </row>
    <row r="8" spans="1:20" ht="30" customHeight="1" x14ac:dyDescent="0.3">
      <c r="A8" s="81" t="s">
        <v>74</v>
      </c>
      <c r="B8" s="3">
        <v>-77</v>
      </c>
      <c r="C8" s="3">
        <v>-92</v>
      </c>
      <c r="D8" s="3">
        <v>-95</v>
      </c>
      <c r="E8" s="3">
        <v>-95</v>
      </c>
      <c r="F8" s="3">
        <v>-91</v>
      </c>
      <c r="G8" s="3">
        <v>-85</v>
      </c>
      <c r="H8" s="3">
        <v>-84</v>
      </c>
      <c r="I8" s="3">
        <v>-10</v>
      </c>
      <c r="J8" s="3">
        <v>-35</v>
      </c>
      <c r="K8" s="3">
        <v>-17</v>
      </c>
      <c r="L8" s="3">
        <v>25</v>
      </c>
      <c r="M8" s="82">
        <v>-2</v>
      </c>
      <c r="N8" s="3">
        <v>99</v>
      </c>
      <c r="O8" s="3">
        <v>-26</v>
      </c>
      <c r="Q8">
        <f>AVERAGE(B8:O8)</f>
        <v>-41.785714285714285</v>
      </c>
    </row>
    <row r="9" spans="1:20" ht="15" thickBot="1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1"/>
      <c r="N9" s="1"/>
      <c r="Q9">
        <f>MIN(B8:O8)</f>
        <v>-95</v>
      </c>
    </row>
    <row r="10" spans="1:20" ht="27.9" customHeight="1" thickBot="1" x14ac:dyDescent="0.35">
      <c r="A10" s="5"/>
      <c r="B10" s="122" t="s">
        <v>21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4"/>
    </row>
    <row r="11" spans="1:20" ht="30" customHeight="1" x14ac:dyDescent="0.3">
      <c r="A11" s="30" t="s">
        <v>40</v>
      </c>
      <c r="B11" s="31">
        <v>43630</v>
      </c>
      <c r="C11" s="31">
        <v>43636</v>
      </c>
      <c r="D11" s="31">
        <v>43638</v>
      </c>
      <c r="E11" s="31">
        <v>43644</v>
      </c>
      <c r="F11" s="31">
        <v>43651</v>
      </c>
      <c r="G11" s="31">
        <v>43658</v>
      </c>
      <c r="H11" s="31">
        <v>43665</v>
      </c>
      <c r="I11" s="31">
        <v>43672</v>
      </c>
      <c r="J11" s="31">
        <v>43679</v>
      </c>
      <c r="K11" s="31">
        <v>43686</v>
      </c>
      <c r="L11" s="31">
        <v>43693</v>
      </c>
      <c r="M11" s="31">
        <v>43700</v>
      </c>
      <c r="N11" s="31">
        <v>43706</v>
      </c>
      <c r="O11" s="31">
        <v>43714</v>
      </c>
    </row>
    <row r="12" spans="1:20" ht="30" customHeight="1" x14ac:dyDescent="0.3">
      <c r="A12" s="29" t="s">
        <v>39</v>
      </c>
      <c r="B12" s="22" t="s">
        <v>13</v>
      </c>
      <c r="C12" s="22" t="s">
        <v>10</v>
      </c>
      <c r="D12" s="22" t="s">
        <v>14</v>
      </c>
      <c r="E12" s="22" t="s">
        <v>15</v>
      </c>
      <c r="F12" s="19" t="s">
        <v>23</v>
      </c>
      <c r="G12" s="19" t="s">
        <v>12</v>
      </c>
      <c r="H12" s="19" t="s">
        <v>24</v>
      </c>
      <c r="I12" s="19" t="s">
        <v>25</v>
      </c>
      <c r="J12" s="19" t="s">
        <v>26</v>
      </c>
      <c r="K12" s="19" t="s">
        <v>27</v>
      </c>
      <c r="L12" s="11" t="s">
        <v>28</v>
      </c>
      <c r="M12" s="100" t="s">
        <v>29</v>
      </c>
      <c r="N12" s="11" t="s">
        <v>30</v>
      </c>
      <c r="O12" s="11" t="s">
        <v>11</v>
      </c>
      <c r="R12" s="99"/>
    </row>
    <row r="13" spans="1:20" ht="30" customHeight="1" x14ac:dyDescent="0.3">
      <c r="A13" s="16" t="s">
        <v>75</v>
      </c>
      <c r="B13" s="19">
        <v>-19</v>
      </c>
      <c r="C13" s="19">
        <v>-40</v>
      </c>
      <c r="D13" s="19">
        <v>-45</v>
      </c>
      <c r="E13" s="19">
        <v>-43</v>
      </c>
      <c r="F13" s="19">
        <v>-54</v>
      </c>
      <c r="G13" s="19">
        <v>-67</v>
      </c>
      <c r="H13" s="19">
        <v>-67</v>
      </c>
      <c r="I13" s="19">
        <v>-74</v>
      </c>
      <c r="J13" s="19">
        <v>-82</v>
      </c>
      <c r="K13" s="19">
        <v>-86</v>
      </c>
      <c r="L13" s="19">
        <v>-90</v>
      </c>
      <c r="M13" s="19">
        <v>-91</v>
      </c>
      <c r="N13" s="19">
        <v>-92</v>
      </c>
      <c r="O13" s="19">
        <v>-92</v>
      </c>
      <c r="P13" s="111" t="s">
        <v>122</v>
      </c>
      <c r="R13" s="99"/>
    </row>
    <row r="14" spans="1:20" ht="30" customHeight="1" x14ac:dyDescent="0.3">
      <c r="A14" s="20" t="s">
        <v>55</v>
      </c>
      <c r="B14" s="11">
        <f>ABS(B$13-B$8)</f>
        <v>58</v>
      </c>
      <c r="C14" s="11">
        <f t="shared" ref="C14:O14" si="0">ABS(C$13-C$8)</f>
        <v>52</v>
      </c>
      <c r="D14" s="11">
        <f t="shared" si="0"/>
        <v>50</v>
      </c>
      <c r="E14" s="11">
        <f t="shared" si="0"/>
        <v>52</v>
      </c>
      <c r="F14" s="11">
        <f t="shared" si="0"/>
        <v>37</v>
      </c>
      <c r="G14" s="11">
        <f t="shared" si="0"/>
        <v>18</v>
      </c>
      <c r="H14" s="11">
        <f t="shared" si="0"/>
        <v>17</v>
      </c>
      <c r="I14" s="11">
        <f t="shared" si="0"/>
        <v>64</v>
      </c>
      <c r="J14" s="11">
        <f t="shared" si="0"/>
        <v>47</v>
      </c>
      <c r="K14" s="11">
        <f t="shared" si="0"/>
        <v>69</v>
      </c>
      <c r="L14" s="11">
        <f t="shared" si="0"/>
        <v>115</v>
      </c>
      <c r="M14" s="11">
        <f t="shared" si="0"/>
        <v>89</v>
      </c>
      <c r="N14" s="11">
        <f t="shared" si="0"/>
        <v>191</v>
      </c>
      <c r="O14" s="11">
        <f t="shared" si="0"/>
        <v>66</v>
      </c>
      <c r="P14" s="108">
        <f>AVERAGE(B14:O14)</f>
        <v>66.071428571428569</v>
      </c>
    </row>
    <row r="16" spans="1:20" x14ac:dyDescent="0.3">
      <c r="A16" t="s">
        <v>128</v>
      </c>
      <c r="B16" s="109">
        <v>1</v>
      </c>
      <c r="C16" s="109">
        <v>1</v>
      </c>
      <c r="D16" s="109">
        <v>1</v>
      </c>
      <c r="E16" s="109">
        <v>1</v>
      </c>
      <c r="F16" s="109">
        <v>1</v>
      </c>
      <c r="G16" s="109">
        <v>1</v>
      </c>
      <c r="H16" s="109">
        <v>1</v>
      </c>
      <c r="I16" s="109"/>
      <c r="J16" s="109"/>
      <c r="K16" s="109"/>
      <c r="L16" s="109"/>
      <c r="M16" s="109"/>
      <c r="N16" s="109"/>
      <c r="O16" s="109"/>
      <c r="P16">
        <f>SUM(B16:O16)</f>
        <v>7</v>
      </c>
    </row>
    <row r="17" spans="1:16" x14ac:dyDescent="0.3"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</row>
    <row r="18" spans="1:16" x14ac:dyDescent="0.3">
      <c r="A18" t="s">
        <v>129</v>
      </c>
      <c r="B18" s="109"/>
      <c r="C18" s="109"/>
      <c r="D18" s="109"/>
      <c r="E18" s="109"/>
      <c r="F18" s="109"/>
      <c r="G18" s="109"/>
      <c r="H18" s="109"/>
      <c r="I18" s="109">
        <v>1</v>
      </c>
      <c r="J18" s="109"/>
      <c r="K18" s="109">
        <v>1</v>
      </c>
      <c r="L18" s="109">
        <v>1</v>
      </c>
      <c r="M18" s="109">
        <v>1</v>
      </c>
      <c r="N18" s="109">
        <v>1</v>
      </c>
      <c r="O18" s="109">
        <v>1</v>
      </c>
      <c r="P18">
        <f>SUM(B18:O18)</f>
        <v>6</v>
      </c>
    </row>
  </sheetData>
  <mergeCells count="3">
    <mergeCell ref="B3:O3"/>
    <mergeCell ref="B10:O10"/>
    <mergeCell ref="Q6:T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4B082-36D6-49D1-B125-CCA0A3C13E17}">
  <dimension ref="A1:T18"/>
  <sheetViews>
    <sheetView tabSelected="1" workbookViewId="0">
      <selection activeCell="K21" sqref="K21"/>
    </sheetView>
  </sheetViews>
  <sheetFormatPr defaultRowHeight="14.4" x14ac:dyDescent="0.3"/>
  <cols>
    <col min="1" max="1" width="21.88671875" customWidth="1"/>
    <col min="2" max="15" width="10.6640625" customWidth="1"/>
  </cols>
  <sheetData>
    <row r="1" spans="1:20" ht="15" thickBot="1" x14ac:dyDescent="0.35"/>
    <row r="2" spans="1:20" ht="27.9" customHeight="1" thickBot="1" x14ac:dyDescent="0.35">
      <c r="A2" s="23" t="s">
        <v>17</v>
      </c>
    </row>
    <row r="3" spans="1:20" ht="27.9" customHeight="1" thickBot="1" x14ac:dyDescent="0.35">
      <c r="A3" s="24" t="s">
        <v>46</v>
      </c>
      <c r="B3" s="119" t="s">
        <v>22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1"/>
    </row>
    <row r="4" spans="1:20" ht="30" customHeight="1" x14ac:dyDescent="0.3">
      <c r="A4" s="30" t="s">
        <v>40</v>
      </c>
      <c r="B4" s="31">
        <v>43630</v>
      </c>
      <c r="C4" s="31">
        <v>43636</v>
      </c>
      <c r="D4" s="31">
        <v>43638</v>
      </c>
      <c r="E4" s="31">
        <v>43644</v>
      </c>
      <c r="F4" s="31">
        <v>43651</v>
      </c>
      <c r="G4" s="31">
        <v>43658</v>
      </c>
      <c r="H4" s="31">
        <v>43665</v>
      </c>
      <c r="I4" s="31">
        <v>43672</v>
      </c>
      <c r="J4" s="31">
        <v>43679</v>
      </c>
      <c r="K4" s="31">
        <v>43686</v>
      </c>
      <c r="L4" s="31">
        <v>43693</v>
      </c>
      <c r="M4" s="31">
        <v>43700</v>
      </c>
      <c r="N4" s="31">
        <v>43706</v>
      </c>
      <c r="O4" s="31">
        <v>43714</v>
      </c>
    </row>
    <row r="5" spans="1:20" ht="30" customHeight="1" x14ac:dyDescent="0.3">
      <c r="A5" s="103" t="s">
        <v>84</v>
      </c>
      <c r="B5" s="104">
        <v>165</v>
      </c>
      <c r="C5" s="104" t="s">
        <v>85</v>
      </c>
      <c r="D5" s="104" t="s">
        <v>86</v>
      </c>
      <c r="E5" s="104" t="s">
        <v>87</v>
      </c>
      <c r="F5" s="104" t="s">
        <v>88</v>
      </c>
      <c r="G5" s="104" t="s">
        <v>89</v>
      </c>
      <c r="H5" s="104" t="s">
        <v>90</v>
      </c>
      <c r="I5" s="104" t="s">
        <v>91</v>
      </c>
      <c r="J5" s="104" t="s">
        <v>92</v>
      </c>
      <c r="K5" s="104" t="s">
        <v>93</v>
      </c>
      <c r="L5" s="104" t="s">
        <v>94</v>
      </c>
      <c r="M5" s="104" t="s">
        <v>95</v>
      </c>
      <c r="N5" s="104" t="s">
        <v>96</v>
      </c>
      <c r="O5" s="104" t="s">
        <v>97</v>
      </c>
    </row>
    <row r="6" spans="1:20" ht="30" customHeight="1" x14ac:dyDescent="0.3">
      <c r="A6" s="29" t="s">
        <v>39</v>
      </c>
      <c r="B6" s="67" t="s">
        <v>13</v>
      </c>
      <c r="C6" s="67" t="s">
        <v>10</v>
      </c>
      <c r="D6" s="67" t="s">
        <v>14</v>
      </c>
      <c r="E6" s="67" t="s">
        <v>15</v>
      </c>
      <c r="F6" s="78" t="s">
        <v>23</v>
      </c>
      <c r="G6" s="78" t="s">
        <v>12</v>
      </c>
      <c r="H6" s="78" t="s">
        <v>24</v>
      </c>
      <c r="I6" s="78" t="s">
        <v>25</v>
      </c>
      <c r="J6" s="78" t="s">
        <v>26</v>
      </c>
      <c r="K6" s="78" t="s">
        <v>27</v>
      </c>
      <c r="L6" s="69" t="s">
        <v>28</v>
      </c>
      <c r="M6" s="101" t="s">
        <v>29</v>
      </c>
      <c r="N6" s="69" t="s">
        <v>30</v>
      </c>
      <c r="O6" s="69" t="s">
        <v>11</v>
      </c>
      <c r="Q6" s="125" t="s">
        <v>33</v>
      </c>
      <c r="R6" s="126"/>
      <c r="S6" s="126"/>
      <c r="T6" s="127"/>
    </row>
    <row r="7" spans="1:20" ht="30" customHeight="1" x14ac:dyDescent="0.3">
      <c r="A7" s="65" t="s">
        <v>36</v>
      </c>
      <c r="B7" s="3">
        <v>56</v>
      </c>
      <c r="C7" s="3">
        <v>75</v>
      </c>
      <c r="D7" s="3">
        <v>56</v>
      </c>
      <c r="E7" s="3">
        <v>64</v>
      </c>
      <c r="F7" s="3">
        <v>90</v>
      </c>
      <c r="G7" s="3">
        <v>78</v>
      </c>
      <c r="H7" s="3">
        <v>79</v>
      </c>
      <c r="I7" s="3">
        <v>65</v>
      </c>
      <c r="J7" s="3">
        <v>64</v>
      </c>
      <c r="K7" s="3">
        <v>78</v>
      </c>
      <c r="L7" s="3">
        <v>64</v>
      </c>
      <c r="M7" s="71">
        <v>60</v>
      </c>
      <c r="N7" s="3">
        <v>72</v>
      </c>
      <c r="O7" s="3">
        <v>65</v>
      </c>
    </row>
    <row r="8" spans="1:20" ht="30" customHeight="1" x14ac:dyDescent="0.3">
      <c r="A8" s="81" t="s">
        <v>74</v>
      </c>
      <c r="B8" s="3">
        <v>-77</v>
      </c>
      <c r="C8" s="3">
        <v>-92</v>
      </c>
      <c r="D8" s="3">
        <v>-95</v>
      </c>
      <c r="E8" s="3">
        <v>-95</v>
      </c>
      <c r="F8" s="3">
        <v>-91</v>
      </c>
      <c r="G8" s="3">
        <v>-85</v>
      </c>
      <c r="H8" s="3">
        <v>-84</v>
      </c>
      <c r="I8" s="3">
        <v>-10</v>
      </c>
      <c r="J8" s="3">
        <v>-35</v>
      </c>
      <c r="K8" s="3">
        <v>-17</v>
      </c>
      <c r="L8" s="3">
        <v>25</v>
      </c>
      <c r="M8" s="82">
        <v>-2</v>
      </c>
      <c r="N8" s="3">
        <v>99</v>
      </c>
      <c r="O8" s="3">
        <v>-26</v>
      </c>
      <c r="Q8">
        <f>AVERAGE(B8:O8)</f>
        <v>-41.785714285714285</v>
      </c>
    </row>
    <row r="9" spans="1:20" ht="15" thickBot="1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1"/>
      <c r="N9" s="1"/>
      <c r="Q9">
        <f>MIN(B8:O8)</f>
        <v>-95</v>
      </c>
    </row>
    <row r="10" spans="1:20" ht="27.9" customHeight="1" thickBot="1" x14ac:dyDescent="0.35">
      <c r="A10" s="5"/>
      <c r="B10" s="122" t="s">
        <v>21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4"/>
    </row>
    <row r="11" spans="1:20" ht="30" customHeight="1" x14ac:dyDescent="0.3">
      <c r="A11" s="30" t="s">
        <v>40</v>
      </c>
      <c r="B11" s="31">
        <v>43630</v>
      </c>
      <c r="C11" s="31">
        <v>43636</v>
      </c>
      <c r="D11" s="31">
        <v>43638</v>
      </c>
      <c r="E11" s="31">
        <v>43644</v>
      </c>
      <c r="F11" s="31">
        <v>43651</v>
      </c>
      <c r="G11" s="31">
        <v>43658</v>
      </c>
      <c r="H11" s="31">
        <v>43665</v>
      </c>
      <c r="I11" s="31">
        <v>43672</v>
      </c>
      <c r="J11" s="31">
        <v>43679</v>
      </c>
      <c r="K11" s="31">
        <v>43686</v>
      </c>
      <c r="L11" s="31">
        <v>43693</v>
      </c>
      <c r="M11" s="31">
        <v>43700</v>
      </c>
      <c r="N11" s="31">
        <v>43706</v>
      </c>
      <c r="O11" s="31">
        <v>43714</v>
      </c>
    </row>
    <row r="12" spans="1:20" ht="30" customHeight="1" x14ac:dyDescent="0.3">
      <c r="A12" s="29" t="s">
        <v>39</v>
      </c>
      <c r="B12" s="22" t="s">
        <v>13</v>
      </c>
      <c r="C12" s="22" t="s">
        <v>10</v>
      </c>
      <c r="D12" s="22" t="s">
        <v>14</v>
      </c>
      <c r="E12" s="22" t="s">
        <v>15</v>
      </c>
      <c r="F12" s="19" t="s">
        <v>23</v>
      </c>
      <c r="G12" s="19" t="s">
        <v>12</v>
      </c>
      <c r="H12" s="19" t="s">
        <v>24</v>
      </c>
      <c r="I12" s="19" t="s">
        <v>25</v>
      </c>
      <c r="J12" s="19" t="s">
        <v>26</v>
      </c>
      <c r="K12" s="19" t="s">
        <v>27</v>
      </c>
      <c r="L12" s="11" t="s">
        <v>28</v>
      </c>
      <c r="M12" s="100" t="s">
        <v>29</v>
      </c>
      <c r="N12" s="11" t="s">
        <v>30</v>
      </c>
      <c r="O12" s="11" t="s">
        <v>11</v>
      </c>
      <c r="R12" s="99"/>
    </row>
    <row r="13" spans="1:20" ht="30" customHeight="1" x14ac:dyDescent="0.3">
      <c r="A13" s="16" t="s">
        <v>75</v>
      </c>
      <c r="B13" s="19">
        <v>1</v>
      </c>
      <c r="C13" s="19">
        <v>3</v>
      </c>
      <c r="D13" s="19">
        <v>1</v>
      </c>
      <c r="E13" s="19">
        <v>-2</v>
      </c>
      <c r="F13" s="19">
        <v>-4</v>
      </c>
      <c r="G13" s="19">
        <v>-5</v>
      </c>
      <c r="H13" s="19">
        <v>-5</v>
      </c>
      <c r="I13" s="19">
        <v>-5</v>
      </c>
      <c r="J13" s="19">
        <v>-3</v>
      </c>
      <c r="K13" s="19">
        <v>5</v>
      </c>
      <c r="L13" s="19">
        <v>6</v>
      </c>
      <c r="M13" s="19">
        <v>8</v>
      </c>
      <c r="N13" s="19">
        <v>9</v>
      </c>
      <c r="O13" s="19">
        <v>12</v>
      </c>
      <c r="P13" s="111" t="s">
        <v>122</v>
      </c>
      <c r="R13" s="99"/>
    </row>
    <row r="14" spans="1:20" ht="30" customHeight="1" x14ac:dyDescent="0.3">
      <c r="A14" s="20" t="s">
        <v>55</v>
      </c>
      <c r="B14" s="11">
        <f>ABS(B$13-B$8)</f>
        <v>78</v>
      </c>
      <c r="C14" s="11">
        <f t="shared" ref="C14:O14" si="0">ABS(C$13-C$8)</f>
        <v>95</v>
      </c>
      <c r="D14" s="11">
        <f t="shared" si="0"/>
        <v>96</v>
      </c>
      <c r="E14" s="11">
        <f t="shared" si="0"/>
        <v>93</v>
      </c>
      <c r="F14" s="11">
        <f t="shared" si="0"/>
        <v>87</v>
      </c>
      <c r="G14" s="11">
        <f t="shared" si="0"/>
        <v>80</v>
      </c>
      <c r="H14" s="11">
        <f t="shared" si="0"/>
        <v>79</v>
      </c>
      <c r="I14" s="11">
        <f t="shared" si="0"/>
        <v>5</v>
      </c>
      <c r="J14" s="11">
        <f t="shared" si="0"/>
        <v>32</v>
      </c>
      <c r="K14" s="11">
        <f t="shared" si="0"/>
        <v>22</v>
      </c>
      <c r="L14" s="11">
        <f t="shared" si="0"/>
        <v>19</v>
      </c>
      <c r="M14" s="11">
        <f t="shared" si="0"/>
        <v>10</v>
      </c>
      <c r="N14" s="11">
        <f t="shared" si="0"/>
        <v>90</v>
      </c>
      <c r="O14" s="11">
        <f t="shared" si="0"/>
        <v>38</v>
      </c>
      <c r="P14" s="108">
        <f>AVERAGE(B14:O14)</f>
        <v>58.857142857142854</v>
      </c>
    </row>
    <row r="16" spans="1:20" x14ac:dyDescent="0.3">
      <c r="A16" t="s">
        <v>128</v>
      </c>
      <c r="B16" s="109"/>
      <c r="C16" s="109"/>
      <c r="D16" s="109"/>
      <c r="E16" s="109"/>
      <c r="F16" s="109"/>
      <c r="G16" s="109"/>
      <c r="H16" s="109"/>
      <c r="I16" s="109"/>
      <c r="J16" s="109"/>
      <c r="K16" s="109"/>
      <c r="L16" s="109"/>
      <c r="M16" s="109"/>
      <c r="N16" s="109"/>
      <c r="O16" s="109"/>
      <c r="P16">
        <f>SUM(B16:O16)</f>
        <v>0</v>
      </c>
    </row>
    <row r="17" spans="1:16" x14ac:dyDescent="0.3"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</row>
    <row r="18" spans="1:16" x14ac:dyDescent="0.3">
      <c r="A18" t="s">
        <v>129</v>
      </c>
      <c r="B18" s="109">
        <v>1</v>
      </c>
      <c r="C18" s="109">
        <v>1</v>
      </c>
      <c r="D18" s="109">
        <v>1</v>
      </c>
      <c r="E18" s="109">
        <v>1</v>
      </c>
      <c r="F18" s="109">
        <v>1</v>
      </c>
      <c r="G18" s="109">
        <v>1</v>
      </c>
      <c r="H18" s="109">
        <v>1</v>
      </c>
      <c r="I18" s="109"/>
      <c r="J18" s="109"/>
      <c r="K18" s="109"/>
      <c r="L18" s="109"/>
      <c r="M18" s="109"/>
      <c r="N18" s="109"/>
      <c r="O18" s="109"/>
      <c r="P18">
        <f>SUM(B18:O18)</f>
        <v>7</v>
      </c>
    </row>
  </sheetData>
  <mergeCells count="3">
    <mergeCell ref="B3:O3"/>
    <mergeCell ref="Q6:T6"/>
    <mergeCell ref="B10:O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76FAD-5BC8-446B-860F-047479B24EE9}">
  <dimension ref="A1:T18"/>
  <sheetViews>
    <sheetView topLeftCell="A2" workbookViewId="0">
      <selection activeCell="P20" sqref="P20"/>
    </sheetView>
  </sheetViews>
  <sheetFormatPr defaultRowHeight="14.4" x14ac:dyDescent="0.3"/>
  <cols>
    <col min="1" max="1" width="25.33203125" customWidth="1"/>
    <col min="2" max="15" width="10.6640625" customWidth="1"/>
    <col min="16" max="16" width="8.88671875" customWidth="1"/>
  </cols>
  <sheetData>
    <row r="1" spans="1:20" ht="15" thickBot="1" x14ac:dyDescent="0.35"/>
    <row r="2" spans="1:20" ht="27.9" customHeight="1" thickBot="1" x14ac:dyDescent="0.35">
      <c r="A2" s="23" t="s">
        <v>17</v>
      </c>
    </row>
    <row r="3" spans="1:20" ht="27.9" customHeight="1" thickBot="1" x14ac:dyDescent="0.35">
      <c r="A3" s="24" t="s">
        <v>45</v>
      </c>
      <c r="B3" s="119" t="s">
        <v>22</v>
      </c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1"/>
    </row>
    <row r="4" spans="1:20" ht="30" customHeight="1" x14ac:dyDescent="0.3">
      <c r="A4" s="30" t="s">
        <v>40</v>
      </c>
      <c r="B4" s="31">
        <v>43630</v>
      </c>
      <c r="C4" s="31">
        <v>43636</v>
      </c>
      <c r="D4" s="31">
        <v>43638</v>
      </c>
      <c r="E4" s="31">
        <v>43644</v>
      </c>
      <c r="F4" s="31">
        <v>43651</v>
      </c>
      <c r="G4" s="31">
        <v>43658</v>
      </c>
      <c r="H4" s="31">
        <v>43665</v>
      </c>
      <c r="I4" s="31">
        <v>43672</v>
      </c>
      <c r="J4" s="31">
        <v>43679</v>
      </c>
      <c r="K4" s="31">
        <v>43686</v>
      </c>
      <c r="L4" s="31">
        <v>43693</v>
      </c>
      <c r="M4" s="31">
        <v>43700</v>
      </c>
      <c r="N4" s="31">
        <v>43706</v>
      </c>
      <c r="O4" s="31">
        <v>43714</v>
      </c>
    </row>
    <row r="5" spans="1:20" ht="30" customHeight="1" x14ac:dyDescent="0.3">
      <c r="A5" s="103" t="s">
        <v>84</v>
      </c>
      <c r="B5" s="104">
        <v>165</v>
      </c>
      <c r="C5" s="104" t="s">
        <v>85</v>
      </c>
      <c r="D5" s="104" t="s">
        <v>86</v>
      </c>
      <c r="E5" s="104" t="s">
        <v>87</v>
      </c>
      <c r="F5" s="104" t="s">
        <v>88</v>
      </c>
      <c r="G5" s="104" t="s">
        <v>89</v>
      </c>
      <c r="H5" s="104" t="s">
        <v>90</v>
      </c>
      <c r="I5" s="104" t="s">
        <v>91</v>
      </c>
      <c r="J5" s="104" t="s">
        <v>92</v>
      </c>
      <c r="K5" s="104" t="s">
        <v>93</v>
      </c>
      <c r="L5" s="104" t="s">
        <v>94</v>
      </c>
      <c r="M5" s="104" t="s">
        <v>95</v>
      </c>
      <c r="N5" s="104" t="s">
        <v>96</v>
      </c>
      <c r="O5" s="104" t="s">
        <v>97</v>
      </c>
    </row>
    <row r="6" spans="1:20" ht="30" customHeight="1" x14ac:dyDescent="0.3">
      <c r="A6" s="29" t="s">
        <v>39</v>
      </c>
      <c r="B6" s="66" t="s">
        <v>13</v>
      </c>
      <c r="C6" s="67" t="s">
        <v>10</v>
      </c>
      <c r="D6" s="67" t="s">
        <v>14</v>
      </c>
      <c r="E6" s="78" t="s">
        <v>15</v>
      </c>
      <c r="F6" s="78" t="s">
        <v>23</v>
      </c>
      <c r="G6" s="78" t="s">
        <v>12</v>
      </c>
      <c r="H6" s="78" t="s">
        <v>24</v>
      </c>
      <c r="I6" s="78" t="s">
        <v>25</v>
      </c>
      <c r="J6" s="78" t="s">
        <v>26</v>
      </c>
      <c r="K6" s="78" t="s">
        <v>27</v>
      </c>
      <c r="L6" s="69" t="s">
        <v>28</v>
      </c>
      <c r="M6" s="101" t="s">
        <v>29</v>
      </c>
      <c r="N6" s="69" t="s">
        <v>30</v>
      </c>
      <c r="O6" s="69" t="s">
        <v>11</v>
      </c>
      <c r="Q6" s="125" t="s">
        <v>34</v>
      </c>
      <c r="R6" s="126"/>
      <c r="S6" s="126"/>
      <c r="T6" s="127"/>
    </row>
    <row r="7" spans="1:20" ht="30" customHeight="1" x14ac:dyDescent="0.3">
      <c r="A7" s="65" t="s">
        <v>36</v>
      </c>
      <c r="B7" s="3">
        <v>56</v>
      </c>
      <c r="C7" s="3">
        <v>60</v>
      </c>
      <c r="D7" s="3">
        <v>86</v>
      </c>
      <c r="E7" s="3">
        <v>75</v>
      </c>
      <c r="F7" s="3">
        <v>67</v>
      </c>
      <c r="G7" s="3">
        <v>66</v>
      </c>
      <c r="H7" s="3">
        <v>82</v>
      </c>
      <c r="I7" s="3">
        <v>67</v>
      </c>
      <c r="J7" s="3">
        <v>62</v>
      </c>
      <c r="K7" s="3">
        <v>76</v>
      </c>
      <c r="L7" s="3">
        <v>93</v>
      </c>
      <c r="M7" s="71">
        <v>83</v>
      </c>
      <c r="N7" s="3">
        <v>78</v>
      </c>
      <c r="O7" s="3">
        <v>80</v>
      </c>
    </row>
    <row r="8" spans="1:20" ht="30" customHeight="1" x14ac:dyDescent="0.3">
      <c r="A8" s="10" t="s">
        <v>74</v>
      </c>
      <c r="B8" s="3">
        <v>19</v>
      </c>
      <c r="C8" s="3">
        <v>262</v>
      </c>
      <c r="D8" s="3">
        <v>220</v>
      </c>
      <c r="E8" s="3">
        <v>63</v>
      </c>
      <c r="F8" s="3">
        <v>6</v>
      </c>
      <c r="G8" s="3">
        <v>112</v>
      </c>
      <c r="H8" s="3">
        <v>87</v>
      </c>
      <c r="I8" s="3">
        <v>14</v>
      </c>
      <c r="J8" s="3">
        <v>101</v>
      </c>
      <c r="K8" s="3">
        <v>-98</v>
      </c>
      <c r="L8" s="3">
        <v>-72</v>
      </c>
      <c r="M8" s="82">
        <v>17</v>
      </c>
      <c r="N8" s="3">
        <v>22</v>
      </c>
      <c r="O8" s="3">
        <v>-66</v>
      </c>
      <c r="Q8">
        <f>AVERAGE(B8:O8)</f>
        <v>49.071428571428569</v>
      </c>
    </row>
    <row r="9" spans="1:20" ht="15" thickBot="1" x14ac:dyDescent="0.35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1"/>
      <c r="N9" s="1"/>
      <c r="Q9">
        <f>MIN(C8:O8)</f>
        <v>-98</v>
      </c>
    </row>
    <row r="10" spans="1:20" ht="27.9" customHeight="1" thickBot="1" x14ac:dyDescent="0.35">
      <c r="A10" s="5"/>
      <c r="B10" s="122" t="s">
        <v>21</v>
      </c>
      <c r="C10" s="123"/>
      <c r="D10" s="123"/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4"/>
    </row>
    <row r="11" spans="1:20" ht="30" customHeight="1" x14ac:dyDescent="0.3">
      <c r="A11" s="30" t="s">
        <v>40</v>
      </c>
      <c r="B11" s="31">
        <v>43630</v>
      </c>
      <c r="C11" s="31">
        <v>43636</v>
      </c>
      <c r="D11" s="31">
        <v>43638</v>
      </c>
      <c r="E11" s="31">
        <v>43644</v>
      </c>
      <c r="F11" s="31">
        <v>43651</v>
      </c>
      <c r="G11" s="31">
        <v>43658</v>
      </c>
      <c r="H11" s="31">
        <v>43665</v>
      </c>
      <c r="I11" s="31">
        <v>43672</v>
      </c>
      <c r="J11" s="31">
        <v>43679</v>
      </c>
      <c r="K11" s="31">
        <v>43686</v>
      </c>
      <c r="L11" s="31">
        <v>43693</v>
      </c>
      <c r="M11" s="31">
        <v>43700</v>
      </c>
      <c r="N11" s="31">
        <v>43706</v>
      </c>
      <c r="O11" s="31">
        <v>43714</v>
      </c>
    </row>
    <row r="12" spans="1:20" ht="30" customHeight="1" x14ac:dyDescent="0.3">
      <c r="A12" s="29" t="s">
        <v>39</v>
      </c>
      <c r="B12" s="18" t="s">
        <v>13</v>
      </c>
      <c r="C12" s="22" t="s">
        <v>10</v>
      </c>
      <c r="D12" s="22" t="s">
        <v>14</v>
      </c>
      <c r="E12" s="19" t="s">
        <v>15</v>
      </c>
      <c r="F12" s="19" t="s">
        <v>23</v>
      </c>
      <c r="G12" s="19" t="s">
        <v>12</v>
      </c>
      <c r="H12" s="19" t="s">
        <v>24</v>
      </c>
      <c r="I12" s="19" t="s">
        <v>25</v>
      </c>
      <c r="J12" s="19" t="s">
        <v>26</v>
      </c>
      <c r="K12" s="19" t="s">
        <v>27</v>
      </c>
      <c r="L12" s="11" t="s">
        <v>28</v>
      </c>
      <c r="M12" s="100" t="s">
        <v>29</v>
      </c>
      <c r="N12" s="11" t="s">
        <v>30</v>
      </c>
      <c r="O12" s="11" t="s">
        <v>11</v>
      </c>
      <c r="R12" s="99"/>
    </row>
    <row r="13" spans="1:20" ht="30" customHeight="1" x14ac:dyDescent="0.3">
      <c r="A13" s="16" t="s">
        <v>75</v>
      </c>
      <c r="B13" s="19">
        <v>3</v>
      </c>
      <c r="C13" s="19">
        <v>11</v>
      </c>
      <c r="D13" s="19">
        <v>13</v>
      </c>
      <c r="E13" s="19">
        <v>15</v>
      </c>
      <c r="F13" s="19">
        <v>16</v>
      </c>
      <c r="G13" s="19">
        <v>17</v>
      </c>
      <c r="H13" s="19">
        <v>19</v>
      </c>
      <c r="I13" s="19">
        <v>20</v>
      </c>
      <c r="J13" s="19">
        <v>24</v>
      </c>
      <c r="K13" s="19">
        <v>33</v>
      </c>
      <c r="L13" s="19">
        <v>34</v>
      </c>
      <c r="M13" s="19">
        <v>37</v>
      </c>
      <c r="N13" s="19">
        <v>37</v>
      </c>
      <c r="O13" s="19">
        <v>39</v>
      </c>
      <c r="P13" s="7" t="s">
        <v>122</v>
      </c>
      <c r="R13" s="99"/>
    </row>
    <row r="14" spans="1:20" ht="30" customHeight="1" x14ac:dyDescent="0.3">
      <c r="A14" s="20" t="s">
        <v>55</v>
      </c>
      <c r="B14" s="11">
        <f>ABS(B$13-B$8)</f>
        <v>16</v>
      </c>
      <c r="C14" s="11">
        <f t="shared" ref="C14:O14" si="0">ABS(C$13-C$8)</f>
        <v>251</v>
      </c>
      <c r="D14" s="11">
        <f t="shared" si="0"/>
        <v>207</v>
      </c>
      <c r="E14" s="11">
        <f t="shared" si="0"/>
        <v>48</v>
      </c>
      <c r="F14" s="11">
        <f t="shared" si="0"/>
        <v>10</v>
      </c>
      <c r="G14" s="11">
        <f t="shared" si="0"/>
        <v>95</v>
      </c>
      <c r="H14" s="11">
        <f t="shared" si="0"/>
        <v>68</v>
      </c>
      <c r="I14" s="11">
        <f t="shared" si="0"/>
        <v>6</v>
      </c>
      <c r="J14" s="11">
        <f t="shared" si="0"/>
        <v>77</v>
      </c>
      <c r="K14" s="11">
        <f t="shared" si="0"/>
        <v>131</v>
      </c>
      <c r="L14" s="11">
        <f t="shared" si="0"/>
        <v>106</v>
      </c>
      <c r="M14" s="11">
        <f t="shared" si="0"/>
        <v>20</v>
      </c>
      <c r="N14" s="11">
        <f t="shared" si="0"/>
        <v>15</v>
      </c>
      <c r="O14" s="11">
        <f t="shared" si="0"/>
        <v>105</v>
      </c>
      <c r="P14" s="108">
        <f>AVERAGE(B14:O14)</f>
        <v>82.5</v>
      </c>
      <c r="R14" s="1"/>
    </row>
    <row r="16" spans="1:20" x14ac:dyDescent="0.3">
      <c r="A16" t="s">
        <v>128</v>
      </c>
      <c r="B16" s="109"/>
      <c r="C16" s="109">
        <v>1</v>
      </c>
      <c r="D16" s="109">
        <v>1</v>
      </c>
      <c r="E16" s="109"/>
      <c r="F16" s="109"/>
      <c r="G16" s="109">
        <v>1</v>
      </c>
      <c r="H16" s="109">
        <v>1</v>
      </c>
      <c r="I16" s="109"/>
      <c r="J16" s="109">
        <v>1</v>
      </c>
      <c r="K16" s="109">
        <v>1</v>
      </c>
      <c r="L16" s="109">
        <v>1</v>
      </c>
      <c r="M16" s="109"/>
      <c r="N16" s="109"/>
      <c r="O16" s="109"/>
      <c r="P16">
        <f>SUM(B16:O16)</f>
        <v>7</v>
      </c>
    </row>
    <row r="17" spans="1:16" x14ac:dyDescent="0.3"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</row>
    <row r="18" spans="1:16" x14ac:dyDescent="0.3">
      <c r="A18" t="s">
        <v>129</v>
      </c>
      <c r="B18" s="109"/>
      <c r="C18" s="109"/>
      <c r="D18" s="109"/>
      <c r="E18" s="109"/>
      <c r="F18" s="109"/>
      <c r="G18" s="109"/>
      <c r="H18" s="109"/>
      <c r="I18" s="109"/>
      <c r="J18" s="109"/>
      <c r="K18" s="109"/>
      <c r="L18" s="109"/>
      <c r="M18" s="109"/>
      <c r="N18" s="109"/>
      <c r="O18" s="109"/>
      <c r="P18">
        <v>0</v>
      </c>
    </row>
  </sheetData>
  <mergeCells count="3">
    <mergeCell ref="B3:O3"/>
    <mergeCell ref="B10:O10"/>
    <mergeCell ref="Q6:T6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9903D-BA7C-45D4-BB6F-371332673BAE}">
  <dimension ref="A1:G11"/>
  <sheetViews>
    <sheetView workbookViewId="0">
      <selection activeCell="F17" sqref="F17"/>
    </sheetView>
  </sheetViews>
  <sheetFormatPr defaultRowHeight="14.4" x14ac:dyDescent="0.3"/>
  <cols>
    <col min="1" max="1" width="25.5546875" customWidth="1"/>
    <col min="2" max="2" width="11.109375" customWidth="1"/>
    <col min="3" max="3" width="11" customWidth="1"/>
    <col min="6" max="6" width="15.88671875" customWidth="1"/>
  </cols>
  <sheetData>
    <row r="1" spans="1:7" ht="24.75" customHeight="1" x14ac:dyDescent="0.3">
      <c r="A1" s="85" t="s">
        <v>64</v>
      </c>
    </row>
    <row r="2" spans="1:7" s="84" customFormat="1" ht="38.25" customHeight="1" x14ac:dyDescent="0.3">
      <c r="B2" s="86" t="s">
        <v>65</v>
      </c>
      <c r="C2" s="86" t="s">
        <v>66</v>
      </c>
      <c r="D2" s="86" t="s">
        <v>67</v>
      </c>
      <c r="F2" s="88" t="s">
        <v>69</v>
      </c>
    </row>
    <row r="3" spans="1:7" ht="20.100000000000001" customHeight="1" x14ac:dyDescent="0.35">
      <c r="A3" s="20" t="s">
        <v>130</v>
      </c>
      <c r="B3" s="112">
        <v>3</v>
      </c>
      <c r="C3" s="112">
        <v>1</v>
      </c>
      <c r="D3" s="112">
        <v>38</v>
      </c>
      <c r="F3" s="84" t="s">
        <v>68</v>
      </c>
      <c r="G3" t="s">
        <v>71</v>
      </c>
    </row>
    <row r="4" spans="1:7" ht="20.100000000000001" customHeight="1" x14ac:dyDescent="0.3">
      <c r="A4" s="20" t="s">
        <v>131</v>
      </c>
      <c r="B4" s="112">
        <v>3</v>
      </c>
      <c r="C4" s="112">
        <v>1</v>
      </c>
      <c r="D4" s="112">
        <v>40</v>
      </c>
      <c r="F4" s="84"/>
    </row>
    <row r="5" spans="1:7" ht="20.100000000000001" customHeight="1" x14ac:dyDescent="0.3">
      <c r="A5" s="20" t="s">
        <v>123</v>
      </c>
      <c r="B5" s="112">
        <v>0</v>
      </c>
      <c r="C5" s="112">
        <v>3</v>
      </c>
      <c r="D5" s="112">
        <v>36</v>
      </c>
      <c r="F5" t="s">
        <v>70</v>
      </c>
      <c r="G5" t="s">
        <v>72</v>
      </c>
    </row>
    <row r="6" spans="1:7" ht="20.100000000000001" customHeight="1" x14ac:dyDescent="0.3">
      <c r="A6" s="20" t="s">
        <v>124</v>
      </c>
      <c r="B6" s="112">
        <v>0</v>
      </c>
      <c r="C6" s="112">
        <v>0</v>
      </c>
      <c r="D6" s="112">
        <v>10</v>
      </c>
    </row>
    <row r="7" spans="1:7" ht="20.100000000000001" customHeight="1" x14ac:dyDescent="0.3">
      <c r="A7" s="20" t="s">
        <v>125</v>
      </c>
      <c r="B7" s="112">
        <v>10</v>
      </c>
      <c r="C7" s="112">
        <v>0</v>
      </c>
      <c r="D7" s="112">
        <v>207</v>
      </c>
      <c r="F7" t="s">
        <v>76</v>
      </c>
      <c r="G7" t="s">
        <v>77</v>
      </c>
    </row>
    <row r="8" spans="1:7" ht="20.100000000000001" customHeight="1" x14ac:dyDescent="0.3">
      <c r="A8" s="20" t="s">
        <v>126</v>
      </c>
      <c r="B8" s="112">
        <v>7</v>
      </c>
      <c r="C8" s="112">
        <v>0</v>
      </c>
      <c r="D8" s="112">
        <v>83</v>
      </c>
    </row>
    <row r="9" spans="1:7" ht="20.100000000000001" customHeight="1" x14ac:dyDescent="0.3">
      <c r="A9" s="20" t="s">
        <v>127</v>
      </c>
      <c r="B9" s="112">
        <v>7</v>
      </c>
      <c r="C9" s="112">
        <v>6</v>
      </c>
      <c r="D9" s="112">
        <v>66</v>
      </c>
    </row>
    <row r="10" spans="1:7" ht="20.100000000000001" customHeight="1" x14ac:dyDescent="0.3">
      <c r="A10" s="20" t="s">
        <v>132</v>
      </c>
      <c r="B10" s="112">
        <v>0</v>
      </c>
      <c r="C10" s="112">
        <v>7</v>
      </c>
      <c r="D10" s="112">
        <v>59</v>
      </c>
    </row>
    <row r="11" spans="1:7" ht="20.100000000000001" customHeight="1" x14ac:dyDescent="0.3">
      <c r="A11" s="20"/>
      <c r="B11" s="20"/>
      <c r="C11" s="20"/>
      <c r="D11" s="11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C10E-7E44-4F55-A44A-ECB1FE28A573}">
  <dimension ref="B3:H5"/>
  <sheetViews>
    <sheetView workbookViewId="0">
      <selection activeCell="L3" sqref="L3"/>
    </sheetView>
  </sheetViews>
  <sheetFormatPr defaultRowHeight="14.4" x14ac:dyDescent="0.3"/>
  <sheetData>
    <row r="3" spans="2:8" x14ac:dyDescent="0.3">
      <c r="B3" t="s">
        <v>119</v>
      </c>
    </row>
    <row r="5" spans="2:8" x14ac:dyDescent="0.3">
      <c r="B5" t="s">
        <v>114</v>
      </c>
      <c r="C5" t="s">
        <v>112</v>
      </c>
      <c r="D5" t="s">
        <v>113</v>
      </c>
      <c r="E5" t="s">
        <v>115</v>
      </c>
      <c r="F5" t="s">
        <v>117</v>
      </c>
      <c r="G5" t="s">
        <v>116</v>
      </c>
      <c r="H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Info</vt:lpstr>
      <vt:lpstr>Phytoplankton</vt:lpstr>
      <vt:lpstr>Copepoda predatory</vt:lpstr>
      <vt:lpstr>Nauplia</vt:lpstr>
      <vt:lpstr>Copepoda predatory - ALL</vt:lpstr>
      <vt:lpstr>Rotifera herbivorous 2</vt:lpstr>
      <vt:lpstr>Daphnidae</vt:lpstr>
      <vt:lpstr>Daphnidae - revised</vt:lpstr>
      <vt:lpstr>Cladocera small</vt:lpstr>
      <vt:lpstr>Final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Chiara Accolla</dc:creator>
  <cp:lastModifiedBy>Steve</cp:lastModifiedBy>
  <dcterms:created xsi:type="dcterms:W3CDTF">2022-02-22T18:19:44Z</dcterms:created>
  <dcterms:modified xsi:type="dcterms:W3CDTF">2022-09-30T14:44:08Z</dcterms:modified>
</cp:coreProperties>
</file>