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pgroup.sharepoint.com/sites/CH_P_220256/Documents/40_BEARBEITUNG/3_0_0_Documentation/08_FINAL_Github/Results/1_Calibration to control/"/>
    </mc:Choice>
  </mc:AlternateContent>
  <xr:revisionPtr revIDLastSave="105" documentId="8_{DB1F812E-7139-4FF7-B314-B044F1645047}" xr6:coauthVersionLast="47" xr6:coauthVersionMax="47" xr10:uidLastSave="{028FF955-6CE1-4573-A9B6-89E4CFB839DF}"/>
  <bookViews>
    <workbookView xWindow="570" yWindow="135" windowWidth="28065" windowHeight="19830" tabRatio="721" xr2:uid="{25742E95-71A2-47F4-BADB-F3B141FE90A1}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  <sheet name="raw data rev best" sheetId="7" state="hidden" r:id="rId6"/>
    <sheet name="raw data rev top set" sheetId="8" state="hidden" r:id="rId7"/>
  </sheets>
  <definedNames>
    <definedName name="_xlnm._FilterDatabase" localSheetId="5" hidden="1">'raw data rev best'!$A$1:$R$27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3" i="1" s="1"/>
  <c r="C18" i="1"/>
  <c r="C22" i="1"/>
  <c r="C11" i="4"/>
  <c r="C12" i="3"/>
  <c r="C16" i="2"/>
  <c r="I3" i="1"/>
  <c r="B14" i="2" l="1"/>
  <c r="F6" i="2"/>
  <c r="G6" i="2"/>
  <c r="B17" i="1"/>
  <c r="T7" i="2"/>
  <c r="P7" i="2"/>
  <c r="L7" i="2"/>
  <c r="H7" i="2"/>
  <c r="P3" i="2"/>
  <c r="T3" i="2"/>
  <c r="L3" i="2"/>
  <c r="H3" i="2"/>
  <c r="B15" i="2" l="1"/>
  <c r="L6" i="7"/>
  <c r="K6" i="7"/>
  <c r="H6" i="7"/>
  <c r="G6" i="7"/>
  <c r="D12" i="7"/>
  <c r="D19" i="7"/>
  <c r="C19" i="7"/>
  <c r="C12" i="7"/>
  <c r="D3" i="7"/>
  <c r="C3" i="7"/>
  <c r="F4" i="4"/>
  <c r="G4" i="4"/>
  <c r="H4" i="4"/>
  <c r="I4" i="4"/>
  <c r="J4" i="4"/>
  <c r="K4" i="4"/>
  <c r="F5" i="4"/>
  <c r="G5" i="4"/>
  <c r="H5" i="4"/>
  <c r="I5" i="4"/>
  <c r="J5" i="4"/>
  <c r="K5" i="4"/>
  <c r="K3" i="4"/>
  <c r="J3" i="4"/>
  <c r="I3" i="4"/>
  <c r="H3" i="4"/>
  <c r="G3" i="4"/>
  <c r="F3" i="4"/>
  <c r="E4" i="4"/>
  <c r="E5" i="4"/>
  <c r="E3" i="4"/>
  <c r="D4" i="4"/>
  <c r="D5" i="4"/>
  <c r="D3" i="4"/>
  <c r="J4" i="3"/>
  <c r="K4" i="3"/>
  <c r="J5" i="3"/>
  <c r="K5" i="3"/>
  <c r="J6" i="3"/>
  <c r="K6" i="3"/>
  <c r="K3" i="3"/>
  <c r="J3" i="3"/>
  <c r="H4" i="3"/>
  <c r="I4" i="3"/>
  <c r="H5" i="3"/>
  <c r="I5" i="3"/>
  <c r="H6" i="3"/>
  <c r="I6" i="3"/>
  <c r="I3" i="3"/>
  <c r="H3" i="3"/>
  <c r="F4" i="3"/>
  <c r="G4" i="3"/>
  <c r="F5" i="3"/>
  <c r="G5" i="3"/>
  <c r="F6" i="3"/>
  <c r="G6" i="3"/>
  <c r="G3" i="3"/>
  <c r="F3" i="3"/>
  <c r="D4" i="3"/>
  <c r="E4" i="3"/>
  <c r="D5" i="3"/>
  <c r="E5" i="3"/>
  <c r="D6" i="3"/>
  <c r="E6" i="3"/>
  <c r="E3" i="3"/>
  <c r="D3" i="3"/>
  <c r="I3" i="2"/>
  <c r="V11" i="2"/>
  <c r="U11" i="2"/>
  <c r="R11" i="2"/>
  <c r="Q11" i="2"/>
  <c r="N11" i="2"/>
  <c r="M11" i="2"/>
  <c r="J11" i="2"/>
  <c r="I11" i="2"/>
  <c r="V10" i="2"/>
  <c r="U10" i="2"/>
  <c r="R10" i="2"/>
  <c r="Q10" i="2"/>
  <c r="N10" i="2"/>
  <c r="M10" i="2"/>
  <c r="J10" i="2"/>
  <c r="I10" i="2"/>
  <c r="V9" i="2"/>
  <c r="U9" i="2"/>
  <c r="R9" i="2"/>
  <c r="Q9" i="2"/>
  <c r="N9" i="2"/>
  <c r="M9" i="2"/>
  <c r="J9" i="2"/>
  <c r="I9" i="2"/>
  <c r="V7" i="2"/>
  <c r="U7" i="2"/>
  <c r="R7" i="2"/>
  <c r="Q7" i="2"/>
  <c r="N7" i="2"/>
  <c r="M7" i="2"/>
  <c r="J7" i="2"/>
  <c r="I7" i="2"/>
  <c r="V6" i="2"/>
  <c r="U6" i="2"/>
  <c r="R6" i="2"/>
  <c r="Q6" i="2"/>
  <c r="N6" i="2"/>
  <c r="M6" i="2"/>
  <c r="J6" i="2"/>
  <c r="I6" i="2"/>
  <c r="V5" i="2"/>
  <c r="U5" i="2"/>
  <c r="R5" i="2"/>
  <c r="Q5" i="2"/>
  <c r="N5" i="2"/>
  <c r="M5" i="2"/>
  <c r="J5" i="2"/>
  <c r="I5" i="2"/>
  <c r="V4" i="2"/>
  <c r="U4" i="2"/>
  <c r="R4" i="2"/>
  <c r="Q4" i="2"/>
  <c r="N4" i="2"/>
  <c r="M4" i="2"/>
  <c r="J4" i="2"/>
  <c r="I4" i="2"/>
  <c r="V3" i="2"/>
  <c r="U3" i="2"/>
  <c r="R3" i="2"/>
  <c r="Q3" i="2"/>
  <c r="N3" i="2"/>
  <c r="M3" i="2"/>
  <c r="J3" i="2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V3" i="1"/>
  <c r="U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R3" i="1"/>
  <c r="Q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N3" i="1"/>
  <c r="M3" i="1"/>
  <c r="J4" i="1"/>
  <c r="J5" i="1"/>
  <c r="J6" i="1"/>
  <c r="J7" i="1"/>
  <c r="J8" i="1"/>
  <c r="J9" i="1"/>
  <c r="J10" i="1"/>
  <c r="J11" i="1"/>
  <c r="J12" i="1"/>
  <c r="J13" i="1"/>
  <c r="J3" i="1"/>
  <c r="I4" i="1"/>
  <c r="I5" i="1"/>
  <c r="I6" i="1"/>
  <c r="I7" i="1"/>
  <c r="I8" i="1"/>
  <c r="I9" i="1"/>
  <c r="I10" i="1"/>
  <c r="I11" i="1"/>
  <c r="I12" i="1"/>
  <c r="I13" i="1"/>
  <c r="T13" i="1" l="1"/>
  <c r="T7" i="1"/>
  <c r="T4" i="1"/>
  <c r="P13" i="1"/>
  <c r="P7" i="1"/>
  <c r="P4" i="1"/>
  <c r="L13" i="1"/>
  <c r="L7" i="1"/>
  <c r="L4" i="1"/>
  <c r="H13" i="1"/>
  <c r="H4" i="1"/>
  <c r="B21" i="1" l="1"/>
  <c r="B11" i="4"/>
  <c r="B12" i="3"/>
  <c r="B16" i="2"/>
  <c r="B18" i="1"/>
  <c r="B22" i="1" l="1"/>
  <c r="B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tc={7F67B2D9-DC2F-4315-8589-34224B25D570}</author>
    <author>tc={2A51C9E1-9FC9-4196-A2FC-C532E208CE8A}</author>
  </authors>
  <commentList>
    <comment ref="F6" authorId="0" shapeId="0" xr:uid="{7F67B2D9-DC2F-4315-8589-34224B25D57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Copepoda_predatory + Nauplia</t>
      </text>
    </comment>
    <comment ref="G6" authorId="1" shapeId="0" xr:uid="{2A51C9E1-9FC9-4196-A2FC-C532E208CE8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Copepoda predatory + Nauplia</t>
      </text>
    </comment>
  </commentList>
</comments>
</file>

<file path=xl/sharedStrings.xml><?xml version="1.0" encoding="utf-8"?>
<sst xmlns="http://schemas.openxmlformats.org/spreadsheetml/2006/main" count="532" uniqueCount="174">
  <si>
    <t>************ Feb 2022 *****************</t>
  </si>
  <si>
    <t>****** Calibration criteria and model results for each mesocosm study (14a, 16a, 18c, 19b) ******</t>
  </si>
  <si>
    <t>******</t>
  </si>
  <si>
    <t>Each sheet refers to the different species groups</t>
  </si>
  <si>
    <t>*****</t>
  </si>
  <si>
    <t>Please fill in the results of the model simulations (4 different runs for the 4 different studies)</t>
  </si>
  <si>
    <t>If possible, highlight with different colors when the model met or didn't meet the calibration criteria</t>
  </si>
  <si>
    <t>Refer to  the file "Criteria_ModelCalib_Dec2021.docx" on Teams for further information about the calibration criteria (Documents &gt; General &gt; Calibration),</t>
  </si>
  <si>
    <t>or to the preseantation "Calibration Results.pptx" (General &gt; Meeting_files &gt; Feb 2022 Meetings)</t>
  </si>
  <si>
    <t>CALIBRATION CRITERIA</t>
  </si>
  <si>
    <t>Model outputs: simulation of study 14a</t>
  </si>
  <si>
    <t>Model outputs: simulation of study 16a</t>
  </si>
  <si>
    <t>Model outputs: simulation of study 18c</t>
  </si>
  <si>
    <t>Model outputs: simulation of study 19b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</si>
  <si>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</si>
  <si>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</si>
  <si>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</si>
  <si>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</si>
  <si>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</si>
  <si>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</si>
  <si>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</si>
  <si>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</t>
  </si>
  <si>
    <t>Minimum abundance  (ind/sample)</t>
  </si>
  <si>
    <t>Mean abundance  (ind/sample)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</si>
  <si>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</si>
  <si>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</si>
  <si>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</si>
  <si>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</si>
  <si>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</si>
  <si>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</si>
  <si>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</si>
  <si>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</si>
  <si>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</si>
  <si>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</si>
  <si>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</si>
  <si>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</si>
  <si>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</si>
  <si>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</si>
  <si>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</si>
  <si>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</si>
  <si>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</si>
  <si>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</si>
  <si>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</si>
  <si>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</si>
  <si>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</si>
  <si>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</si>
  <si>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</si>
  <si>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</si>
  <si>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</si>
  <si>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</si>
  <si>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</si>
  <si>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</si>
  <si>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</si>
  <si>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</si>
  <si>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</si>
  <si>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</si>
  <si>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</si>
  <si>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</si>
  <si>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</si>
  <si>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</si>
  <si>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</si>
  <si>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Best run</t>
  </si>
  <si>
    <t>Co14a_hab1_Asellus_Invertebrates</t>
  </si>
  <si>
    <t>NA</t>
  </si>
  <si>
    <t>Co14a_hab1_Chaoborus_Invertebrates</t>
  </si>
  <si>
    <t>Co14a_hab1_Chironomidae_Invertebrates</t>
  </si>
  <si>
    <t>Co14a_hab1_Cloeon_Invertebrates</t>
  </si>
  <si>
    <t>Co14a_hab1_Gammarus_Invertebrates</t>
  </si>
  <si>
    <t>Co14a_hab1_Gastropoda_Invertebrates</t>
  </si>
  <si>
    <t>Co14a_hab1_Hirudinea_Invertebrates</t>
  </si>
  <si>
    <t>Co14a_hab1_Nepomorpha_Invertebrates</t>
  </si>
  <si>
    <t>Co14a_hab1_Odonata_Invertebrates</t>
  </si>
  <si>
    <t>Co14a_hab1_Oligochaeta_Invertebrates</t>
  </si>
  <si>
    <t>Co14a_hab1_Tanypodinae_Invertebrates</t>
  </si>
  <si>
    <t>Co14a_hab1_CladoceraPhytophilous_Invertebrates</t>
  </si>
  <si>
    <t>Co14a_hab1_CladoceraSmall_Invertebrates</t>
  </si>
  <si>
    <t>Co14a_hab1_CopepodaHerbivorous_Invertebrates</t>
  </si>
  <si>
    <t>Co14a_hab1_CopepodaPredatory_Invertebrates</t>
  </si>
  <si>
    <t>Co14a_hab1_Daphnidae_Invertebrates</t>
  </si>
  <si>
    <t>Co14a_hab1_RotiferaHerbivorous1_Invertebrates</t>
  </si>
  <si>
    <t>Co14a_hab1_RotiferaHerbivorous2_Invertebrates</t>
  </si>
  <si>
    <t>Co14a_hab1_Simocephalus_Invertebrates</t>
  </si>
  <si>
    <t>Co14a_hab1_PhBlueGreens_Algae</t>
  </si>
  <si>
    <t>Co14a_hab1_PhGreens_Algae</t>
  </si>
  <si>
    <t>Co14a_hab1_PhDiatoms_Algae</t>
  </si>
  <si>
    <t>Co14a_hab1_PhCryptophytes_Algae</t>
  </si>
  <si>
    <t>Co14a_hab1_PeBlueGreens_Algae</t>
  </si>
  <si>
    <t>Co14a_hab1_PeGreens_Algae</t>
  </si>
  <si>
    <t>Co14a_hab1_PeDiatoms_Algae</t>
  </si>
  <si>
    <t># criteria</t>
  </si>
  <si>
    <t># criteria met</t>
  </si>
  <si>
    <t># criteria total</t>
  </si>
  <si>
    <t># criteria met total</t>
  </si>
  <si>
    <t>Macroinvertebrates</t>
  </si>
  <si>
    <t>Total</t>
  </si>
  <si>
    <t>Taxa</t>
  </si>
  <si>
    <t>Earliest_peak_date.1.Co14a</t>
  </si>
  <si>
    <t>Latest_peak_date.1.Co14a</t>
  </si>
  <si>
    <t>Min_abundance.1.Co14a</t>
  </si>
  <si>
    <t>Max_abundance.1.Co14a</t>
  </si>
  <si>
    <t>Earliest_peak_date.1.Co16a</t>
  </si>
  <si>
    <t>Latest_peak_date.1.Co16a</t>
  </si>
  <si>
    <t>Min_abundance.1.Co16a</t>
  </si>
  <si>
    <t>Max_abundance.1.Co16a</t>
  </si>
  <si>
    <t>Earliest_peak_date.1.Co18c</t>
  </si>
  <si>
    <t>Latest_peak_date.1.Co18c</t>
  </si>
  <si>
    <t>Min_abundance.1.Co18c</t>
  </si>
  <si>
    <t>Max_abundance.1.Co18c</t>
  </si>
  <si>
    <t>Earliest_peak_date.1.Co19b</t>
  </si>
  <si>
    <t>Latest_peak_date.1.Co19b</t>
  </si>
  <si>
    <t>Min_abundance.1.Co19b</t>
  </si>
  <si>
    <t>Max_abundance.1.Co19b</t>
  </si>
  <si>
    <t>PhBlueGreens</t>
  </si>
  <si>
    <t>PhGreens</t>
  </si>
  <si>
    <t>PhDiatoms</t>
  </si>
  <si>
    <t>PhCryptophytes</t>
  </si>
  <si>
    <t>PeBlueGreens</t>
  </si>
  <si>
    <t>PeGreens</t>
  </si>
  <si>
    <t>PeDiatoms</t>
  </si>
  <si>
    <t>Cladocera_Phytophilous</t>
  </si>
  <si>
    <t>Cladocera_Small</t>
  </si>
  <si>
    <t>Copepoda_Herbivorous</t>
  </si>
  <si>
    <t>Copepoda_Predatory</t>
  </si>
  <si>
    <t>Rotifera_Herbivorous1</t>
  </si>
  <si>
    <t>Rotifera_Herbivorous2</t>
  </si>
  <si>
    <t>t.start</t>
  </si>
  <si>
    <t>Asellus_Invertebrates</t>
  </si>
  <si>
    <t>Chaoborus_Invertebrates</t>
  </si>
  <si>
    <t>Chironomidae_Invertebrates</t>
  </si>
  <si>
    <t>Cloeon_Invertebrates</t>
  </si>
  <si>
    <t>Gammarus_Invertebrates</t>
  </si>
  <si>
    <t>Gastropoda_Invertebrates</t>
  </si>
  <si>
    <t>Hirudinea_Invertebrates</t>
  </si>
  <si>
    <t>Nepomorpha_Invertebrates</t>
  </si>
  <si>
    <t>Odonata_Invertebrates</t>
  </si>
  <si>
    <t>Oligochaeta_Invertebrates</t>
  </si>
  <si>
    <t>Tanypodinae_Invertebrates</t>
  </si>
  <si>
    <t>CladoceraPhytophilous_Invertebrates</t>
  </si>
  <si>
    <t>CladoceraSmall_Invertebrates</t>
  </si>
  <si>
    <t>CopepodaHerbivorous_Invertebrates</t>
  </si>
  <si>
    <t>CopepodaPredatory_Invertebrates</t>
  </si>
  <si>
    <t>Daphnidae_Invertebrates</t>
  </si>
  <si>
    <t>RotiferaHerbivorous1_Invertebrates</t>
  </si>
  <si>
    <t>RotiferaHerbivorous2_Invertebrates</t>
  </si>
  <si>
    <t>Simocephalus_Invertebrates</t>
  </si>
  <si>
    <t>PhBlueGreens_Algae</t>
  </si>
  <si>
    <t>PhGreens_Algae</t>
  </si>
  <si>
    <t>PhDiatoms_Algae</t>
  </si>
  <si>
    <t>PhCryptophytes_Algae</t>
  </si>
  <si>
    <t>PeBlueGreens_Algae</t>
  </si>
  <si>
    <t>PeGreens_Algae</t>
  </si>
  <si>
    <t>PeDiatoms_Algae</t>
  </si>
  <si>
    <t>Earliest_peak_date.Co14a</t>
  </si>
  <si>
    <t>Latest_peak_date.Co14a</t>
  </si>
  <si>
    <t>Min_abundance.Co14a</t>
  </si>
  <si>
    <t>Max_abundance.Co14a</t>
  </si>
  <si>
    <t>Earliest_peak_date.Co16a</t>
  </si>
  <si>
    <t>Latest_peak_date.Co16a</t>
  </si>
  <si>
    <t>Min_abundance.Co16a</t>
  </si>
  <si>
    <t>Max_abundance.Co16a</t>
  </si>
  <si>
    <t>Earliest_peak_date.Co18c</t>
  </si>
  <si>
    <t>Latest_peak_date.Co18c</t>
  </si>
  <si>
    <t>Min_abundance.Co18c</t>
  </si>
  <si>
    <t>Max_abundance.Co18c</t>
  </si>
  <si>
    <t>Earliest_peak_date.Co19b</t>
  </si>
  <si>
    <t>Latest_peak_date.Co19b</t>
  </si>
  <si>
    <t>Min_abundance.Co19b</t>
  </si>
  <si>
    <t>Max_abundance.Co19b</t>
  </si>
  <si>
    <t>Last changes</t>
  </si>
  <si>
    <t>Waterborne approach</t>
  </si>
  <si>
    <t>Initial performance score</t>
  </si>
  <si>
    <t>Waterborne methodology</t>
  </si>
  <si>
    <t>Version 3</t>
  </si>
  <si>
    <t>Isabel O'Connor, EBP, 29.06.2023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</si>
</sst>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dd/mm/yyyy;@"/>
    <numFmt numFmtId="167" formatCode="0E+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16" fontId="3" fillId="0" borderId="9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9" xfId="0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0" fillId="2" borderId="9" xfId="0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16" fontId="0" fillId="2" borderId="9" xfId="0" applyNumberFormat="1" applyFill="1" applyBorder="1" applyAlignment="1">
      <alignment horizontal="right" vertical="center" wrapText="1"/>
    </xf>
    <xf numFmtId="9" fontId="0" fillId="2" borderId="0" xfId="1" applyFont="1" applyFill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2" fontId="0" fillId="2" borderId="9" xfId="0" applyNumberFormat="1" applyFill="1" applyBorder="1"/>
    <xf numFmtId="0" fontId="0" fillId="2" borderId="12" xfId="0" applyFill="1" applyBorder="1"/>
    <xf numFmtId="0" fontId="0" fillId="2" borderId="14" xfId="0" applyFill="1" applyBorder="1"/>
    <xf numFmtId="0" fontId="0" fillId="0" borderId="15" xfId="0" applyBorder="1"/>
    <xf numFmtId="0" fontId="0" fillId="2" borderId="19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21" xfId="0" applyFill="1" applyBorder="1"/>
    <xf numFmtId="0" fontId="0" fillId="2" borderId="25" xfId="0" applyFill="1" applyBorder="1"/>
    <xf numFmtId="0" fontId="0" fillId="2" borderId="20" xfId="0" applyFill="1" applyBorder="1"/>
    <xf numFmtId="0" fontId="0" fillId="2" borderId="23" xfId="0" applyFill="1" applyBorder="1" applyAlignment="1">
      <alignment vertical="center" wrapText="1"/>
    </xf>
    <xf numFmtId="16" fontId="0" fillId="2" borderId="24" xfId="0" applyNumberFormat="1" applyFill="1" applyBorder="1" applyAlignment="1">
      <alignment horizontal="right" vertical="center" wrapText="1"/>
    </xf>
    <xf numFmtId="0" fontId="0" fillId="2" borderId="24" xfId="0" applyFill="1" applyBorder="1" applyAlignment="1">
      <alignment horizontal="right" vertical="center" wrapText="1"/>
    </xf>
    <xf numFmtId="0" fontId="3" fillId="2" borderId="24" xfId="0" applyFont="1" applyFill="1" applyBorder="1" applyAlignment="1">
      <alignment horizontal="right" vertical="center" wrapText="1"/>
    </xf>
    <xf numFmtId="0" fontId="3" fillId="2" borderId="25" xfId="0" applyFont="1" applyFill="1" applyBorder="1" applyAlignment="1">
      <alignment horizontal="right" vertical="center" wrapText="1"/>
    </xf>
    <xf numFmtId="0" fontId="0" fillId="2" borderId="13" xfId="0" applyFill="1" applyBorder="1" applyAlignment="1">
      <alignment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0" fillId="2" borderId="20" xfId="0" applyFill="1" applyBorder="1" applyAlignment="1">
      <alignment vertical="center" wrapText="1"/>
    </xf>
    <xf numFmtId="0" fontId="0" fillId="2" borderId="18" xfId="0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right" vertical="center" wrapText="1"/>
    </xf>
    <xf numFmtId="0" fontId="0" fillId="2" borderId="27" xfId="0" applyFill="1" applyBorder="1"/>
    <xf numFmtId="0" fontId="0" fillId="2" borderId="26" xfId="0" applyFill="1" applyBorder="1"/>
    <xf numFmtId="0" fontId="0" fillId="2" borderId="23" xfId="0" applyFill="1" applyBorder="1"/>
    <xf numFmtId="0" fontId="0" fillId="4" borderId="0" xfId="0" applyFill="1"/>
    <xf numFmtId="9" fontId="0" fillId="4" borderId="0" xfId="1" applyFont="1" applyFill="1"/>
    <xf numFmtId="0" fontId="0" fillId="5" borderId="0" xfId="0" applyFill="1"/>
    <xf numFmtId="1" fontId="0" fillId="4" borderId="0" xfId="1" applyNumberFormat="1" applyFont="1" applyFill="1"/>
    <xf numFmtId="164" fontId="0" fillId="2" borderId="9" xfId="0" applyNumberFormat="1" applyFill="1" applyBorder="1"/>
    <xf numFmtId="14" fontId="0" fillId="0" borderId="0" xfId="0" applyNumberFormat="1"/>
    <xf numFmtId="14" fontId="0" fillId="2" borderId="15" xfId="0" applyNumberFormat="1" applyFill="1" applyBorder="1"/>
    <xf numFmtId="14" fontId="0" fillId="2" borderId="0" xfId="0" applyNumberFormat="1" applyFill="1"/>
    <xf numFmtId="164" fontId="0" fillId="2" borderId="24" xfId="0" applyNumberFormat="1" applyFill="1" applyBorder="1"/>
    <xf numFmtId="164" fontId="0" fillId="2" borderId="18" xfId="0" applyNumberFormat="1" applyFill="1" applyBorder="1"/>
    <xf numFmtId="0" fontId="0" fillId="0" borderId="24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3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16" fontId="0" fillId="0" borderId="18" xfId="0" applyNumberFormat="1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14" fontId="0" fillId="7" borderId="16" xfId="0" applyNumberFormat="1" applyFill="1" applyBorder="1"/>
    <xf numFmtId="14" fontId="0" fillId="7" borderId="15" xfId="0" applyNumberFormat="1" applyFill="1" applyBorder="1"/>
    <xf numFmtId="0" fontId="7" fillId="0" borderId="0" xfId="0" applyFont="1"/>
    <xf numFmtId="0" fontId="0" fillId="6" borderId="0" xfId="0" applyFill="1"/>
    <xf numFmtId="0" fontId="0" fillId="8" borderId="0" xfId="0" applyFill="1"/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14" fontId="0" fillId="7" borderId="0" xfId="0" applyNumberFormat="1" applyFill="1"/>
    <xf numFmtId="14" fontId="0" fillId="7" borderId="17" xfId="0" applyNumberFormat="1" applyFill="1" applyBorder="1"/>
    <xf numFmtId="14" fontId="0" fillId="3" borderId="0" xfId="0" applyNumberFormat="1" applyFill="1"/>
    <xf numFmtId="14" fontId="0" fillId="3" borderId="15" xfId="0" applyNumberFormat="1" applyFill="1" applyBorder="1"/>
    <xf numFmtId="14" fontId="0" fillId="3" borderId="23" xfId="0" applyNumberFormat="1" applyFill="1" applyBorder="1"/>
    <xf numFmtId="14" fontId="0" fillId="3" borderId="27" xfId="0" applyNumberFormat="1" applyFill="1" applyBorder="1"/>
    <xf numFmtId="2" fontId="0" fillId="7" borderId="23" xfId="0" applyNumberFormat="1" applyFill="1" applyBorder="1"/>
    <xf numFmtId="166" fontId="0" fillId="7" borderId="0" xfId="0" applyNumberFormat="1" applyFill="1"/>
    <xf numFmtId="0" fontId="0" fillId="2" borderId="22" xfId="0" applyFill="1" applyBorder="1"/>
    <xf numFmtId="164" fontId="3" fillId="2" borderId="18" xfId="0" applyNumberFormat="1" applyFont="1" applyFill="1" applyBorder="1" applyAlignment="1">
      <alignment horizontal="right" vertical="center" wrapText="1"/>
    </xf>
    <xf numFmtId="0" fontId="0" fillId="7" borderId="15" xfId="0" applyFill="1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2" borderId="0" xfId="0" quotePrefix="1" applyFill="1"/>
    <xf numFmtId="0" fontId="2" fillId="2" borderId="0" xfId="0" applyFont="1" applyFill="1"/>
    <xf numFmtId="0" fontId="0" fillId="2" borderId="0" xfId="0" applyFill="1" applyAlignment="1">
      <alignment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2" fontId="0" fillId="2" borderId="0" xfId="0" applyNumberFormat="1" applyFill="1"/>
    <xf numFmtId="9" fontId="0" fillId="8" borderId="0" xfId="1" applyFont="1" applyFill="1" applyAlignment="1">
      <alignment wrapText="1"/>
    </xf>
    <xf numFmtId="9" fontId="0" fillId="8" borderId="0" xfId="1" applyFont="1" applyFill="1"/>
    <xf numFmtId="0" fontId="0" fillId="4" borderId="0" xfId="0" applyFill="1" applyAlignment="1">
      <alignment wrapText="1"/>
    </xf>
    <xf numFmtId="0" fontId="0" fillId="8" borderId="0" xfId="0" applyFill="1" applyAlignment="1">
      <alignment wrapText="1"/>
    </xf>
    <xf numFmtId="2" fontId="0" fillId="8" borderId="15" xfId="0" applyNumberFormat="1" applyFill="1" applyBorder="1"/>
    <xf numFmtId="164" fontId="0" fillId="0" borderId="0" xfId="0" applyNumberFormat="1"/>
    <xf numFmtId="167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0" xfId="0" applyFill="1" applyAlignment="1">
      <alignment horizontal="center"/>
    </xf>
  </cellXfs>
  <cellStyles count="2">
    <cellStyle name="Prozent" xfId="1" builtinId="5"/>
    <cellStyle name="Standard" xfId="0" builtinId="0"/>
  </cellStyles>
  <dxfs count="62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Connor, Isabel" id="{892001F0-86A0-4F1D-9875-F20B140BC82D}" userId="S::Isabel.OConnor@ebp.ch::e7a8d5d8-e8d5-4456-95bf-dbb6c6570820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2-06-22T09:46:13.50" personId="{892001F0-86A0-4F1D-9875-F20B140BC82D}" id="{7F67B2D9-DC2F-4315-8589-34224B25D570}">
    <text>Copepoda_predatory + Nauplia</text>
  </threadedComment>
  <threadedComment ref="G6" dT="2022-06-22T09:45:49.32" personId="{892001F0-86A0-4F1D-9875-F20B140BC82D}" id="{2A51C9E1-9FC9-4196-A2FC-C532E208CE8A}">
    <text>Copepoda predatory + Nauplia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A1C3-E088-4DAF-ACFD-7D82C5CA1599}">
  <dimension ref="A1:B23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6384" width="9.140625" style="18"/>
  </cols>
  <sheetData>
    <row r="1" spans="1:2" x14ac:dyDescent="0.25">
      <c r="A1" s="18" t="s">
        <v>0</v>
      </c>
    </row>
    <row r="2" spans="1:2" x14ac:dyDescent="0.25">
      <c r="A2" s="18" t="s">
        <v>1</v>
      </c>
    </row>
    <row r="4" spans="1:2" x14ac:dyDescent="0.25">
      <c r="A4" s="18" t="s">
        <v>2</v>
      </c>
      <c r="B4" s="18" t="s">
        <v>3</v>
      </c>
    </row>
    <row r="6" spans="1:2" x14ac:dyDescent="0.25">
      <c r="A6" s="18" t="s">
        <v>4</v>
      </c>
      <c r="B6" s="18" t="s">
        <v>5</v>
      </c>
    </row>
    <row r="7" spans="1:2" x14ac:dyDescent="0.25">
      <c r="A7" s="18" t="s">
        <v>4</v>
      </c>
      <c r="B7" s="18" t="s">
        <v>6</v>
      </c>
    </row>
    <row r="8" spans="1:2" x14ac:dyDescent="0.25">
      <c r="A8" s="18" t="s">
        <v>4</v>
      </c>
      <c r="B8" s="18" t="s">
        <v>7</v>
      </c>
    </row>
    <row r="9" spans="1:2" x14ac:dyDescent="0.25">
      <c r="A9" s="18" t="s">
        <v>4</v>
      </c>
      <c r="B9" s="18" t="s">
        <v>8</v>
      </c>
    </row>
    <row r="13" spans="1:2" x14ac:dyDescent="0.25">
      <c r="A13" s="114" t="s">
        <v>172</v>
      </c>
    </row>
    <row r="15" spans="1:2" x14ac:dyDescent="0.25">
      <c r="A15" s="114" t="s">
        <v>168</v>
      </c>
    </row>
    <row r="16" spans="1:2" x14ac:dyDescent="0.25">
      <c r="A16" s="18" t="s">
        <v>173</v>
      </c>
    </row>
    <row r="18" spans="1:1" x14ac:dyDescent="0.25">
      <c r="A18" s="114"/>
    </row>
    <row r="19" spans="1:1" x14ac:dyDescent="0.25">
      <c r="A19" s="113"/>
    </row>
    <row r="20" spans="1:1" x14ac:dyDescent="0.25">
      <c r="A20" s="113"/>
    </row>
    <row r="21" spans="1:1" x14ac:dyDescent="0.25">
      <c r="A21" s="113"/>
    </row>
    <row r="22" spans="1:1" x14ac:dyDescent="0.25">
      <c r="A22" s="113"/>
    </row>
    <row r="23" spans="1:1" x14ac:dyDescent="0.25">
      <c r="A23" s="11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X84"/>
  <sheetViews>
    <sheetView zoomScale="70" zoomScaleNormal="70" workbookViewId="0">
      <pane xSplit="1" topLeftCell="B1" activePane="topRight" state="frozen"/>
      <selection pane="topRight" activeCell="D20" sqref="D20"/>
    </sheetView>
  </sheetViews>
  <sheetFormatPr baseColWidth="10" defaultColWidth="14.7109375" defaultRowHeight="15" x14ac:dyDescent="0.25"/>
  <cols>
    <col min="1" max="1" width="23" customWidth="1"/>
  </cols>
  <sheetData>
    <row r="1" spans="1:24" s="8" customFormat="1" ht="24.95" customHeight="1" thickBot="1" x14ac:dyDescent="0.3">
      <c r="A1" s="65" t="s">
        <v>61</v>
      </c>
      <c r="B1" s="131" t="s">
        <v>9</v>
      </c>
      <c r="C1" s="132"/>
      <c r="D1" s="132"/>
      <c r="E1" s="132"/>
      <c r="F1" s="132"/>
      <c r="G1" s="133"/>
      <c r="H1" s="131" t="s">
        <v>10</v>
      </c>
      <c r="I1" s="132"/>
      <c r="J1" s="132"/>
      <c r="K1" s="133"/>
      <c r="L1" s="131" t="s">
        <v>11</v>
      </c>
      <c r="M1" s="132"/>
      <c r="N1" s="132"/>
      <c r="O1" s="133"/>
      <c r="P1" s="131" t="s">
        <v>12</v>
      </c>
      <c r="Q1" s="132"/>
      <c r="R1" s="132"/>
      <c r="S1" s="133"/>
      <c r="T1" s="131" t="s">
        <v>13</v>
      </c>
      <c r="U1" s="132"/>
      <c r="V1" s="132"/>
      <c r="W1" s="133"/>
    </row>
    <row r="2" spans="1:24" s="4" customFormat="1" ht="66" customHeight="1" thickBot="1" x14ac:dyDescent="0.3">
      <c r="A2" s="3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0" t="s">
        <v>21</v>
      </c>
      <c r="I2" s="11" t="s">
        <v>22</v>
      </c>
      <c r="J2" s="11" t="s">
        <v>20</v>
      </c>
      <c r="K2" s="12" t="s">
        <v>23</v>
      </c>
      <c r="L2" s="10" t="s">
        <v>21</v>
      </c>
      <c r="M2" s="11" t="s">
        <v>22</v>
      </c>
      <c r="N2" s="11" t="s">
        <v>20</v>
      </c>
      <c r="O2" s="11" t="s">
        <v>23</v>
      </c>
      <c r="P2" s="10" t="s">
        <v>21</v>
      </c>
      <c r="Q2" s="11" t="s">
        <v>22</v>
      </c>
      <c r="R2" s="11" t="s">
        <v>20</v>
      </c>
      <c r="S2" s="12" t="s">
        <v>23</v>
      </c>
      <c r="T2" s="11" t="s">
        <v>21</v>
      </c>
      <c r="U2" s="29" t="s">
        <v>22</v>
      </c>
      <c r="V2" s="29" t="s">
        <v>20</v>
      </c>
      <c r="W2" s="12" t="s">
        <v>23</v>
      </c>
    </row>
    <row r="3" spans="1:24" ht="30" customHeight="1" x14ac:dyDescent="0.25">
      <c r="A3" s="74" t="s">
        <v>24</v>
      </c>
      <c r="B3" s="77" t="s">
        <v>25</v>
      </c>
      <c r="C3" s="73" t="s">
        <v>25</v>
      </c>
      <c r="D3" s="73" t="s">
        <v>25</v>
      </c>
      <c r="E3" s="73" t="s">
        <v>25</v>
      </c>
      <c r="F3" s="73">
        <v>0.8</v>
      </c>
      <c r="G3" s="78">
        <v>121.9</v>
      </c>
      <c r="H3" s="62"/>
      <c r="I3" s="67">
        <f>VLOOKUP(A3,'raw data rev best'!$B$2:$R$27,4, FALSE)</f>
        <v>28.476251227238901</v>
      </c>
      <c r="J3" s="67">
        <f>VLOOKUP(A3,'raw data rev best'!$B$2:$R$27,5, FALSE)</f>
        <v>29.281516077142001</v>
      </c>
      <c r="K3" s="48"/>
      <c r="L3" s="62"/>
      <c r="M3" s="71">
        <f>VLOOKUP($A3,'raw data rev best'!$B$2:$R$27,8, FALSE)</f>
        <v>8.8137640960280006</v>
      </c>
      <c r="N3" s="71">
        <f>VLOOKUP($A3,'raw data rev best'!$B$2:$R$27,9, FALSE)</f>
        <v>9.9718342213759001</v>
      </c>
      <c r="O3" s="61"/>
      <c r="P3" s="62"/>
      <c r="Q3" s="71">
        <f>VLOOKUP($A3,'raw data rev best'!$B$2:$R$27,12, FALSE)</f>
        <v>47.401954747015303</v>
      </c>
      <c r="R3" s="71">
        <f>VLOOKUP($A3,'raw data rev best'!$B$2:$R$27,13, FALSE)</f>
        <v>48.364833136005799</v>
      </c>
      <c r="S3" s="48"/>
      <c r="T3" s="60"/>
      <c r="U3" s="67">
        <f>VLOOKUP($A3,'raw data rev best'!$B$2:$R$27,16, FALSE)</f>
        <v>2.0436926604633801</v>
      </c>
      <c r="V3" s="67">
        <f>VLOOKUP($A3,'raw data rev best'!$B$2:$R$27,17, FALSE)</f>
        <v>2.2323996597383999</v>
      </c>
      <c r="W3" s="48"/>
    </row>
    <row r="4" spans="1:24" ht="30" customHeight="1" x14ac:dyDescent="0.25">
      <c r="A4" s="75" t="s">
        <v>26</v>
      </c>
      <c r="B4" s="79" t="s">
        <v>27</v>
      </c>
      <c r="C4" s="9">
        <v>44773</v>
      </c>
      <c r="D4" s="7">
        <v>88.3</v>
      </c>
      <c r="E4" s="7">
        <v>184.2</v>
      </c>
      <c r="F4" s="7">
        <v>10.6</v>
      </c>
      <c r="G4" s="80">
        <v>167</v>
      </c>
      <c r="H4" s="88">
        <f>VLOOKUP($A4,'raw data rev best'!$B$2:$R$27,2,FALSE)</f>
        <v>41771</v>
      </c>
      <c r="I4" s="67">
        <f>VLOOKUP(A4,'raw data rev best'!$B$2:$R$27,4, FALSE)</f>
        <v>8.3192192017635307</v>
      </c>
      <c r="J4" s="67">
        <f>VLOOKUP(A4,'raw data rev best'!$B$2:$R$27,5, FALSE)</f>
        <v>106.868586539131</v>
      </c>
      <c r="K4" s="42"/>
      <c r="L4" s="95">
        <f>VLOOKUP($A4,'raw data rev best'!$B$2:$R$27,6,FALSE)</f>
        <v>42538</v>
      </c>
      <c r="M4" s="67">
        <f>VLOOKUP($A4,'raw data rev best'!$B$2:$R$27,8, FALSE)</f>
        <v>9.1864422194743902</v>
      </c>
      <c r="N4" s="67">
        <f>VLOOKUP($A4,'raw data rev best'!$B$2:$R$27,9, FALSE)</f>
        <v>42.898799439253999</v>
      </c>
      <c r="O4" s="46"/>
      <c r="P4" s="88">
        <f>VLOOKUP($A4,'raw data rev best'!$B$2:$R$27,10,FALSE)</f>
        <v>43241</v>
      </c>
      <c r="Q4" s="67">
        <f>VLOOKUP($A4,'raw data rev best'!$B$2:$R$27,12, FALSE)</f>
        <v>16.179518129617399</v>
      </c>
      <c r="R4" s="67">
        <f>VLOOKUP($A4,'raw data rev best'!$B$2:$R$27,13, FALSE)</f>
        <v>85.416069199572306</v>
      </c>
      <c r="S4" s="42"/>
      <c r="T4" s="95">
        <f>VLOOKUP($A4,'raw data rev best'!$B$2:$R$27,14,FALSE)</f>
        <v>43620</v>
      </c>
      <c r="U4" s="67">
        <f>VLOOKUP($A4,'raw data rev best'!$B$2:$R$27,16, FALSE)</f>
        <v>8.50637799330981</v>
      </c>
      <c r="V4" s="67">
        <f>VLOOKUP($A4,'raw data rev best'!$B$2:$R$27,17, FALSE)</f>
        <v>76.024696484011201</v>
      </c>
      <c r="W4" s="42"/>
    </row>
    <row r="5" spans="1:24" ht="30" customHeight="1" x14ac:dyDescent="0.25">
      <c r="A5" s="76" t="s">
        <v>28</v>
      </c>
      <c r="B5" s="81" t="s">
        <v>25</v>
      </c>
      <c r="C5" s="6" t="s">
        <v>25</v>
      </c>
      <c r="D5" s="6" t="s">
        <v>25</v>
      </c>
      <c r="E5" s="6" t="s">
        <v>25</v>
      </c>
      <c r="F5" s="6">
        <v>0</v>
      </c>
      <c r="G5" s="82">
        <v>11.1</v>
      </c>
      <c r="H5" s="45"/>
      <c r="I5" s="67">
        <f>VLOOKUP(A5,'raw data rev best'!$B$2:$R$27,4, FALSE)</f>
        <v>0.64138913491233795</v>
      </c>
      <c r="J5" s="67">
        <f>VLOOKUP(A5,'raw data rev best'!$B$2:$R$27,5, FALSE)</f>
        <v>1.6832084777102201</v>
      </c>
      <c r="K5" s="42"/>
      <c r="L5" s="45"/>
      <c r="M5" s="67">
        <f>VLOOKUP($A5,'raw data rev best'!$B$2:$R$27,8, FALSE)</f>
        <v>3.4068533447542602</v>
      </c>
      <c r="N5" s="67">
        <f>VLOOKUP($A5,'raw data rev best'!$B$2:$R$27,9, FALSE)</f>
        <v>9.2455161838351696</v>
      </c>
      <c r="O5" s="46"/>
      <c r="P5" s="45"/>
      <c r="Q5" s="67">
        <f>VLOOKUP($A5,'raw data rev best'!$B$2:$R$27,12, FALSE)</f>
        <v>0.16248782049456101</v>
      </c>
      <c r="R5" s="67">
        <f>VLOOKUP($A5,'raw data rev best'!$B$2:$R$27,13, FALSE)</f>
        <v>0.33893468605062099</v>
      </c>
      <c r="S5" s="42"/>
      <c r="T5" s="41"/>
      <c r="U5" s="67">
        <f>VLOOKUP($A5,'raw data rev best'!$B$2:$R$27,16, FALSE)</f>
        <v>1.95923260942626</v>
      </c>
      <c r="V5" s="67">
        <f>VLOOKUP($A5,'raw data rev best'!$B$2:$R$27,17, FALSE)</f>
        <v>6.1883036192141798</v>
      </c>
      <c r="W5" s="42"/>
    </row>
    <row r="6" spans="1:24" ht="30" customHeight="1" x14ac:dyDescent="0.25">
      <c r="A6" s="76" t="s">
        <v>29</v>
      </c>
      <c r="B6" s="81" t="s">
        <v>25</v>
      </c>
      <c r="C6" s="6" t="s">
        <v>25</v>
      </c>
      <c r="D6" s="6" t="s">
        <v>25</v>
      </c>
      <c r="E6" s="6" t="s">
        <v>25</v>
      </c>
      <c r="F6" s="6">
        <v>1</v>
      </c>
      <c r="G6" s="82">
        <v>82.4</v>
      </c>
      <c r="H6" s="45"/>
      <c r="I6" s="67">
        <f>VLOOKUP(A6,'raw data rev best'!$B$2:$R$27,4, FALSE)</f>
        <v>5.3077962164065502</v>
      </c>
      <c r="J6" s="67">
        <f>VLOOKUP(A6,'raw data rev best'!$B$2:$R$27,5, FALSE)</f>
        <v>10.3765597465816</v>
      </c>
      <c r="K6" s="42"/>
      <c r="L6" s="45"/>
      <c r="M6" s="67">
        <f>VLOOKUP($A6,'raw data rev best'!$B$2:$R$27,8, FALSE)</f>
        <v>8.7777277417500894</v>
      </c>
      <c r="N6" s="67">
        <f>VLOOKUP($A6,'raw data rev best'!$B$2:$R$27,9, FALSE)</f>
        <v>17.052410250684002</v>
      </c>
      <c r="O6" s="46"/>
      <c r="P6" s="45"/>
      <c r="Q6" s="67">
        <f>VLOOKUP($A6,'raw data rev best'!$B$2:$R$27,12, FALSE)</f>
        <v>10.914595361067899</v>
      </c>
      <c r="R6" s="67">
        <f>VLOOKUP($A6,'raw data rev best'!$B$2:$R$27,13, FALSE)</f>
        <v>19.125433999839299</v>
      </c>
      <c r="S6" s="42"/>
      <c r="T6" s="41"/>
      <c r="U6" s="67">
        <f>VLOOKUP($A6,'raw data rev best'!$B$2:$R$27,16, FALSE)</f>
        <v>1.24048741263457</v>
      </c>
      <c r="V6" s="67">
        <f>VLOOKUP($A6,'raw data rev best'!$B$2:$R$27,17, FALSE)</f>
        <v>2.4650310517735998</v>
      </c>
      <c r="W6" s="42"/>
    </row>
    <row r="7" spans="1:24" ht="30" customHeight="1" x14ac:dyDescent="0.25">
      <c r="A7" s="76" t="s">
        <v>30</v>
      </c>
      <c r="B7" s="81" t="s">
        <v>31</v>
      </c>
      <c r="C7" s="5">
        <v>44769</v>
      </c>
      <c r="D7" s="6">
        <v>2.8</v>
      </c>
      <c r="E7" s="6">
        <v>15.6</v>
      </c>
      <c r="F7" s="6">
        <v>0</v>
      </c>
      <c r="G7" s="82">
        <v>15.1</v>
      </c>
      <c r="H7" s="105" t="s">
        <v>63</v>
      </c>
      <c r="I7" s="67">
        <f>VLOOKUP(A7,'raw data rev best'!$B$2:$R$27,4, FALSE)</f>
        <v>0</v>
      </c>
      <c r="J7" s="67">
        <f>VLOOKUP(A7,'raw data rev best'!$B$2:$R$27,5, FALSE)</f>
        <v>0</v>
      </c>
      <c r="K7" s="42"/>
      <c r="L7" s="97">
        <f>VLOOKUP($A7,'raw data rev best'!$B$2:$R$27,6,FALSE)</f>
        <v>42635</v>
      </c>
      <c r="M7" s="67">
        <f>VLOOKUP($A7,'raw data rev best'!$B$2:$R$27,8, FALSE)</f>
        <v>6.74318289429955</v>
      </c>
      <c r="N7" s="67">
        <f>VLOOKUP($A7,'raw data rev best'!$B$2:$R$27,9, FALSE)</f>
        <v>8.6469574606059396</v>
      </c>
      <c r="O7" s="46"/>
      <c r="P7" s="98">
        <f>VLOOKUP($A7,'raw data rev best'!$B$2:$R$27,10,FALSE)</f>
        <v>43338</v>
      </c>
      <c r="Q7" s="67">
        <f>VLOOKUP($A7,'raw data rev best'!$B$2:$R$27,12, FALSE)</f>
        <v>7.2795144526799298</v>
      </c>
      <c r="R7" s="67">
        <f>VLOOKUP($A7,'raw data rev best'!$B$2:$R$27,13, FALSE)</f>
        <v>12.1063012383153</v>
      </c>
      <c r="S7" s="42"/>
      <c r="T7" s="95" t="str">
        <f>VLOOKUP($A7,'raw data rev best'!$B$2:$R$27,14,FALSE)</f>
        <v>NA</v>
      </c>
      <c r="U7" s="67">
        <f>VLOOKUP($A7,'raw data rev best'!$B$2:$R$27,16, FALSE)</f>
        <v>0</v>
      </c>
      <c r="V7" s="67">
        <f>VLOOKUP($A7,'raw data rev best'!$B$2:$R$27,17, FALSE)</f>
        <v>0</v>
      </c>
      <c r="W7" s="42"/>
    </row>
    <row r="8" spans="1:24" ht="30" customHeight="1" x14ac:dyDescent="0.25">
      <c r="A8" s="76" t="s">
        <v>32</v>
      </c>
      <c r="B8" s="81" t="s">
        <v>25</v>
      </c>
      <c r="C8" s="6" t="s">
        <v>25</v>
      </c>
      <c r="D8" s="6" t="s">
        <v>25</v>
      </c>
      <c r="E8" s="6" t="s">
        <v>25</v>
      </c>
      <c r="F8" s="6">
        <v>7.9</v>
      </c>
      <c r="G8" s="82">
        <v>107.4</v>
      </c>
      <c r="H8" s="45"/>
      <c r="I8" s="67">
        <f>VLOOKUP(A8,'raw data rev best'!$B$2:$R$27,4, FALSE)</f>
        <v>6.4514683166940499</v>
      </c>
      <c r="J8" s="67">
        <f>VLOOKUP(A8,'raw data rev best'!$B$2:$R$27,5, FALSE)</f>
        <v>10.161411089054999</v>
      </c>
      <c r="K8" s="42"/>
      <c r="L8" s="45"/>
      <c r="M8" s="67">
        <f>VLOOKUP($A8,'raw data rev best'!$B$2:$R$27,8, FALSE)</f>
        <v>16.212980356682401</v>
      </c>
      <c r="N8" s="67">
        <f>VLOOKUP($A8,'raw data rev best'!$B$2:$R$27,9, FALSE)</f>
        <v>24.068159793356401</v>
      </c>
      <c r="O8" s="46"/>
      <c r="P8" s="45"/>
      <c r="Q8" s="67">
        <f>VLOOKUP($A8,'raw data rev best'!$B$2:$R$27,12, FALSE)</f>
        <v>8.7113486685203991</v>
      </c>
      <c r="R8" s="67">
        <f>VLOOKUP($A8,'raw data rev best'!$B$2:$R$27,13, FALSE)</f>
        <v>13.708079434695801</v>
      </c>
      <c r="S8" s="42"/>
      <c r="T8" s="41"/>
      <c r="U8" s="67">
        <f>VLOOKUP($A8,'raw data rev best'!$B$2:$R$27,16, FALSE)</f>
        <v>9.8548059583608403</v>
      </c>
      <c r="V8" s="67">
        <f>VLOOKUP($A8,'raw data rev best'!$B$2:$R$27,17, FALSE)</f>
        <v>15.870869556827801</v>
      </c>
      <c r="W8" s="42"/>
    </row>
    <row r="9" spans="1:24" ht="30" customHeight="1" x14ac:dyDescent="0.25">
      <c r="A9" s="76" t="s">
        <v>33</v>
      </c>
      <c r="B9" s="81" t="s">
        <v>25</v>
      </c>
      <c r="C9" s="6" t="s">
        <v>25</v>
      </c>
      <c r="D9" s="6" t="s">
        <v>25</v>
      </c>
      <c r="E9" s="6" t="s">
        <v>25</v>
      </c>
      <c r="F9" s="6">
        <v>0</v>
      </c>
      <c r="G9" s="82">
        <v>12</v>
      </c>
      <c r="H9" s="45"/>
      <c r="I9" s="67">
        <f>VLOOKUP(A9,'raw data rev best'!$B$2:$R$27,4, FALSE)</f>
        <v>1.5625803034594501</v>
      </c>
      <c r="J9" s="67">
        <f>VLOOKUP(A9,'raw data rev best'!$B$2:$R$27,5, FALSE)</f>
        <v>5.4277327678930796</v>
      </c>
      <c r="K9" s="42"/>
      <c r="L9" s="45"/>
      <c r="M9" s="67">
        <f>VLOOKUP($A9,'raw data rev best'!$B$2:$R$27,8, FALSE)</f>
        <v>0.40984370448954999</v>
      </c>
      <c r="N9" s="67">
        <f>VLOOKUP($A9,'raw data rev best'!$B$2:$R$27,9, FALSE)</f>
        <v>1.1100391515296499</v>
      </c>
      <c r="O9" s="46"/>
      <c r="P9" s="45"/>
      <c r="Q9" s="67">
        <f>VLOOKUP($A9,'raw data rev best'!$B$2:$R$27,12, FALSE)</f>
        <v>0.79565641907314599</v>
      </c>
      <c r="R9" s="67">
        <f>VLOOKUP($A9,'raw data rev best'!$B$2:$R$27,13, FALSE)</f>
        <v>2.8926809733899899</v>
      </c>
      <c r="S9" s="42"/>
      <c r="T9" s="41"/>
      <c r="U9" s="67">
        <f>VLOOKUP($A9,'raw data rev best'!$B$2:$R$27,16, FALSE)</f>
        <v>0.30285228319855201</v>
      </c>
      <c r="V9" s="67">
        <f>VLOOKUP($A9,'raw data rev best'!$B$2:$R$27,17, FALSE)</f>
        <v>1.06731577456793</v>
      </c>
      <c r="W9" s="42"/>
    </row>
    <row r="10" spans="1:24" ht="30" customHeight="1" x14ac:dyDescent="0.25">
      <c r="A10" s="76" t="s">
        <v>34</v>
      </c>
      <c r="B10" s="81" t="s">
        <v>25</v>
      </c>
      <c r="C10" s="6" t="s">
        <v>25</v>
      </c>
      <c r="D10" s="6" t="s">
        <v>25</v>
      </c>
      <c r="E10" s="6" t="s">
        <v>25</v>
      </c>
      <c r="F10" s="6">
        <v>0.2</v>
      </c>
      <c r="G10" s="82">
        <v>4</v>
      </c>
      <c r="H10" s="45"/>
      <c r="I10" s="67">
        <f>VLOOKUP(A10,'raw data rev best'!$B$2:$R$27,4, FALSE)</f>
        <v>1.2254528494996799</v>
      </c>
      <c r="J10" s="67">
        <f>VLOOKUP(A10,'raw data rev best'!$B$2:$R$27,5, FALSE)</f>
        <v>2.7168535582450599</v>
      </c>
      <c r="K10" s="42"/>
      <c r="L10" s="45"/>
      <c r="M10" s="67">
        <f>VLOOKUP($A10,'raw data rev best'!$B$2:$R$27,8, FALSE)</f>
        <v>1.1310607691410599</v>
      </c>
      <c r="N10" s="67">
        <f>VLOOKUP($A10,'raw data rev best'!$B$2:$R$27,9, FALSE)</f>
        <v>1.7917984829891</v>
      </c>
      <c r="O10" s="46"/>
      <c r="P10" s="45"/>
      <c r="Q10" s="67">
        <f>VLOOKUP($A10,'raw data rev best'!$B$2:$R$27,12, FALSE)</f>
        <v>1.04931623517422</v>
      </c>
      <c r="R10" s="67">
        <f>VLOOKUP($A10,'raw data rev best'!$B$2:$R$27,13, FALSE)</f>
        <v>1.9221106816101501</v>
      </c>
      <c r="S10" s="42"/>
      <c r="T10" s="41"/>
      <c r="U10" s="67">
        <f>VLOOKUP($A10,'raw data rev best'!$B$2:$R$27,16, FALSE)</f>
        <v>1.34989099366289</v>
      </c>
      <c r="V10" s="67">
        <f>VLOOKUP($A10,'raw data rev best'!$B$2:$R$27,17, FALSE)</f>
        <v>2.7008861022775199</v>
      </c>
      <c r="W10" s="42"/>
      <c r="X10" s="89"/>
    </row>
    <row r="11" spans="1:24" ht="30" customHeight="1" x14ac:dyDescent="0.25">
      <c r="A11" s="76" t="s">
        <v>35</v>
      </c>
      <c r="B11" s="81" t="s">
        <v>25</v>
      </c>
      <c r="C11" s="6" t="s">
        <v>25</v>
      </c>
      <c r="D11" s="6" t="s">
        <v>25</v>
      </c>
      <c r="E11" s="6" t="s">
        <v>25</v>
      </c>
      <c r="F11" s="6">
        <v>1</v>
      </c>
      <c r="G11" s="82">
        <v>28.2</v>
      </c>
      <c r="H11" s="45"/>
      <c r="I11" s="67">
        <f>VLOOKUP(A11,'raw data rev best'!$B$2:$R$27,4, FALSE)</f>
        <v>3.39067772654067</v>
      </c>
      <c r="J11" s="67">
        <f>VLOOKUP(A11,'raw data rev best'!$B$2:$R$27,5, FALSE)</f>
        <v>12.0789608638086</v>
      </c>
      <c r="K11" s="42"/>
      <c r="L11" s="45"/>
      <c r="M11" s="67">
        <f>VLOOKUP($A11,'raw data rev best'!$B$2:$R$27,8, FALSE)</f>
        <v>9.5019628536909995</v>
      </c>
      <c r="N11" s="67">
        <f>VLOOKUP($A11,'raw data rev best'!$B$2:$R$27,9, FALSE)</f>
        <v>22.726341147420701</v>
      </c>
      <c r="O11" s="46"/>
      <c r="P11" s="45"/>
      <c r="Q11" s="67">
        <f>VLOOKUP($A11,'raw data rev best'!$B$2:$R$27,12, FALSE)</f>
        <v>1.8956154754647201</v>
      </c>
      <c r="R11" s="67">
        <f>VLOOKUP($A11,'raw data rev best'!$B$2:$R$27,13, FALSE)</f>
        <v>3.9636541932625899</v>
      </c>
      <c r="S11" s="42"/>
      <c r="T11" s="41"/>
      <c r="U11" s="67">
        <f>VLOOKUP($A11,'raw data rev best'!$B$2:$R$27,16, FALSE)</f>
        <v>4.1913182983112502</v>
      </c>
      <c r="V11" s="67">
        <f>VLOOKUP($A11,'raw data rev best'!$B$2:$R$27,17, FALSE)</f>
        <v>12.9135417289485</v>
      </c>
      <c r="W11" s="42"/>
    </row>
    <row r="12" spans="1:24" ht="30" customHeight="1" x14ac:dyDescent="0.25">
      <c r="A12" s="76" t="s">
        <v>36</v>
      </c>
      <c r="B12" s="81" t="s">
        <v>25</v>
      </c>
      <c r="C12" s="6" t="s">
        <v>25</v>
      </c>
      <c r="D12" s="6" t="s">
        <v>25</v>
      </c>
      <c r="E12" s="6" t="s">
        <v>25</v>
      </c>
      <c r="F12" s="6">
        <v>0.6</v>
      </c>
      <c r="G12" s="82">
        <v>36.1</v>
      </c>
      <c r="H12" s="45"/>
      <c r="I12" s="67">
        <f>VLOOKUP(A12,'raw data rev best'!$B$2:$R$27,4, FALSE)</f>
        <v>0.64576581547477696</v>
      </c>
      <c r="J12" s="67">
        <f>VLOOKUP(A12,'raw data rev best'!$B$2:$R$27,5, FALSE)</f>
        <v>1.5085284647511401</v>
      </c>
      <c r="K12" s="42"/>
      <c r="L12" s="45"/>
      <c r="M12" s="67">
        <f>VLOOKUP($A12,'raw data rev best'!$B$2:$R$27,8, FALSE)</f>
        <v>1.0316210187435</v>
      </c>
      <c r="N12" s="67">
        <f>VLOOKUP($A12,'raw data rev best'!$B$2:$R$27,9, FALSE)</f>
        <v>2.16941285605927</v>
      </c>
      <c r="O12" s="46"/>
      <c r="P12" s="45"/>
      <c r="Q12" s="67">
        <f>VLOOKUP($A12,'raw data rev best'!$B$2:$R$27,12, FALSE)</f>
        <v>2.1391044937722601</v>
      </c>
      <c r="R12" s="67">
        <f>VLOOKUP($A12,'raw data rev best'!$B$2:$R$27,13, FALSE)</f>
        <v>5.2011240184333598</v>
      </c>
      <c r="S12" s="42"/>
      <c r="T12" s="41"/>
      <c r="U12" s="67">
        <f>VLOOKUP($A12,'raw data rev best'!$B$2:$R$27,16, FALSE)</f>
        <v>1.24401749926515</v>
      </c>
      <c r="V12" s="67">
        <f>VLOOKUP($A12,'raw data rev best'!$B$2:$R$27,17, FALSE)</f>
        <v>3.0577546922605201</v>
      </c>
      <c r="W12" s="42"/>
    </row>
    <row r="13" spans="1:24" ht="30" customHeight="1" thickBot="1" x14ac:dyDescent="0.3">
      <c r="A13" s="76" t="s">
        <v>37</v>
      </c>
      <c r="B13" s="83" t="s">
        <v>31</v>
      </c>
      <c r="C13" s="84">
        <v>44753</v>
      </c>
      <c r="D13" s="85">
        <v>1.4</v>
      </c>
      <c r="E13" s="85">
        <v>15</v>
      </c>
      <c r="F13" s="85">
        <v>0</v>
      </c>
      <c r="G13" s="86">
        <v>14.5</v>
      </c>
      <c r="H13" s="87">
        <f>VLOOKUP($A13,'raw data rev best'!$B$2:$R$27,2,FALSE)</f>
        <v>41771</v>
      </c>
      <c r="I13" s="67">
        <f>VLOOKUP(A13,'raw data rev best'!$B$2:$R$27,4, FALSE)</f>
        <v>3.9621680883220899E-2</v>
      </c>
      <c r="J13" s="67">
        <f>VLOOKUP(A13,'raw data rev best'!$B$2:$R$27,5, FALSE)</f>
        <v>1.9235831234829099</v>
      </c>
      <c r="K13" s="44"/>
      <c r="L13" s="96">
        <f>VLOOKUP($A13,'raw data rev best'!$B$2:$R$27,6,FALSE)</f>
        <v>42538</v>
      </c>
      <c r="M13" s="72">
        <f>VLOOKUP($A13,'raw data rev best'!$B$2:$R$27,8, FALSE)</f>
        <v>1.15287771307336E-2</v>
      </c>
      <c r="N13" s="72">
        <f>VLOOKUP($A13,'raw data rev best'!$B$2:$R$27,9, FALSE)</f>
        <v>0.33401166442879698</v>
      </c>
      <c r="O13" s="47"/>
      <c r="P13" s="87">
        <f>VLOOKUP($A13,'raw data rev best'!$B$2:$R$27,10,FALSE)</f>
        <v>43241</v>
      </c>
      <c r="Q13" s="72">
        <f>VLOOKUP($A13,'raw data rev best'!$B$2:$R$27,12, FALSE)</f>
        <v>2.4618991208007202E-2</v>
      </c>
      <c r="R13" s="72">
        <f>VLOOKUP($A13,'raw data rev best'!$B$2:$R$27,13, FALSE)</f>
        <v>1.06300038938749</v>
      </c>
      <c r="S13" s="44"/>
      <c r="T13" s="96">
        <f>VLOOKUP($A13,'raw data rev best'!$B$2:$R$27,14,FALSE)</f>
        <v>43620</v>
      </c>
      <c r="U13" s="72">
        <f>VLOOKUP($A13,'raw data rev best'!$B$2:$R$27,16, FALSE)</f>
        <v>4.59840483478259E-2</v>
      </c>
      <c r="V13" s="72">
        <f>VLOOKUP($A13,'raw data rev best'!$B$2:$R$27,17, FALSE)</f>
        <v>2.5123710757353699</v>
      </c>
      <c r="W13" s="44"/>
    </row>
    <row r="14" spans="1:24" s="18" customFormat="1" x14ac:dyDescent="0.25">
      <c r="D14" s="27"/>
    </row>
    <row r="15" spans="1:24" s="18" customFormat="1" ht="45" x14ac:dyDescent="0.25">
      <c r="A15" s="63" t="s">
        <v>93</v>
      </c>
      <c r="B15" s="121" t="s">
        <v>170</v>
      </c>
      <c r="C15" s="122" t="s">
        <v>171</v>
      </c>
    </row>
    <row r="16" spans="1:24" s="18" customFormat="1" x14ac:dyDescent="0.25">
      <c r="A16" s="63" t="s">
        <v>89</v>
      </c>
      <c r="B16" s="63">
        <v>100</v>
      </c>
      <c r="C16" s="91">
        <v>25</v>
      </c>
    </row>
    <row r="17" spans="1:3" s="18" customFormat="1" x14ac:dyDescent="0.25">
      <c r="A17" s="63" t="s">
        <v>90</v>
      </c>
      <c r="B17" s="63">
        <f>B16-6</f>
        <v>94</v>
      </c>
      <c r="C17" s="91">
        <v>22</v>
      </c>
    </row>
    <row r="18" spans="1:3" s="18" customFormat="1" x14ac:dyDescent="0.25">
      <c r="A18" s="63" t="s">
        <v>90</v>
      </c>
      <c r="B18" s="64">
        <f>B17/B16</f>
        <v>0.94</v>
      </c>
      <c r="C18" s="120">
        <f>C17/C16</f>
        <v>0.88</v>
      </c>
    </row>
    <row r="19" spans="1:3" s="18" customFormat="1" x14ac:dyDescent="0.25">
      <c r="B19" s="27"/>
    </row>
    <row r="20" spans="1:3" s="18" customFormat="1" x14ac:dyDescent="0.25">
      <c r="A20" s="63" t="s">
        <v>94</v>
      </c>
      <c r="B20" s="64"/>
      <c r="C20" s="91"/>
    </row>
    <row r="21" spans="1:3" s="18" customFormat="1" x14ac:dyDescent="0.25">
      <c r="A21" s="63" t="s">
        <v>91</v>
      </c>
      <c r="B21" s="66">
        <f>B16+Zooplankton!B14+Phytoplankton!B10+Periphyton!B9</f>
        <v>232</v>
      </c>
      <c r="C21" s="91">
        <f>C16+Zooplankton!C14+Phytoplankton!C10+Periphyton!C9</f>
        <v>58</v>
      </c>
    </row>
    <row r="22" spans="1:3" s="18" customFormat="1" x14ac:dyDescent="0.25">
      <c r="A22" s="63" t="s">
        <v>92</v>
      </c>
      <c r="B22" s="66">
        <f>B17+Zooplankton!B15+Phytoplankton!B11+Periphyton!B10</f>
        <v>200</v>
      </c>
      <c r="C22" s="91">
        <f>C17+Zooplankton!C15+Phytoplankton!C11+Periphyton!C10</f>
        <v>46</v>
      </c>
    </row>
    <row r="23" spans="1:3" s="18" customFormat="1" x14ac:dyDescent="0.25">
      <c r="A23" s="63" t="s">
        <v>92</v>
      </c>
      <c r="B23" s="64">
        <f>B22/B21</f>
        <v>0.86206896551724133</v>
      </c>
      <c r="C23" s="120">
        <f>C22/C21</f>
        <v>0.7931034482758621</v>
      </c>
    </row>
    <row r="24" spans="1:3" s="18" customFormat="1" x14ac:dyDescent="0.25"/>
    <row r="25" spans="1:3" s="18" customFormat="1" ht="24.95" customHeight="1" x14ac:dyDescent="0.25"/>
    <row r="26" spans="1:3" s="18" customFormat="1" ht="66" customHeight="1" x14ac:dyDescent="0.25"/>
    <row r="27" spans="1:3" s="18" customFormat="1" ht="30" customHeight="1" x14ac:dyDescent="0.25"/>
    <row r="28" spans="1:3" s="18" customFormat="1" ht="30" customHeight="1" x14ac:dyDescent="0.25"/>
    <row r="29" spans="1:3" s="18" customFormat="1" ht="30" customHeight="1" x14ac:dyDescent="0.25"/>
    <row r="30" spans="1:3" s="18" customFormat="1" ht="30" customHeight="1" x14ac:dyDescent="0.25"/>
    <row r="31" spans="1:3" s="18" customFormat="1" ht="30" customHeight="1" x14ac:dyDescent="0.25"/>
    <row r="32" spans="1:3" s="18" customFormat="1" ht="30" customHeight="1" x14ac:dyDescent="0.25"/>
    <row r="33" s="18" customFormat="1" ht="30" customHeight="1" x14ac:dyDescent="0.25"/>
    <row r="34" s="18" customFormat="1" ht="30" customHeight="1" x14ac:dyDescent="0.25"/>
    <row r="35" s="18" customFormat="1" ht="30" customHeight="1" x14ac:dyDescent="0.25"/>
    <row r="36" s="18" customFormat="1" ht="30" customHeight="1" x14ac:dyDescent="0.25"/>
    <row r="37" s="18" customFormat="1" ht="30" customHeigh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</sheetData>
  <mergeCells count="5">
    <mergeCell ref="P1:S1"/>
    <mergeCell ref="T1:W1"/>
    <mergeCell ref="B1:G1"/>
    <mergeCell ref="H1:K1"/>
    <mergeCell ref="L1:O1"/>
  </mergeCells>
  <conditionalFormatting sqref="I3:I13">
    <cfRule type="expression" dxfId="61" priority="19">
      <formula>I3&gt;=F3</formula>
    </cfRule>
    <cfRule type="expression" dxfId="60" priority="20" stopIfTrue="1">
      <formula>I3&lt;F3</formula>
    </cfRule>
  </conditionalFormatting>
  <conditionalFormatting sqref="J3:J13">
    <cfRule type="expression" dxfId="59" priority="12">
      <formula>$J$3&lt;$G$3</formula>
    </cfRule>
  </conditionalFormatting>
  <conditionalFormatting sqref="M3:M13">
    <cfRule type="expression" dxfId="58" priority="17">
      <formula>M3&gt;=F3</formula>
    </cfRule>
    <cfRule type="expression" dxfId="57" priority="18">
      <formula>M3&lt;=F3</formula>
    </cfRule>
  </conditionalFormatting>
  <conditionalFormatting sqref="N3:N13">
    <cfRule type="expression" dxfId="56" priority="10">
      <formula>N3&lt;=G3</formula>
    </cfRule>
    <cfRule type="expression" dxfId="55" priority="11">
      <formula>N3&gt;=G3</formula>
    </cfRule>
  </conditionalFormatting>
  <conditionalFormatting sqref="Q3:Q13">
    <cfRule type="expression" dxfId="54" priority="15">
      <formula>Q3&gt;=F3</formula>
    </cfRule>
    <cfRule type="expression" dxfId="53" priority="16">
      <formula>Q3&lt;=F3</formula>
    </cfRule>
  </conditionalFormatting>
  <conditionalFormatting sqref="R3:R13">
    <cfRule type="expression" dxfId="52" priority="8">
      <formula>R3&lt;=G3</formula>
    </cfRule>
    <cfRule type="expression" dxfId="51" priority="9">
      <formula>R3&gt;=G3</formula>
    </cfRule>
  </conditionalFormatting>
  <conditionalFormatting sqref="U3:U13">
    <cfRule type="expression" dxfId="50" priority="13">
      <formula>U3&gt;=F3</formula>
    </cfRule>
    <cfRule type="expression" dxfId="49" priority="14">
      <formula>U3&lt;=F3</formula>
    </cfRule>
  </conditionalFormatting>
  <conditionalFormatting sqref="V3:V13">
    <cfRule type="expression" dxfId="48" priority="6">
      <formula>V3&lt;=G3</formula>
    </cfRule>
    <cfRule type="expression" dxfId="47" priority="7">
      <formula>V3&gt;=G3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W28"/>
  <sheetViews>
    <sheetView zoomScale="70" zoomScaleNormal="70" workbookViewId="0">
      <pane xSplit="1" topLeftCell="B1" activePane="topRight" state="frozen"/>
      <selection pane="topRight" activeCell="A17" sqref="A17:W32"/>
    </sheetView>
  </sheetViews>
  <sheetFormatPr baseColWidth="10" defaultColWidth="14.7109375" defaultRowHeight="15" x14ac:dyDescent="0.25"/>
  <cols>
    <col min="1" max="1" width="22.5703125" style="18" customWidth="1"/>
    <col min="2" max="20" width="14.7109375" style="18"/>
    <col min="21" max="21" width="15.5703125" style="18" customWidth="1"/>
    <col min="22" max="22" width="15.140625" style="18" customWidth="1"/>
    <col min="23" max="23" width="15.28515625" style="18" customWidth="1"/>
    <col min="24" max="16384" width="14.7109375" style="18"/>
  </cols>
  <sheetData>
    <row r="1" spans="1:23" s="19" customFormat="1" ht="24.95" customHeight="1" thickBot="1" x14ac:dyDescent="0.3">
      <c r="A1" s="65" t="s">
        <v>61</v>
      </c>
      <c r="B1" s="128" t="s">
        <v>9</v>
      </c>
      <c r="C1" s="129"/>
      <c r="D1" s="129"/>
      <c r="E1" s="129"/>
      <c r="F1" s="129"/>
      <c r="G1" s="130"/>
      <c r="H1" s="128" t="s">
        <v>10</v>
      </c>
      <c r="I1" s="129"/>
      <c r="J1" s="129"/>
      <c r="K1" s="130"/>
      <c r="L1" s="128" t="s">
        <v>11</v>
      </c>
      <c r="M1" s="129"/>
      <c r="N1" s="129"/>
      <c r="O1" s="130"/>
      <c r="P1" s="128" t="s">
        <v>12</v>
      </c>
      <c r="Q1" s="129"/>
      <c r="R1" s="129"/>
      <c r="S1" s="130"/>
      <c r="T1" s="128" t="s">
        <v>13</v>
      </c>
      <c r="U1" s="129"/>
      <c r="V1" s="129"/>
      <c r="W1" s="130"/>
    </row>
    <row r="2" spans="1:23" ht="66" customHeight="1" thickBot="1" x14ac:dyDescent="0.3">
      <c r="A2" s="20" t="s">
        <v>14</v>
      </c>
      <c r="B2" s="21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22" t="s">
        <v>20</v>
      </c>
      <c r="H2" s="28" t="s">
        <v>21</v>
      </c>
      <c r="I2" s="29" t="s">
        <v>22</v>
      </c>
      <c r="J2" s="29" t="s">
        <v>20</v>
      </c>
      <c r="K2" s="30" t="s">
        <v>23</v>
      </c>
      <c r="L2" s="28" t="s">
        <v>21</v>
      </c>
      <c r="M2" s="29" t="s">
        <v>22</v>
      </c>
      <c r="N2" s="29" t="s">
        <v>20</v>
      </c>
      <c r="O2" s="30" t="s">
        <v>23</v>
      </c>
      <c r="P2" s="28" t="s">
        <v>21</v>
      </c>
      <c r="Q2" s="29" t="s">
        <v>22</v>
      </c>
      <c r="R2" s="29" t="s">
        <v>20</v>
      </c>
      <c r="S2" s="30" t="s">
        <v>23</v>
      </c>
      <c r="T2" s="28" t="s">
        <v>21</v>
      </c>
      <c r="U2" s="29" t="s">
        <v>22</v>
      </c>
      <c r="V2" s="29" t="s">
        <v>20</v>
      </c>
      <c r="W2" s="30" t="s">
        <v>23</v>
      </c>
    </row>
    <row r="3" spans="1:23" ht="30" customHeight="1" x14ac:dyDescent="0.25">
      <c r="A3" s="50" t="s">
        <v>38</v>
      </c>
      <c r="B3" s="51">
        <v>44761</v>
      </c>
      <c r="C3" s="52" t="s">
        <v>39</v>
      </c>
      <c r="D3" s="52">
        <v>0.3</v>
      </c>
      <c r="E3" s="52">
        <v>27.5</v>
      </c>
      <c r="F3" s="53">
        <v>0</v>
      </c>
      <c r="G3" s="54">
        <v>24.2</v>
      </c>
      <c r="H3" s="101" t="str">
        <f>'raw data rev best'!C13</f>
        <v>NA</v>
      </c>
      <c r="I3" s="71">
        <f>VLOOKUP(A3,'raw data rev best'!$B$2:$R$27,4, FALSE)</f>
        <v>0</v>
      </c>
      <c r="J3" s="71">
        <f>VLOOKUP(A3,'raw data rev best'!$B$2:$R$27,5, FALSE)</f>
        <v>0</v>
      </c>
      <c r="K3" s="48"/>
      <c r="L3" s="99">
        <f>'raw data rev best'!G13</f>
        <v>42538</v>
      </c>
      <c r="M3" s="71">
        <f>VLOOKUP($A3,'raw data rev best'!$B$2:$R$27,8, FALSE)</f>
        <v>7.1354840167430595E-4</v>
      </c>
      <c r="N3" s="71">
        <f>VLOOKUP($A3,'raw data rev best'!$B$2:$R$27,9, FALSE)</f>
        <v>1.5460811833877901</v>
      </c>
      <c r="O3" s="61"/>
      <c r="P3" s="99">
        <f>'raw data rev best'!K13</f>
        <v>43241</v>
      </c>
      <c r="Q3" s="71">
        <f>VLOOKUP($A3,'raw data rev best'!$B$2:$R$27,12, FALSE)</f>
        <v>9.0079786421364403E-6</v>
      </c>
      <c r="R3" s="71">
        <f>VLOOKUP($A3,'raw data rev best'!$B$2:$R$27,13, FALSE)</f>
        <v>6.0308565124214099E-2</v>
      </c>
      <c r="S3" s="48"/>
      <c r="T3" s="100">
        <f>'raw data rev best'!P13</f>
        <v>43620</v>
      </c>
      <c r="U3" s="71">
        <f>VLOOKUP($A3,'raw data rev best'!$B$2:$R$27,16, FALSE)</f>
        <v>3.0416080751758199E-6</v>
      </c>
      <c r="V3" s="71">
        <f>VLOOKUP($A3,'raw data rev best'!$B$2:$R$27,17, FALSE)</f>
        <v>6.0417601939397797E-2</v>
      </c>
      <c r="W3" s="48"/>
    </row>
    <row r="4" spans="1:23" ht="30" customHeight="1" x14ac:dyDescent="0.25">
      <c r="A4" s="55" t="s">
        <v>40</v>
      </c>
      <c r="B4" s="15" t="s">
        <v>25</v>
      </c>
      <c r="C4" s="15" t="s">
        <v>25</v>
      </c>
      <c r="D4" s="15" t="s">
        <v>25</v>
      </c>
      <c r="E4" s="15" t="s">
        <v>25</v>
      </c>
      <c r="F4" s="16">
        <v>0</v>
      </c>
      <c r="G4" s="56">
        <v>83.4</v>
      </c>
      <c r="H4" s="69"/>
      <c r="I4" s="67">
        <f>VLOOKUP(A4,'raw data rev best'!$B$2:$R$27,4, FALSE)</f>
        <v>0.55489658842304301</v>
      </c>
      <c r="J4" s="67">
        <f>VLOOKUP(A4,'raw data rev best'!$B$2:$R$27,5, FALSE)</f>
        <v>53.988859908742299</v>
      </c>
      <c r="K4" s="42"/>
      <c r="L4" s="70"/>
      <c r="M4" s="67">
        <f>VLOOKUP($A4,'raw data rev best'!$B$2:$R$27,8, FALSE)</f>
        <v>17.006986122173998</v>
      </c>
      <c r="N4" s="67">
        <f>VLOOKUP($A4,'raw data rev best'!$B$2:$R$27,9, FALSE)</f>
        <v>49.667318352781201</v>
      </c>
      <c r="O4" s="46"/>
      <c r="P4" s="69"/>
      <c r="Q4" s="67">
        <f>VLOOKUP($A4,'raw data rev best'!$B$2:$R$27,12, FALSE)</f>
        <v>7.8704567791436997</v>
      </c>
      <c r="R4" s="67">
        <f>VLOOKUP($A4,'raw data rev best'!$B$2:$R$27,13, FALSE)</f>
        <v>50.4866476099238</v>
      </c>
      <c r="S4" s="42"/>
      <c r="T4" s="70"/>
      <c r="U4" s="67">
        <f>VLOOKUP($A4,'raw data rev best'!$B$2:$R$27,16, FALSE)</f>
        <v>1.4728041406014201</v>
      </c>
      <c r="V4" s="67">
        <f>VLOOKUP($A4,'raw data rev best'!$B$2:$R$27,17, FALSE)</f>
        <v>45.602511660234804</v>
      </c>
      <c r="W4" s="42"/>
    </row>
    <row r="5" spans="1:23" ht="30" customHeight="1" x14ac:dyDescent="0.25">
      <c r="A5" s="55" t="s">
        <v>41</v>
      </c>
      <c r="B5" s="15" t="s">
        <v>25</v>
      </c>
      <c r="C5" s="15" t="s">
        <v>25</v>
      </c>
      <c r="D5" s="15" t="s">
        <v>25</v>
      </c>
      <c r="E5" s="15" t="s">
        <v>25</v>
      </c>
      <c r="F5" s="16">
        <v>0</v>
      </c>
      <c r="G5" s="56">
        <v>13.8</v>
      </c>
      <c r="H5" s="45"/>
      <c r="I5" s="67">
        <f>VLOOKUP(A5,'raw data rev best'!$B$2:$R$27,4, FALSE)</f>
        <v>0</v>
      </c>
      <c r="J5" s="67">
        <f>VLOOKUP(A5,'raw data rev best'!$B$2:$R$27,5, FALSE)</f>
        <v>0</v>
      </c>
      <c r="K5" s="42"/>
      <c r="L5" s="45"/>
      <c r="M5" s="67">
        <f>VLOOKUP($A5,'raw data rev best'!$B$2:$R$27,8, FALSE)</f>
        <v>0</v>
      </c>
      <c r="N5" s="67">
        <f>VLOOKUP($A5,'raw data rev best'!$B$2:$R$27,9, FALSE)</f>
        <v>0</v>
      </c>
      <c r="O5" s="46"/>
      <c r="P5" s="45"/>
      <c r="Q5" s="67">
        <f>VLOOKUP($A5,'raw data rev best'!$B$2:$R$27,12, FALSE)</f>
        <v>7.2942392748184898E-2</v>
      </c>
      <c r="R5" s="67">
        <f>VLOOKUP($A5,'raw data rev best'!$B$2:$R$27,13, FALSE)</f>
        <v>0.110463422655613</v>
      </c>
      <c r="S5" s="42"/>
      <c r="T5" s="41"/>
      <c r="U5" s="67">
        <f>VLOOKUP($A5,'raw data rev best'!$B$2:$R$27,16, FALSE)</f>
        <v>0</v>
      </c>
      <c r="V5" s="67">
        <f>VLOOKUP($A5,'raw data rev best'!$B$2:$R$27,17, FALSE)</f>
        <v>0</v>
      </c>
      <c r="W5" s="42"/>
    </row>
    <row r="6" spans="1:23" ht="30" customHeight="1" x14ac:dyDescent="0.25">
      <c r="A6" s="55" t="s">
        <v>42</v>
      </c>
      <c r="B6" s="15" t="s">
        <v>25</v>
      </c>
      <c r="C6" s="15" t="s">
        <v>25</v>
      </c>
      <c r="D6" s="15" t="s">
        <v>25</v>
      </c>
      <c r="E6" s="15" t="s">
        <v>25</v>
      </c>
      <c r="F6" s="16">
        <f>6.5+F8</f>
        <v>24.2</v>
      </c>
      <c r="G6" s="56">
        <f>143.1+G8</f>
        <v>843.80000000000007</v>
      </c>
      <c r="H6" s="45"/>
      <c r="I6" s="67">
        <f>VLOOKUP(A6,'raw data rev best'!$B$2:$R$27,4, FALSE)</f>
        <v>98.912221595542505</v>
      </c>
      <c r="J6" s="67">
        <f>VLOOKUP(A6,'raw data rev best'!$B$2:$R$27,5, FALSE)</f>
        <v>297.49770890847299</v>
      </c>
      <c r="K6" s="42"/>
      <c r="L6" s="45"/>
      <c r="M6" s="67">
        <f>VLOOKUP($A6,'raw data rev best'!$B$2:$R$27,8, FALSE)</f>
        <v>85.582889293026298</v>
      </c>
      <c r="N6" s="67">
        <f>VLOOKUP($A6,'raw data rev best'!$B$2:$R$27,9, FALSE)</f>
        <v>194.30283533512801</v>
      </c>
      <c r="O6" s="46"/>
      <c r="P6" s="45"/>
      <c r="Q6" s="67">
        <f>VLOOKUP($A6,'raw data rev best'!$B$2:$R$27,12, FALSE)</f>
        <v>401.64778674061603</v>
      </c>
      <c r="R6" s="67">
        <f>VLOOKUP($A6,'raw data rev best'!$B$2:$R$27,13, FALSE)</f>
        <v>453.532038684138</v>
      </c>
      <c r="S6" s="42"/>
      <c r="T6" s="41"/>
      <c r="U6" s="67">
        <f>VLOOKUP($A6,'raw data rev best'!$B$2:$R$27,16, FALSE)</f>
        <v>13.384253712280399</v>
      </c>
      <c r="V6" s="67">
        <f>VLOOKUP($A6,'raw data rev best'!$B$2:$R$27,17, FALSE)</f>
        <v>139.715196820004</v>
      </c>
      <c r="W6" s="42"/>
    </row>
    <row r="7" spans="1:23" ht="30" customHeight="1" x14ac:dyDescent="0.25">
      <c r="A7" s="55" t="s">
        <v>43</v>
      </c>
      <c r="B7" s="26">
        <v>44754</v>
      </c>
      <c r="C7" s="15" t="s">
        <v>39</v>
      </c>
      <c r="D7" s="15">
        <v>6</v>
      </c>
      <c r="E7" s="15">
        <v>55.3</v>
      </c>
      <c r="F7" s="16">
        <v>0</v>
      </c>
      <c r="G7" s="56">
        <v>45.1</v>
      </c>
      <c r="H7" s="123" t="str">
        <f>'raw data rev best'!C17</f>
        <v>NA</v>
      </c>
      <c r="I7" s="67">
        <f>VLOOKUP(A7,'raw data rev best'!$B$2:$R$27,4, FALSE)</f>
        <v>0</v>
      </c>
      <c r="J7" s="67">
        <f>VLOOKUP(A7,'raw data rev best'!$B$2:$R$27,5, FALSE)</f>
        <v>0</v>
      </c>
      <c r="K7" s="42"/>
      <c r="L7" s="97">
        <f>'raw data rev best'!G17</f>
        <v>42538</v>
      </c>
      <c r="M7" s="67">
        <f>VLOOKUP($A7,'raw data rev best'!$B$2:$R$27,8, FALSE)</f>
        <v>3.8861136713181099</v>
      </c>
      <c r="N7" s="67">
        <f>VLOOKUP($A7,'raw data rev best'!$B$2:$R$27,9, FALSE)</f>
        <v>25.352629059816199</v>
      </c>
      <c r="O7" s="46"/>
      <c r="P7" s="98">
        <f>'raw data rev best'!K17</f>
        <v>43241</v>
      </c>
      <c r="Q7" s="67">
        <f>VLOOKUP($A7,'raw data rev best'!$B$2:$R$27,12, FALSE)</f>
        <v>2.1261498560711098</v>
      </c>
      <c r="R7" s="67">
        <f>VLOOKUP($A7,'raw data rev best'!$B$2:$R$27,13, FALSE)</f>
        <v>6.16037971470793</v>
      </c>
      <c r="S7" s="42"/>
      <c r="T7" s="97">
        <f>'raw data rev best'!O17</f>
        <v>43620</v>
      </c>
      <c r="U7" s="67">
        <f>VLOOKUP($A7,'raw data rev best'!$B$2:$R$27,16, FALSE)</f>
        <v>0.701119541151347</v>
      </c>
      <c r="V7" s="67">
        <f>VLOOKUP($A7,'raw data rev best'!$B$2:$R$27,17, FALSE)</f>
        <v>6.5733945644062004</v>
      </c>
      <c r="W7" s="42"/>
    </row>
    <row r="8" spans="1:23" ht="30" customHeight="1" x14ac:dyDescent="0.25">
      <c r="A8" s="55" t="s">
        <v>44</v>
      </c>
      <c r="B8" s="15" t="s">
        <v>25</v>
      </c>
      <c r="C8" s="15" t="s">
        <v>25</v>
      </c>
      <c r="D8" s="15" t="s">
        <v>25</v>
      </c>
      <c r="E8" s="15" t="s">
        <v>25</v>
      </c>
      <c r="F8" s="16">
        <v>17.7</v>
      </c>
      <c r="G8" s="56">
        <v>700.7</v>
      </c>
      <c r="H8" s="45"/>
      <c r="I8" s="67"/>
      <c r="J8" s="67"/>
      <c r="K8" s="42"/>
      <c r="L8" s="45"/>
      <c r="M8" s="67"/>
      <c r="N8" s="67"/>
      <c r="O8" s="46"/>
      <c r="P8" s="45"/>
      <c r="Q8" s="67"/>
      <c r="R8" s="67"/>
      <c r="S8" s="42"/>
      <c r="T8" s="41"/>
      <c r="U8" s="67"/>
      <c r="V8" s="67"/>
      <c r="W8" s="42"/>
    </row>
    <row r="9" spans="1:23" ht="30" customHeight="1" x14ac:dyDescent="0.25">
      <c r="A9" s="55" t="s">
        <v>45</v>
      </c>
      <c r="B9" s="15" t="s">
        <v>25</v>
      </c>
      <c r="C9" s="15" t="s">
        <v>25</v>
      </c>
      <c r="D9" s="15" t="s">
        <v>25</v>
      </c>
      <c r="E9" s="15" t="s">
        <v>25</v>
      </c>
      <c r="F9" s="16">
        <v>1.2</v>
      </c>
      <c r="G9" s="56">
        <v>634.9</v>
      </c>
      <c r="H9" s="45"/>
      <c r="I9" s="67">
        <f>VLOOKUP(A9,'raw data rev best'!$B$2:$R$27,4, FALSE)</f>
        <v>23.407674502654999</v>
      </c>
      <c r="J9" s="67">
        <f>VLOOKUP(A9,'raw data rev best'!$B$2:$R$27,5, FALSE)</f>
        <v>61.826259556397098</v>
      </c>
      <c r="K9" s="42"/>
      <c r="L9" s="45"/>
      <c r="M9" s="67">
        <f>VLOOKUP($A9,'raw data rev best'!$B$2:$R$27,8, FALSE)</f>
        <v>23.2979190582558</v>
      </c>
      <c r="N9" s="67">
        <f>VLOOKUP($A9,'raw data rev best'!$B$2:$R$27,9, FALSE)</f>
        <v>74.062393306418898</v>
      </c>
      <c r="O9" s="46"/>
      <c r="P9" s="45"/>
      <c r="Q9" s="67">
        <f>VLOOKUP($A9,'raw data rev best'!$B$2:$R$27,12, FALSE)</f>
        <v>21.291265811535499</v>
      </c>
      <c r="R9" s="67">
        <f>VLOOKUP($A9,'raw data rev best'!$B$2:$R$27,13, FALSE)</f>
        <v>71.965745723185194</v>
      </c>
      <c r="S9" s="42"/>
      <c r="T9" s="41"/>
      <c r="U9" s="67">
        <f>VLOOKUP($A9,'raw data rev best'!$B$2:$R$27,16, FALSE)</f>
        <v>4.2392521999521602</v>
      </c>
      <c r="V9" s="67">
        <f>VLOOKUP($A9,'raw data rev best'!$B$2:$R$27,17, FALSE)</f>
        <v>388.01320990445498</v>
      </c>
      <c r="W9" s="42"/>
    </row>
    <row r="10" spans="1:23" ht="30" customHeight="1" x14ac:dyDescent="0.25">
      <c r="A10" s="55" t="s">
        <v>46</v>
      </c>
      <c r="B10" s="15" t="s">
        <v>31</v>
      </c>
      <c r="C10" s="26">
        <v>44746</v>
      </c>
      <c r="D10" s="15">
        <v>96.6</v>
      </c>
      <c r="E10" s="15">
        <v>1902.2</v>
      </c>
      <c r="F10" s="16">
        <v>7.5</v>
      </c>
      <c r="G10" s="56">
        <v>1484.9</v>
      </c>
      <c r="H10" s="88">
        <v>41771</v>
      </c>
      <c r="I10" s="67">
        <f>VLOOKUP(A10,'raw data rev best'!$B$2:$R$27,4, FALSE)</f>
        <v>44.140071458432303</v>
      </c>
      <c r="J10" s="67">
        <f>VLOOKUP(A10,'raw data rev best'!$B$2:$R$27,5, FALSE)</f>
        <v>634.43102437061702</v>
      </c>
      <c r="K10" s="42"/>
      <c r="L10" s="95">
        <v>42538</v>
      </c>
      <c r="M10" s="67">
        <f>VLOOKUP($A10,'raw data rev best'!$B$2:$R$27,8, FALSE)</f>
        <v>10.803804527361001</v>
      </c>
      <c r="N10" s="67">
        <f>VLOOKUP($A10,'raw data rev best'!$B$2:$R$27,9, FALSE)</f>
        <v>670.06897739452802</v>
      </c>
      <c r="O10" s="46"/>
      <c r="P10" s="88">
        <v>43241</v>
      </c>
      <c r="Q10" s="67">
        <f>VLOOKUP($A10,'raw data rev best'!$B$2:$R$27,12, FALSE)</f>
        <v>42.994437070363603</v>
      </c>
      <c r="R10" s="67">
        <f>VLOOKUP($A10,'raw data rev best'!$B$2:$R$27,13, FALSE)</f>
        <v>937.63581759846102</v>
      </c>
      <c r="S10" s="42"/>
      <c r="T10" s="102">
        <v>43620</v>
      </c>
      <c r="U10" s="67">
        <f>VLOOKUP($A10,'raw data rev best'!$B$2:$R$27,16, FALSE)</f>
        <v>9.1803869675173593E-5</v>
      </c>
      <c r="V10" s="67">
        <f>VLOOKUP($A10,'raw data rev best'!$B$2:$R$27,17, FALSE)</f>
        <v>1025.5898702340801</v>
      </c>
      <c r="W10" s="42"/>
    </row>
    <row r="11" spans="1:23" ht="30" customHeight="1" thickBot="1" x14ac:dyDescent="0.3">
      <c r="A11" s="57" t="s">
        <v>47</v>
      </c>
      <c r="B11" s="58" t="s">
        <v>25</v>
      </c>
      <c r="C11" s="58" t="s">
        <v>25</v>
      </c>
      <c r="D11" s="58" t="s">
        <v>25</v>
      </c>
      <c r="E11" s="58" t="s">
        <v>25</v>
      </c>
      <c r="F11" s="104">
        <v>0.1</v>
      </c>
      <c r="G11" s="59">
        <v>16.2</v>
      </c>
      <c r="H11" s="49"/>
      <c r="I11" s="72">
        <f>VLOOKUP(A11,'raw data rev best'!$B$2:$R$27,4, FALSE)</f>
        <v>0.70725618638062704</v>
      </c>
      <c r="J11" s="72">
        <f>VLOOKUP(A11,'raw data rev best'!$B$2:$R$27,5, FALSE)</f>
        <v>2.4294337071834602</v>
      </c>
      <c r="K11" s="44"/>
      <c r="L11" s="49"/>
      <c r="M11" s="72">
        <f>VLOOKUP($A11,'raw data rev best'!$B$2:$R$27,8, FALSE)</f>
        <v>6.8556107517207795E-2</v>
      </c>
      <c r="N11" s="72">
        <f>VLOOKUP($A11,'raw data rev best'!$B$2:$R$27,9, FALSE)</f>
        <v>0.43443825845425998</v>
      </c>
      <c r="O11" s="47"/>
      <c r="P11" s="49"/>
      <c r="Q11" s="72">
        <f>VLOOKUP($A11,'raw data rev best'!$B$2:$R$27,12, FALSE)</f>
        <v>3.9708172401389801</v>
      </c>
      <c r="R11" s="72">
        <f>VLOOKUP($A11,'raw data rev best'!$B$2:$R$27,13, FALSE)</f>
        <v>5.2369111818457803</v>
      </c>
      <c r="S11" s="44"/>
      <c r="T11" s="103"/>
      <c r="U11" s="72">
        <f>VLOOKUP($A11,'raw data rev best'!$B$2:$R$27,16, FALSE)</f>
        <v>1.00257397410605</v>
      </c>
      <c r="V11" s="72">
        <f>VLOOKUP($A11,'raw data rev best'!$B$2:$R$27,17, FALSE)</f>
        <v>2.7665409464308199</v>
      </c>
      <c r="W11" s="44"/>
    </row>
    <row r="12" spans="1:23" ht="30" customHeight="1" x14ac:dyDescent="0.25">
      <c r="A12" s="115"/>
      <c r="B12" s="39"/>
      <c r="C12" s="39"/>
      <c r="D12" s="39"/>
      <c r="E12" s="39"/>
      <c r="F12" s="116"/>
      <c r="G12" s="117"/>
    </row>
    <row r="13" spans="1:23" ht="45" x14ac:dyDescent="0.25">
      <c r="A13" s="63"/>
      <c r="B13" s="121" t="s">
        <v>170</v>
      </c>
      <c r="C13" s="122" t="s">
        <v>171</v>
      </c>
    </row>
    <row r="14" spans="1:23" x14ac:dyDescent="0.25">
      <c r="A14" s="63" t="s">
        <v>89</v>
      </c>
      <c r="B14" s="63">
        <f>19*4</f>
        <v>76</v>
      </c>
      <c r="C14" s="91">
        <v>19</v>
      </c>
    </row>
    <row r="15" spans="1:23" x14ac:dyDescent="0.25">
      <c r="A15" s="63" t="s">
        <v>90</v>
      </c>
      <c r="B15" s="63">
        <f>B14-10</f>
        <v>66</v>
      </c>
      <c r="C15" s="91">
        <v>14</v>
      </c>
    </row>
    <row r="16" spans="1:23" x14ac:dyDescent="0.25">
      <c r="A16" s="63" t="s">
        <v>90</v>
      </c>
      <c r="B16" s="64">
        <f>B15/B14</f>
        <v>0.86842105263157898</v>
      </c>
      <c r="C16" s="120">
        <f>C15/C14</f>
        <v>0.73684210526315785</v>
      </c>
    </row>
    <row r="18" spans="1:23" s="19" customFormat="1" ht="24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66" customHeight="1" x14ac:dyDescent="0.25"/>
    <row r="20" spans="1:23" ht="30" customHeight="1" x14ac:dyDescent="0.25"/>
    <row r="21" spans="1:23" ht="30" customHeight="1" x14ac:dyDescent="0.25"/>
    <row r="22" spans="1:23" ht="30" customHeight="1" x14ac:dyDescent="0.25"/>
    <row r="23" spans="1:23" ht="30" customHeight="1" x14ac:dyDescent="0.25"/>
    <row r="24" spans="1:23" ht="30" customHeight="1" x14ac:dyDescent="0.25"/>
    <row r="25" spans="1:23" ht="30" customHeight="1" x14ac:dyDescent="0.25"/>
    <row r="26" spans="1:23" ht="30" customHeight="1" x14ac:dyDescent="0.25"/>
    <row r="27" spans="1:23" ht="30" customHeight="1" x14ac:dyDescent="0.25"/>
    <row r="28" spans="1:23" ht="30" customHeight="1" x14ac:dyDescent="0.25"/>
  </sheetData>
  <mergeCells count="5">
    <mergeCell ref="B1:G1"/>
    <mergeCell ref="H1:K1"/>
    <mergeCell ref="L1:O1"/>
    <mergeCell ref="P1:S1"/>
    <mergeCell ref="T1:W1"/>
  </mergeCells>
  <conditionalFormatting sqref="I3:I7 I9:I11">
    <cfRule type="expression" dxfId="46" priority="15">
      <formula>I3&gt;=F3</formula>
    </cfRule>
    <cfRule type="expression" dxfId="45" priority="16" stopIfTrue="1">
      <formula>I3&lt;F3</formula>
    </cfRule>
  </conditionalFormatting>
  <conditionalFormatting sqref="J3:J7 J9:J11">
    <cfRule type="expression" dxfId="44" priority="8">
      <formula>$J$3&lt;$G$3</formula>
    </cfRule>
  </conditionalFormatting>
  <conditionalFormatting sqref="M3:M7 M9:M11">
    <cfRule type="expression" dxfId="43" priority="13">
      <formula>M3&gt;=F3</formula>
    </cfRule>
    <cfRule type="expression" dxfId="42" priority="14">
      <formula>M3&lt;=F3</formula>
    </cfRule>
  </conditionalFormatting>
  <conditionalFormatting sqref="N3:N7 N9:N11">
    <cfRule type="expression" dxfId="41" priority="6">
      <formula>N3&lt;=G3</formula>
    </cfRule>
    <cfRule type="expression" dxfId="40" priority="7">
      <formula>N3&gt;=G3</formula>
    </cfRule>
  </conditionalFormatting>
  <conditionalFormatting sqref="Q3:Q7 Q9:Q11">
    <cfRule type="expression" dxfId="39" priority="11">
      <formula>Q3&gt;=F3</formula>
    </cfRule>
    <cfRule type="expression" dxfId="38" priority="12">
      <formula>Q3&lt;=F3</formula>
    </cfRule>
  </conditionalFormatting>
  <conditionalFormatting sqref="R3:R7 R9:R11">
    <cfRule type="expression" dxfId="37" priority="4">
      <formula>R3&lt;=G3</formula>
    </cfRule>
    <cfRule type="expression" dxfId="36" priority="5">
      <formula>R3&gt;=G3</formula>
    </cfRule>
  </conditionalFormatting>
  <conditionalFormatting sqref="U3:U7 U9:U11">
    <cfRule type="expression" dxfId="35" priority="9">
      <formula>U3&gt;=F3</formula>
    </cfRule>
    <cfRule type="expression" dxfId="34" priority="10">
      <formula>U3&lt;=F3</formula>
    </cfRule>
  </conditionalFormatting>
  <conditionalFormatting sqref="V3:V7 V9:V11">
    <cfRule type="expression" dxfId="33" priority="2">
      <formula>V3&lt;=G3</formula>
    </cfRule>
    <cfRule type="expression" dxfId="32" priority="3">
      <formula>V3&gt;=G3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R20"/>
  <sheetViews>
    <sheetView zoomScale="84" zoomScaleNormal="100" workbookViewId="0">
      <selection activeCell="A13" sqref="A13:K24"/>
    </sheetView>
  </sheetViews>
  <sheetFormatPr baseColWidth="10" defaultColWidth="14.7109375" defaultRowHeight="15" x14ac:dyDescent="0.25"/>
  <cols>
    <col min="1" max="1" width="28.140625" style="18" customWidth="1"/>
    <col min="2" max="16384" width="14.7109375" style="18"/>
  </cols>
  <sheetData>
    <row r="1" spans="1:18" s="32" customFormat="1" ht="31.5" customHeight="1" thickBot="1" x14ac:dyDescent="0.3">
      <c r="A1" s="65" t="s">
        <v>61</v>
      </c>
      <c r="B1" s="134" t="s">
        <v>9</v>
      </c>
      <c r="C1" s="135"/>
      <c r="D1" s="136" t="s">
        <v>10</v>
      </c>
      <c r="E1" s="137"/>
      <c r="F1" s="136" t="s">
        <v>11</v>
      </c>
      <c r="G1" s="137"/>
      <c r="H1" s="136" t="s">
        <v>12</v>
      </c>
      <c r="I1" s="137"/>
      <c r="J1" s="136" t="s">
        <v>13</v>
      </c>
      <c r="K1" s="137"/>
      <c r="L1" s="18"/>
      <c r="M1" s="18"/>
      <c r="N1" s="18"/>
      <c r="O1" s="31"/>
      <c r="P1" s="18"/>
      <c r="Q1" s="18"/>
      <c r="R1" s="18"/>
    </row>
    <row r="2" spans="1:18" ht="66" customHeight="1" thickBot="1" x14ac:dyDescent="0.3">
      <c r="A2" s="33" t="s">
        <v>14</v>
      </c>
      <c r="B2" s="34" t="s">
        <v>48</v>
      </c>
      <c r="C2" s="35" t="s">
        <v>49</v>
      </c>
      <c r="D2" s="36" t="s">
        <v>48</v>
      </c>
      <c r="E2" s="37" t="s">
        <v>49</v>
      </c>
      <c r="F2" s="36" t="s">
        <v>48</v>
      </c>
      <c r="G2" s="37" t="s">
        <v>49</v>
      </c>
      <c r="H2" s="36" t="s">
        <v>48</v>
      </c>
      <c r="I2" s="37" t="s">
        <v>49</v>
      </c>
      <c r="J2" s="36" t="s">
        <v>48</v>
      </c>
      <c r="K2" s="37" t="s">
        <v>49</v>
      </c>
    </row>
    <row r="3" spans="1:18" ht="30" customHeight="1" x14ac:dyDescent="0.25">
      <c r="A3" s="23" t="s">
        <v>50</v>
      </c>
      <c r="B3" s="25">
        <v>0.1</v>
      </c>
      <c r="C3" s="25">
        <v>5.88</v>
      </c>
      <c r="D3" s="40">
        <f>'raw data rev best'!E21</f>
        <v>7.0046612708923303E-2</v>
      </c>
      <c r="E3" s="67">
        <f>'raw data rev best'!F21</f>
        <v>1402.3856868396799</v>
      </c>
      <c r="F3" s="40">
        <f>'raw data rev best'!I21</f>
        <v>1.22529287461536</v>
      </c>
      <c r="G3" s="67">
        <f>'raw data rev best'!J21</f>
        <v>657.66737959765896</v>
      </c>
      <c r="H3" s="40">
        <f>'raw data rev best'!M21</f>
        <v>0.29846547254078498</v>
      </c>
      <c r="I3" s="67">
        <f>'raw data rev best'!N21</f>
        <v>1639.6106211425199</v>
      </c>
      <c r="J3" s="40">
        <f>'raw data rev best'!Q21</f>
        <v>1.47527274068006E-24</v>
      </c>
      <c r="K3" s="67">
        <f>'raw data rev best'!R21</f>
        <v>2179.1519831727701</v>
      </c>
    </row>
    <row r="4" spans="1:18" ht="30" customHeight="1" x14ac:dyDescent="0.25">
      <c r="A4" s="14" t="s">
        <v>51</v>
      </c>
      <c r="B4" s="16">
        <v>0</v>
      </c>
      <c r="C4" s="16">
        <v>22.35</v>
      </c>
      <c r="D4" s="40">
        <f>'raw data rev best'!E22</f>
        <v>1.2510587330253E-2</v>
      </c>
      <c r="E4" s="40">
        <f>'raw data rev best'!F22</f>
        <v>0.756886881649666</v>
      </c>
      <c r="F4" s="40">
        <f>'raw data rev best'!I22</f>
        <v>8.43427209867313E-3</v>
      </c>
      <c r="G4" s="40">
        <f>'raw data rev best'!J22</f>
        <v>2.0009653817553201</v>
      </c>
      <c r="H4" s="40">
        <f>'raw data rev best'!M22</f>
        <v>7.4139816257910596E-3</v>
      </c>
      <c r="I4" s="40">
        <f>'raw data rev best'!N22</f>
        <v>0.260287529063644</v>
      </c>
      <c r="J4" s="40">
        <f>'raw data rev best'!Q22</f>
        <v>4.7858826704068601E-4</v>
      </c>
      <c r="K4" s="40">
        <f>'raw data rev best'!R22</f>
        <v>0.28285897003077998</v>
      </c>
    </row>
    <row r="5" spans="1:18" ht="30" customHeight="1" x14ac:dyDescent="0.25">
      <c r="A5" s="14" t="s">
        <v>52</v>
      </c>
      <c r="B5" s="16">
        <v>0.49</v>
      </c>
      <c r="C5" s="15">
        <v>6.68</v>
      </c>
      <c r="D5" s="40">
        <f>'raw data rev best'!E23</f>
        <v>3.8270545005938001E-4</v>
      </c>
      <c r="E5" s="40">
        <f>'raw data rev best'!F23</f>
        <v>1.3946150103908299</v>
      </c>
      <c r="F5" s="40">
        <f>'raw data rev best'!I23</f>
        <v>1.45010791380435E-4</v>
      </c>
      <c r="G5" s="40">
        <f>'raw data rev best'!J23</f>
        <v>2.4124232354426498</v>
      </c>
      <c r="H5" s="40">
        <f>'raw data rev best'!M23</f>
        <v>6.3825752908401503E-4</v>
      </c>
      <c r="I5" s="40">
        <f>'raw data rev best'!N23</f>
        <v>0.97402909277692595</v>
      </c>
      <c r="J5" s="40">
        <f>'raw data rev best'!Q23</f>
        <v>2.13446825502737E-5</v>
      </c>
      <c r="K5" s="40">
        <f>'raw data rev best'!R23</f>
        <v>0.80195674052259802</v>
      </c>
    </row>
    <row r="6" spans="1:18" ht="30" customHeight="1" x14ac:dyDescent="0.25">
      <c r="A6" s="14" t="s">
        <v>53</v>
      </c>
      <c r="B6" s="16">
        <v>0.14000000000000001</v>
      </c>
      <c r="C6" s="16">
        <v>6.09</v>
      </c>
      <c r="D6" s="40">
        <f>'raw data rev best'!E24</f>
        <v>1.99887881740823E-45</v>
      </c>
      <c r="E6" s="40">
        <f>'raw data rev best'!F24</f>
        <v>0.855436188608661</v>
      </c>
      <c r="F6" s="40">
        <f>'raw data rev best'!I24</f>
        <v>1.7365624026181701E-64</v>
      </c>
      <c r="G6" s="40">
        <f>'raw data rev best'!J24</f>
        <v>2.8415527562615002</v>
      </c>
      <c r="H6" s="40">
        <f>'raw data rev best'!M24</f>
        <v>1.2559683959331799E-31</v>
      </c>
      <c r="I6" s="40">
        <f>'raw data rev best'!N24</f>
        <v>1.7752896108210501</v>
      </c>
      <c r="J6" s="40">
        <f>'raw data rev best'!Q24</f>
        <v>1.05438264248253E-55</v>
      </c>
      <c r="K6" s="40">
        <f>'raw data rev best'!R24</f>
        <v>30.0186031066048</v>
      </c>
    </row>
    <row r="7" spans="1:18" ht="30" customHeight="1" x14ac:dyDescent="0.25">
      <c r="A7" s="14" t="s">
        <v>54</v>
      </c>
      <c r="B7" s="16">
        <v>0.73</v>
      </c>
      <c r="C7" s="16">
        <v>41</v>
      </c>
      <c r="D7" s="17"/>
      <c r="E7" s="17"/>
      <c r="F7" s="17"/>
      <c r="G7" s="17"/>
      <c r="H7" s="17"/>
      <c r="I7" s="17"/>
      <c r="J7" s="17"/>
      <c r="K7" s="17"/>
    </row>
    <row r="8" spans="1:18" ht="30" customHeight="1" x14ac:dyDescent="0.25">
      <c r="A8" s="115"/>
      <c r="B8" s="117"/>
      <c r="C8" s="117"/>
    </row>
    <row r="9" spans="1:18" ht="45" x14ac:dyDescent="0.25">
      <c r="A9" s="63"/>
      <c r="B9" s="121" t="s">
        <v>170</v>
      </c>
      <c r="C9" s="119" t="s">
        <v>169</v>
      </c>
    </row>
    <row r="10" spans="1:18" x14ac:dyDescent="0.25">
      <c r="A10" s="63" t="s">
        <v>89</v>
      </c>
      <c r="B10" s="63">
        <v>32</v>
      </c>
      <c r="C10" s="91">
        <v>8</v>
      </c>
    </row>
    <row r="11" spans="1:18" x14ac:dyDescent="0.25">
      <c r="A11" s="63" t="s">
        <v>90</v>
      </c>
      <c r="B11" s="63">
        <v>16</v>
      </c>
      <c r="C11" s="91">
        <v>4</v>
      </c>
    </row>
    <row r="12" spans="1:18" x14ac:dyDescent="0.25">
      <c r="A12" s="63" t="s">
        <v>90</v>
      </c>
      <c r="B12" s="64">
        <f>B11/B10</f>
        <v>0.5</v>
      </c>
      <c r="C12" s="120">
        <f>C11/C10</f>
        <v>0.5</v>
      </c>
    </row>
    <row r="14" spans="1:18" s="32" customFormat="1" ht="31.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</row>
    <row r="15" spans="1:18" ht="66" customHeight="1" x14ac:dyDescent="0.25"/>
    <row r="16" spans="1:18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</sheetData>
  <mergeCells count="5">
    <mergeCell ref="F1:G1"/>
    <mergeCell ref="J1:K1"/>
    <mergeCell ref="H1:I1"/>
    <mergeCell ref="B1:C1"/>
    <mergeCell ref="D1:E1"/>
  </mergeCells>
  <conditionalFormatting sqref="D3:D6">
    <cfRule type="expression" dxfId="31" priority="16">
      <formula>D3&gt;=B3</formula>
    </cfRule>
    <cfRule type="expression" dxfId="30" priority="17">
      <formula>D3&lt;=B3</formula>
    </cfRule>
  </conditionalFormatting>
  <conditionalFormatting sqref="E3:E6">
    <cfRule type="expression" dxfId="29" priority="7">
      <formula>E3&lt;=$C3</formula>
    </cfRule>
    <cfRule type="expression" dxfId="28" priority="8">
      <formula>E3&gt;=$C3</formula>
    </cfRule>
  </conditionalFormatting>
  <conditionalFormatting sqref="F3:F6">
    <cfRule type="expression" dxfId="27" priority="14">
      <formula>F3&gt;=$B3</formula>
    </cfRule>
    <cfRule type="expression" dxfId="26" priority="15">
      <formula>F3&lt;=$B3</formula>
    </cfRule>
  </conditionalFormatting>
  <conditionalFormatting sqref="G3:G6">
    <cfRule type="expression" dxfId="25" priority="5">
      <formula>G3&lt;=$C3</formula>
    </cfRule>
    <cfRule type="expression" dxfId="24" priority="6">
      <formula>G3&gt;=$C3</formula>
    </cfRule>
  </conditionalFormatting>
  <conditionalFormatting sqref="H3:H6">
    <cfRule type="expression" dxfId="23" priority="12">
      <formula>H3&gt;=$B3</formula>
    </cfRule>
    <cfRule type="expression" dxfId="22" priority="13">
      <formula>H3&lt;=$B3</formula>
    </cfRule>
  </conditionalFormatting>
  <conditionalFormatting sqref="I3:I6">
    <cfRule type="expression" dxfId="21" priority="3">
      <formula>I3&lt;=$C3</formula>
    </cfRule>
    <cfRule type="expression" dxfId="20" priority="4">
      <formula>I3&gt;=$C3</formula>
    </cfRule>
  </conditionalFormatting>
  <conditionalFormatting sqref="J3:J6">
    <cfRule type="expression" dxfId="19" priority="10">
      <formula>J3&gt;=$B3</formula>
    </cfRule>
    <cfRule type="expression" dxfId="18" priority="11">
      <formula>J3&lt;=$B3</formula>
    </cfRule>
  </conditionalFormatting>
  <conditionalFormatting sqref="K3:K6">
    <cfRule type="expression" dxfId="17" priority="1">
      <formula>K3&lt;=$C3</formula>
    </cfRule>
    <cfRule type="expression" dxfId="16" priority="2">
      <formula>K3&gt;=$C3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17"/>
  <sheetViews>
    <sheetView zoomScale="85" zoomScaleNormal="85" workbookViewId="0">
      <selection activeCell="H37" sqref="H37"/>
    </sheetView>
  </sheetViews>
  <sheetFormatPr baseColWidth="10" defaultColWidth="14.7109375" defaultRowHeight="15" x14ac:dyDescent="0.25"/>
  <cols>
    <col min="1" max="1" width="20.85546875" style="18" customWidth="1"/>
    <col min="2" max="16384" width="14.7109375" style="18"/>
  </cols>
  <sheetData>
    <row r="1" spans="1:13" ht="30.75" customHeight="1" thickBot="1" x14ac:dyDescent="0.3">
      <c r="A1" s="65" t="s">
        <v>61</v>
      </c>
      <c r="B1" s="134" t="s">
        <v>9</v>
      </c>
      <c r="C1" s="135"/>
      <c r="D1" s="136" t="s">
        <v>10</v>
      </c>
      <c r="E1" s="137"/>
      <c r="F1" s="136" t="s">
        <v>11</v>
      </c>
      <c r="G1" s="137"/>
      <c r="H1" s="136" t="s">
        <v>12</v>
      </c>
      <c r="I1" s="137"/>
      <c r="J1" s="136" t="s">
        <v>13</v>
      </c>
      <c r="K1" s="137"/>
      <c r="L1" s="138"/>
      <c r="M1" s="138"/>
    </row>
    <row r="2" spans="1:13" ht="66" customHeight="1" thickBot="1" x14ac:dyDescent="0.3">
      <c r="A2" s="33" t="s">
        <v>14</v>
      </c>
      <c r="B2" s="34" t="s">
        <v>55</v>
      </c>
      <c r="C2" s="35" t="s">
        <v>56</v>
      </c>
      <c r="D2" s="36" t="s">
        <v>55</v>
      </c>
      <c r="E2" s="37" t="s">
        <v>56</v>
      </c>
      <c r="F2" s="36" t="s">
        <v>55</v>
      </c>
      <c r="G2" s="37" t="s">
        <v>56</v>
      </c>
      <c r="H2" s="36" t="s">
        <v>55</v>
      </c>
      <c r="I2" s="37" t="s">
        <v>56</v>
      </c>
      <c r="J2" s="36" t="s">
        <v>55</v>
      </c>
      <c r="K2" s="37" t="s">
        <v>56</v>
      </c>
      <c r="L2" s="38"/>
      <c r="M2" s="38"/>
    </row>
    <row r="3" spans="1:13" ht="30" customHeight="1" x14ac:dyDescent="0.25">
      <c r="A3" s="23" t="s">
        <v>57</v>
      </c>
      <c r="B3" s="24">
        <v>0.12</v>
      </c>
      <c r="C3" s="24">
        <v>14.82</v>
      </c>
      <c r="D3" s="67">
        <f>'raw data rev best'!E25</f>
        <v>0.21072021514457601</v>
      </c>
      <c r="E3" s="67">
        <f>'raw data rev best'!F25</f>
        <v>0.34413189850709403</v>
      </c>
      <c r="F3" s="40">
        <f>'raw data rev best'!I25</f>
        <v>0.86001839284444903</v>
      </c>
      <c r="G3" s="67">
        <f>'raw data rev best'!J25</f>
        <v>1.65098659366013</v>
      </c>
      <c r="H3" s="40">
        <f>'raw data rev best'!M25</f>
        <v>0.75459735312337595</v>
      </c>
      <c r="I3" s="67">
        <f>'raw data rev best'!N25</f>
        <v>1.20966210340241</v>
      </c>
      <c r="J3" s="40">
        <f>'raw data rev best'!Q25</f>
        <v>0.522633625025403</v>
      </c>
      <c r="K3" s="67">
        <f>'raw data rev best'!R25</f>
        <v>0.95007836758877195</v>
      </c>
    </row>
    <row r="4" spans="1:13" ht="30" customHeight="1" x14ac:dyDescent="0.25">
      <c r="A4" s="14" t="s">
        <v>58</v>
      </c>
      <c r="B4" s="15">
        <v>0.41</v>
      </c>
      <c r="C4" s="15">
        <v>20.81</v>
      </c>
      <c r="D4" s="40">
        <f>'raw data rev best'!E26</f>
        <v>2.42462177589961</v>
      </c>
      <c r="E4" s="40">
        <f>'raw data rev best'!F26</f>
        <v>2.97086364738762</v>
      </c>
      <c r="F4" s="40">
        <f>'raw data rev best'!I26</f>
        <v>6.5132370975945699</v>
      </c>
      <c r="G4" s="40">
        <f>'raw data rev best'!J26</f>
        <v>8.6673520203244401</v>
      </c>
      <c r="H4" s="40">
        <f>'raw data rev best'!M26</f>
        <v>3.60318612669673</v>
      </c>
      <c r="I4" s="40">
        <f>'raw data rev best'!N26</f>
        <v>4.5745488232985201</v>
      </c>
      <c r="J4" s="40">
        <f>'raw data rev best'!Q26</f>
        <v>3.7901352208676902</v>
      </c>
      <c r="K4" s="40">
        <f>'raw data rev best'!R26</f>
        <v>4.9212999985740797</v>
      </c>
    </row>
    <row r="5" spans="1:13" ht="30" customHeight="1" x14ac:dyDescent="0.25">
      <c r="A5" s="14" t="s">
        <v>59</v>
      </c>
      <c r="B5" s="15">
        <v>0.24</v>
      </c>
      <c r="C5" s="15">
        <v>9.43</v>
      </c>
      <c r="D5" s="40">
        <f>'raw data rev best'!E27</f>
        <v>2.4524415908459001</v>
      </c>
      <c r="E5" s="40">
        <f>'raw data rev best'!F27</f>
        <v>3.0961357460710102</v>
      </c>
      <c r="F5" s="40">
        <f>'raw data rev best'!I27</f>
        <v>2.7060071180270699</v>
      </c>
      <c r="G5" s="40">
        <f>'raw data rev best'!J27</f>
        <v>3.7253721476575201</v>
      </c>
      <c r="H5" s="40">
        <f>'raw data rev best'!M27</f>
        <v>4.8922526015129097</v>
      </c>
      <c r="I5" s="40">
        <f>'raw data rev best'!N27</f>
        <v>6.3709203833349299</v>
      </c>
      <c r="J5" s="40">
        <f>'raw data rev best'!Q27</f>
        <v>1.63563740262424</v>
      </c>
      <c r="K5" s="40">
        <f>'raw data rev best'!R27</f>
        <v>2.1936296008235199</v>
      </c>
    </row>
    <row r="6" spans="1:13" ht="30" customHeight="1" x14ac:dyDescent="0.25">
      <c r="A6" s="14" t="s">
        <v>60</v>
      </c>
      <c r="B6" s="15">
        <v>0.77</v>
      </c>
      <c r="C6" s="15">
        <v>45.06</v>
      </c>
      <c r="D6" s="40"/>
      <c r="E6" s="40"/>
      <c r="F6" s="40"/>
      <c r="G6" s="40"/>
      <c r="H6" s="40"/>
      <c r="I6" s="40"/>
      <c r="J6" s="40"/>
      <c r="K6" s="40"/>
    </row>
    <row r="7" spans="1:13" ht="30" customHeight="1" x14ac:dyDescent="0.25">
      <c r="A7" s="115"/>
      <c r="B7" s="39"/>
      <c r="C7" s="39"/>
      <c r="D7" s="118"/>
      <c r="E7" s="118"/>
      <c r="F7" s="118"/>
      <c r="G7" s="118"/>
      <c r="H7" s="118"/>
      <c r="I7" s="118"/>
      <c r="J7" s="118"/>
      <c r="K7" s="118"/>
    </row>
    <row r="8" spans="1:13" ht="45" x14ac:dyDescent="0.25">
      <c r="A8" s="63"/>
      <c r="B8" s="121" t="s">
        <v>170</v>
      </c>
      <c r="C8" s="119" t="s">
        <v>169</v>
      </c>
    </row>
    <row r="9" spans="1:13" x14ac:dyDescent="0.25">
      <c r="A9" s="63" t="s">
        <v>89</v>
      </c>
      <c r="B9" s="63">
        <v>24</v>
      </c>
      <c r="C9" s="91">
        <v>6</v>
      </c>
    </row>
    <row r="10" spans="1:13" x14ac:dyDescent="0.25">
      <c r="A10" s="63" t="s">
        <v>90</v>
      </c>
      <c r="B10" s="63">
        <v>24</v>
      </c>
      <c r="C10" s="91">
        <v>6</v>
      </c>
    </row>
    <row r="11" spans="1:13" x14ac:dyDescent="0.25">
      <c r="A11" s="63" t="s">
        <v>90</v>
      </c>
      <c r="B11" s="64">
        <f>B10/B9</f>
        <v>1</v>
      </c>
      <c r="C11" s="120">
        <f>C10/C9</f>
        <v>1</v>
      </c>
    </row>
    <row r="12" spans="1:13" ht="30.75" customHeight="1" x14ac:dyDescent="0.25">
      <c r="L12" s="138"/>
      <c r="M12" s="138"/>
    </row>
    <row r="13" spans="1:13" ht="66" customHeight="1" x14ac:dyDescent="0.25">
      <c r="L13" s="38"/>
      <c r="M13" s="38"/>
    </row>
    <row r="14" spans="1:13" ht="30" customHeight="1" x14ac:dyDescent="0.25"/>
    <row r="15" spans="1:13" ht="30" customHeight="1" x14ac:dyDescent="0.25"/>
    <row r="16" spans="1:13" ht="30" customHeight="1" x14ac:dyDescent="0.25"/>
    <row r="17" ht="30" customHeight="1" x14ac:dyDescent="0.25"/>
  </sheetData>
  <mergeCells count="7">
    <mergeCell ref="L1:M1"/>
    <mergeCell ref="B1:C1"/>
    <mergeCell ref="D1:E1"/>
    <mergeCell ref="F1:G1"/>
    <mergeCell ref="H1:I1"/>
    <mergeCell ref="J1:K1"/>
    <mergeCell ref="L12:M12"/>
  </mergeCells>
  <conditionalFormatting sqref="D3:D5">
    <cfRule type="expression" dxfId="15" priority="15">
      <formula>D3&gt;=B3</formula>
    </cfRule>
    <cfRule type="expression" dxfId="14" priority="16">
      <formula>D3&lt;=B3</formula>
    </cfRule>
  </conditionalFormatting>
  <conditionalFormatting sqref="E3:E5">
    <cfRule type="expression" dxfId="13" priority="7">
      <formula>E3&lt;=$C3</formula>
    </cfRule>
    <cfRule type="expression" dxfId="12" priority="8">
      <formula>E3&gt;=$C3</formula>
    </cfRule>
  </conditionalFormatting>
  <conditionalFormatting sqref="F3:F5">
    <cfRule type="expression" dxfId="11" priority="13">
      <formula>F3&gt;=$B3</formula>
    </cfRule>
    <cfRule type="expression" dxfId="10" priority="14">
      <formula>F3&lt;=$B3</formula>
    </cfRule>
  </conditionalFormatting>
  <conditionalFormatting sqref="G3:G5">
    <cfRule type="expression" dxfId="9" priority="5">
      <formula>G3&lt;=$C3</formula>
    </cfRule>
    <cfRule type="expression" dxfId="8" priority="6">
      <formula>G3&gt;=$C3</formula>
    </cfRule>
  </conditionalFormatting>
  <conditionalFormatting sqref="H3:H5">
    <cfRule type="expression" dxfId="7" priority="11">
      <formula>H3&gt;=$B3</formula>
    </cfRule>
    <cfRule type="expression" dxfId="6" priority="12">
      <formula>H3&lt;=$B3</formula>
    </cfRule>
  </conditionalFormatting>
  <conditionalFormatting sqref="I3:I5">
    <cfRule type="expression" dxfId="5" priority="3">
      <formula>I3&lt;=$C3</formula>
    </cfRule>
    <cfRule type="expression" dxfId="4" priority="4">
      <formula>I3&gt;=$C3</formula>
    </cfRule>
  </conditionalFormatting>
  <conditionalFormatting sqref="J3:J5">
    <cfRule type="expression" dxfId="3" priority="9">
      <formula>J3&gt;=$B3</formula>
    </cfRule>
    <cfRule type="expression" dxfId="2" priority="10">
      <formula>J3&lt;=$B3</formula>
    </cfRule>
  </conditionalFormatting>
  <conditionalFormatting sqref="K3:K5">
    <cfRule type="expression" dxfId="1" priority="1">
      <formula>K3&lt;=$C3</formula>
    </cfRule>
    <cfRule type="expression" dxfId="0" priority="2">
      <formula>K3&gt;=$C3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F84C-7DCB-411A-B512-7E8A2A47D4FF}">
  <dimension ref="A1:R46"/>
  <sheetViews>
    <sheetView workbookViewId="0">
      <pane xSplit="2" topLeftCell="H1" activePane="topRight" state="frozen"/>
      <selection pane="topRight" activeCell="X19" sqref="X19"/>
    </sheetView>
  </sheetViews>
  <sheetFormatPr baseColWidth="10" defaultRowHeight="15" x14ac:dyDescent="0.25"/>
  <cols>
    <col min="1" max="1" width="49.7109375" customWidth="1"/>
    <col min="2" max="2" width="37.140625" customWidth="1"/>
  </cols>
  <sheetData>
    <row r="1" spans="1:18" x14ac:dyDescent="0.25">
      <c r="B1" t="s">
        <v>95</v>
      </c>
      <c r="C1" s="90" t="s">
        <v>96</v>
      </c>
      <c r="D1" s="90" t="s">
        <v>97</v>
      </c>
      <c r="E1" s="90" t="s">
        <v>98</v>
      </c>
      <c r="F1" s="90" t="s">
        <v>99</v>
      </c>
      <c r="G1" s="91" t="s">
        <v>100</v>
      </c>
      <c r="H1" s="91" t="s">
        <v>101</v>
      </c>
      <c r="I1" s="91" t="s">
        <v>102</v>
      </c>
      <c r="J1" s="91" t="s">
        <v>103</v>
      </c>
      <c r="K1" t="s">
        <v>104</v>
      </c>
      <c r="L1" t="s">
        <v>105</v>
      </c>
      <c r="M1" t="s">
        <v>106</v>
      </c>
      <c r="N1" t="s">
        <v>107</v>
      </c>
      <c r="O1" s="91" t="s">
        <v>108</v>
      </c>
      <c r="P1" s="91" t="s">
        <v>109</v>
      </c>
      <c r="Q1" s="91" t="s">
        <v>110</v>
      </c>
      <c r="R1" s="91" t="s">
        <v>111</v>
      </c>
    </row>
    <row r="2" spans="1:18" x14ac:dyDescent="0.25">
      <c r="A2" t="s">
        <v>62</v>
      </c>
      <c r="B2" t="s">
        <v>24</v>
      </c>
      <c r="C2" t="s">
        <v>63</v>
      </c>
      <c r="D2" t="s">
        <v>63</v>
      </c>
      <c r="E2" s="124">
        <v>28.476251227238901</v>
      </c>
      <c r="F2" s="124">
        <v>29.281516077142001</v>
      </c>
      <c r="G2" t="s">
        <v>63</v>
      </c>
      <c r="H2" t="s">
        <v>63</v>
      </c>
      <c r="I2" s="124">
        <v>8.8137640960280006</v>
      </c>
      <c r="J2" s="124">
        <v>9.9718342213759001</v>
      </c>
      <c r="K2" t="s">
        <v>63</v>
      </c>
      <c r="L2" t="s">
        <v>63</v>
      </c>
      <c r="M2" s="124">
        <v>47.401954747015303</v>
      </c>
      <c r="N2" s="124">
        <v>48.364833136005799</v>
      </c>
      <c r="O2" t="s">
        <v>63</v>
      </c>
      <c r="P2" t="s">
        <v>63</v>
      </c>
      <c r="Q2" s="124">
        <v>2.0436926604633801</v>
      </c>
      <c r="R2" s="124">
        <v>2.2323996597383999</v>
      </c>
    </row>
    <row r="3" spans="1:18" x14ac:dyDescent="0.25">
      <c r="A3" t="s">
        <v>64</v>
      </c>
      <c r="B3" t="s">
        <v>26</v>
      </c>
      <c r="C3" s="93">
        <f>$C$32</f>
        <v>41771</v>
      </c>
      <c r="D3" s="93">
        <f>$C$32</f>
        <v>41771</v>
      </c>
      <c r="E3" s="124">
        <v>8.3192192017635307</v>
      </c>
      <c r="F3" s="124">
        <v>106.868586539131</v>
      </c>
      <c r="G3" s="93">
        <v>42538</v>
      </c>
      <c r="H3" s="93">
        <v>42538</v>
      </c>
      <c r="I3" s="124">
        <v>9.1864422194743902</v>
      </c>
      <c r="J3" s="124">
        <v>42.898799439253999</v>
      </c>
      <c r="K3" s="93">
        <v>43241</v>
      </c>
      <c r="L3" s="93">
        <v>43241</v>
      </c>
      <c r="M3" s="124">
        <v>16.179518129617399</v>
      </c>
      <c r="N3" s="124">
        <v>85.416069199572306</v>
      </c>
      <c r="O3" s="93">
        <v>43620</v>
      </c>
      <c r="P3" s="93">
        <v>43620</v>
      </c>
      <c r="Q3" s="124">
        <v>8.50637799330981</v>
      </c>
      <c r="R3" s="124">
        <v>76.024696484011201</v>
      </c>
    </row>
    <row r="4" spans="1:18" x14ac:dyDescent="0.25">
      <c r="A4" t="s">
        <v>65</v>
      </c>
      <c r="B4" t="s">
        <v>28</v>
      </c>
      <c r="C4" s="92" t="s">
        <v>63</v>
      </c>
      <c r="D4" s="92" t="s">
        <v>63</v>
      </c>
      <c r="E4" s="124">
        <v>0.64138913491233795</v>
      </c>
      <c r="F4" s="124">
        <v>1.6832084777102201</v>
      </c>
      <c r="G4" t="s">
        <v>63</v>
      </c>
      <c r="H4" t="s">
        <v>63</v>
      </c>
      <c r="I4" s="124">
        <v>3.4068533447542602</v>
      </c>
      <c r="J4" s="124">
        <v>9.2455161838351696</v>
      </c>
      <c r="K4" s="92" t="s">
        <v>63</v>
      </c>
      <c r="L4" s="92" t="s">
        <v>63</v>
      </c>
      <c r="M4" s="124">
        <v>0.16248782049456101</v>
      </c>
      <c r="N4" s="124">
        <v>0.33893468605062099</v>
      </c>
      <c r="O4" s="92" t="s">
        <v>63</v>
      </c>
      <c r="P4" s="92" t="s">
        <v>63</v>
      </c>
      <c r="Q4" s="124">
        <v>1.95923260942626</v>
      </c>
      <c r="R4" s="124">
        <v>6.1883036192141798</v>
      </c>
    </row>
    <row r="5" spans="1:18" x14ac:dyDescent="0.25">
      <c r="A5" t="s">
        <v>66</v>
      </c>
      <c r="B5" t="s">
        <v>29</v>
      </c>
      <c r="C5" s="92" t="s">
        <v>63</v>
      </c>
      <c r="D5" s="92" t="s">
        <v>63</v>
      </c>
      <c r="E5" s="124">
        <v>5.3077962164065502</v>
      </c>
      <c r="F5" s="124">
        <v>10.3765597465816</v>
      </c>
      <c r="G5" t="s">
        <v>63</v>
      </c>
      <c r="H5" t="s">
        <v>63</v>
      </c>
      <c r="I5" s="124">
        <v>8.7777277417500894</v>
      </c>
      <c r="J5" s="124">
        <v>17.052410250684002</v>
      </c>
      <c r="K5" s="92" t="s">
        <v>63</v>
      </c>
      <c r="L5" s="92" t="s">
        <v>63</v>
      </c>
      <c r="M5" s="124">
        <v>10.914595361067899</v>
      </c>
      <c r="N5" s="124">
        <v>19.125433999839299</v>
      </c>
      <c r="O5" s="92" t="s">
        <v>63</v>
      </c>
      <c r="P5" s="92" t="s">
        <v>63</v>
      </c>
      <c r="Q5" s="124">
        <v>1.24048741263457</v>
      </c>
      <c r="R5" s="124">
        <v>2.4650310517735998</v>
      </c>
    </row>
    <row r="6" spans="1:18" x14ac:dyDescent="0.25">
      <c r="A6" t="s">
        <v>67</v>
      </c>
      <c r="B6" t="s">
        <v>30</v>
      </c>
      <c r="C6" s="92" t="s">
        <v>63</v>
      </c>
      <c r="D6" s="92" t="s">
        <v>63</v>
      </c>
      <c r="E6" s="124">
        <v>0</v>
      </c>
      <c r="F6" s="124">
        <v>0</v>
      </c>
      <c r="G6" s="93">
        <f>G32+G33*365</f>
        <v>42635</v>
      </c>
      <c r="H6" s="93">
        <f>H32+H33*365</f>
        <v>42635</v>
      </c>
      <c r="I6" s="124">
        <v>6.74318289429955</v>
      </c>
      <c r="J6" s="124">
        <v>8.6469574606059396</v>
      </c>
      <c r="K6" s="93">
        <f>K32+K33*365</f>
        <v>43338</v>
      </c>
      <c r="L6" s="93">
        <f>L32+L33*365</f>
        <v>43338</v>
      </c>
      <c r="M6" s="124">
        <v>7.2795144526799298</v>
      </c>
      <c r="N6" s="124">
        <v>12.1063012383153</v>
      </c>
      <c r="O6" s="92" t="s">
        <v>63</v>
      </c>
      <c r="P6" s="92" t="s">
        <v>63</v>
      </c>
      <c r="Q6" s="124">
        <v>0</v>
      </c>
      <c r="R6" s="124">
        <v>0</v>
      </c>
    </row>
    <row r="7" spans="1:18" x14ac:dyDescent="0.25">
      <c r="A7" t="s">
        <v>68</v>
      </c>
      <c r="B7" t="s">
        <v>32</v>
      </c>
      <c r="C7" s="92" t="s">
        <v>63</v>
      </c>
      <c r="D7" s="92" t="s">
        <v>63</v>
      </c>
      <c r="E7" s="124">
        <v>6.4514683166940499</v>
      </c>
      <c r="F7" s="124">
        <v>10.161411089054999</v>
      </c>
      <c r="G7" t="s">
        <v>63</v>
      </c>
      <c r="H7" t="s">
        <v>63</v>
      </c>
      <c r="I7" s="124">
        <v>16.212980356682401</v>
      </c>
      <c r="J7" s="124">
        <v>24.068159793356401</v>
      </c>
      <c r="K7" s="92" t="s">
        <v>63</v>
      </c>
      <c r="L7" s="92" t="s">
        <v>63</v>
      </c>
      <c r="M7" s="124">
        <v>8.7113486685203991</v>
      </c>
      <c r="N7" s="124">
        <v>13.708079434695801</v>
      </c>
      <c r="O7" s="92" t="s">
        <v>63</v>
      </c>
      <c r="P7" s="92" t="s">
        <v>63</v>
      </c>
      <c r="Q7" s="124">
        <v>9.8548059583608403</v>
      </c>
      <c r="R7" s="124">
        <v>15.870869556827801</v>
      </c>
    </row>
    <row r="8" spans="1:18" x14ac:dyDescent="0.25">
      <c r="A8" t="s">
        <v>69</v>
      </c>
      <c r="B8" t="s">
        <v>33</v>
      </c>
      <c r="C8" s="92" t="s">
        <v>63</v>
      </c>
      <c r="D8" s="92" t="s">
        <v>63</v>
      </c>
      <c r="E8" s="124">
        <v>1.5625803034594501</v>
      </c>
      <c r="F8" s="124">
        <v>5.4277327678930796</v>
      </c>
      <c r="G8" t="s">
        <v>63</v>
      </c>
      <c r="H8" t="s">
        <v>63</v>
      </c>
      <c r="I8" s="124">
        <v>0.40984370448954999</v>
      </c>
      <c r="J8" s="124">
        <v>1.1100391515296499</v>
      </c>
      <c r="K8" s="92" t="s">
        <v>63</v>
      </c>
      <c r="L8" s="92" t="s">
        <v>63</v>
      </c>
      <c r="M8" s="124">
        <v>0.79565641907314599</v>
      </c>
      <c r="N8" s="124">
        <v>2.8926809733899899</v>
      </c>
      <c r="O8" s="92" t="s">
        <v>63</v>
      </c>
      <c r="P8" s="92" t="s">
        <v>63</v>
      </c>
      <c r="Q8" s="124">
        <v>0.30285228319855201</v>
      </c>
      <c r="R8" s="124">
        <v>1.06731577456793</v>
      </c>
    </row>
    <row r="9" spans="1:18" x14ac:dyDescent="0.25">
      <c r="A9" t="s">
        <v>70</v>
      </c>
      <c r="B9" t="s">
        <v>34</v>
      </c>
      <c r="C9" s="92" t="s">
        <v>63</v>
      </c>
      <c r="D9" s="92" t="s">
        <v>63</v>
      </c>
      <c r="E9" s="124">
        <v>1.2254528494996799</v>
      </c>
      <c r="F9" s="124">
        <v>2.7168535582450599</v>
      </c>
      <c r="G9" t="s">
        <v>63</v>
      </c>
      <c r="H9" t="s">
        <v>63</v>
      </c>
      <c r="I9" s="124">
        <v>1.1310607691410599</v>
      </c>
      <c r="J9" s="124">
        <v>1.7917984829891</v>
      </c>
      <c r="K9" s="92" t="s">
        <v>63</v>
      </c>
      <c r="L9" s="92" t="s">
        <v>63</v>
      </c>
      <c r="M9" s="124">
        <v>1.04931623517422</v>
      </c>
      <c r="N9" s="124">
        <v>1.9221106816101501</v>
      </c>
      <c r="O9" t="s">
        <v>63</v>
      </c>
      <c r="P9" t="s">
        <v>63</v>
      </c>
      <c r="Q9" s="124">
        <v>1.34989099366289</v>
      </c>
      <c r="R9" s="124">
        <v>2.7008861022775199</v>
      </c>
    </row>
    <row r="10" spans="1:18" x14ac:dyDescent="0.25">
      <c r="A10" t="s">
        <v>71</v>
      </c>
      <c r="B10" t="s">
        <v>35</v>
      </c>
      <c r="C10" s="92" t="s">
        <v>63</v>
      </c>
      <c r="D10" s="92" t="s">
        <v>63</v>
      </c>
      <c r="E10" s="124">
        <v>3.39067772654067</v>
      </c>
      <c r="F10" s="124">
        <v>12.0789608638086</v>
      </c>
      <c r="G10" t="s">
        <v>63</v>
      </c>
      <c r="H10" t="s">
        <v>63</v>
      </c>
      <c r="I10" s="124">
        <v>9.5019628536909995</v>
      </c>
      <c r="J10" s="124">
        <v>22.726341147420701</v>
      </c>
      <c r="K10" s="92" t="s">
        <v>63</v>
      </c>
      <c r="L10" s="92" t="s">
        <v>63</v>
      </c>
      <c r="M10" s="124">
        <v>1.8956154754647201</v>
      </c>
      <c r="N10" s="124">
        <v>3.9636541932625899</v>
      </c>
      <c r="O10" t="s">
        <v>63</v>
      </c>
      <c r="P10" t="s">
        <v>63</v>
      </c>
      <c r="Q10" s="124">
        <v>4.1913182983112502</v>
      </c>
      <c r="R10" s="124">
        <v>12.9135417289485</v>
      </c>
    </row>
    <row r="11" spans="1:18" x14ac:dyDescent="0.25">
      <c r="A11" t="s">
        <v>72</v>
      </c>
      <c r="B11" t="s">
        <v>36</v>
      </c>
      <c r="C11" s="92" t="s">
        <v>63</v>
      </c>
      <c r="D11" s="92" t="s">
        <v>63</v>
      </c>
      <c r="E11" s="124">
        <v>0.64576581547477696</v>
      </c>
      <c r="F11" s="124">
        <v>1.5085284647511401</v>
      </c>
      <c r="G11" t="s">
        <v>63</v>
      </c>
      <c r="H11" t="s">
        <v>63</v>
      </c>
      <c r="I11" s="124">
        <v>1.0316210187435</v>
      </c>
      <c r="J11" s="124">
        <v>2.16941285605927</v>
      </c>
      <c r="K11" s="92" t="s">
        <v>63</v>
      </c>
      <c r="L11" s="92" t="s">
        <v>63</v>
      </c>
      <c r="M11" s="124">
        <v>2.1391044937722601</v>
      </c>
      <c r="N11" s="124">
        <v>5.2011240184333598</v>
      </c>
      <c r="O11" t="s">
        <v>63</v>
      </c>
      <c r="P11" t="s">
        <v>63</v>
      </c>
      <c r="Q11" s="124">
        <v>1.24401749926515</v>
      </c>
      <c r="R11" s="124">
        <v>3.0577546922605201</v>
      </c>
    </row>
    <row r="12" spans="1:18" x14ac:dyDescent="0.25">
      <c r="A12" t="s">
        <v>73</v>
      </c>
      <c r="B12" t="s">
        <v>37</v>
      </c>
      <c r="C12" s="93">
        <f>$C$32</f>
        <v>41771</v>
      </c>
      <c r="D12" s="93">
        <f>$C$32</f>
        <v>41771</v>
      </c>
      <c r="E12" s="124">
        <v>3.9621680883220899E-2</v>
      </c>
      <c r="F12" s="124">
        <v>1.9235831234829099</v>
      </c>
      <c r="G12" s="93">
        <v>42538</v>
      </c>
      <c r="H12" s="93">
        <v>42538</v>
      </c>
      <c r="I12" s="124">
        <v>1.15287771307336E-2</v>
      </c>
      <c r="J12" s="124">
        <v>0.33401166442879698</v>
      </c>
      <c r="K12" s="93">
        <v>43241</v>
      </c>
      <c r="L12" s="93">
        <v>43241</v>
      </c>
      <c r="M12" s="124">
        <v>2.4618991208007202E-2</v>
      </c>
      <c r="N12" s="124">
        <v>1.06300038938749</v>
      </c>
      <c r="O12" s="93">
        <v>43620</v>
      </c>
      <c r="P12" s="93">
        <v>43620</v>
      </c>
      <c r="Q12" s="124">
        <v>4.59840483478259E-2</v>
      </c>
      <c r="R12" s="124">
        <v>2.5123710757353699</v>
      </c>
    </row>
    <row r="13" spans="1:18" x14ac:dyDescent="0.25">
      <c r="A13" t="s">
        <v>74</v>
      </c>
      <c r="B13" t="s">
        <v>119</v>
      </c>
      <c r="C13" s="92" t="s">
        <v>63</v>
      </c>
      <c r="D13" s="92" t="s">
        <v>63</v>
      </c>
      <c r="E13" s="126">
        <v>0</v>
      </c>
      <c r="F13" s="127">
        <v>0</v>
      </c>
      <c r="G13" s="93">
        <v>42538</v>
      </c>
      <c r="H13" s="93">
        <v>42538</v>
      </c>
      <c r="I13" s="126">
        <v>7.1354840167430595E-4</v>
      </c>
      <c r="J13" s="127">
        <v>1.5460811833877901</v>
      </c>
      <c r="K13" s="93">
        <v>43241</v>
      </c>
      <c r="L13" s="93">
        <v>43241</v>
      </c>
      <c r="M13" s="126">
        <v>9.0079786421364403E-6</v>
      </c>
      <c r="N13" s="127">
        <v>6.0308565124214099E-2</v>
      </c>
      <c r="O13" s="93">
        <v>43620</v>
      </c>
      <c r="P13" s="93">
        <v>43620</v>
      </c>
      <c r="Q13" s="126">
        <v>3.0416080751758199E-6</v>
      </c>
      <c r="R13" s="127">
        <v>6.0417601939397797E-2</v>
      </c>
    </row>
    <row r="14" spans="1:18" x14ac:dyDescent="0.25">
      <c r="A14" t="s">
        <v>75</v>
      </c>
      <c r="B14" t="s">
        <v>120</v>
      </c>
      <c r="C14" s="92" t="s">
        <v>63</v>
      </c>
      <c r="D14" s="92" t="s">
        <v>63</v>
      </c>
      <c r="E14" s="126">
        <v>0.55489658842304301</v>
      </c>
      <c r="F14" s="127">
        <v>53.988859908742299</v>
      </c>
      <c r="G14" t="s">
        <v>63</v>
      </c>
      <c r="H14" t="s">
        <v>63</v>
      </c>
      <c r="I14" s="126">
        <v>17.006986122173998</v>
      </c>
      <c r="J14" s="127">
        <v>49.667318352781201</v>
      </c>
      <c r="K14" s="92" t="s">
        <v>63</v>
      </c>
      <c r="L14" s="92" t="s">
        <v>63</v>
      </c>
      <c r="M14" s="126">
        <v>7.8704567791436997</v>
      </c>
      <c r="N14" s="127">
        <v>50.4866476099238</v>
      </c>
      <c r="O14" s="92" t="s">
        <v>63</v>
      </c>
      <c r="P14" s="92" t="s">
        <v>63</v>
      </c>
      <c r="Q14" s="126">
        <v>1.4728041406014201</v>
      </c>
      <c r="R14" s="127">
        <v>45.602511660234804</v>
      </c>
    </row>
    <row r="15" spans="1:18" x14ac:dyDescent="0.25">
      <c r="A15" t="s">
        <v>76</v>
      </c>
      <c r="B15" t="s">
        <v>121</v>
      </c>
      <c r="C15" s="92" t="s">
        <v>63</v>
      </c>
      <c r="D15" s="92" t="s">
        <v>63</v>
      </c>
      <c r="E15" s="126">
        <v>0</v>
      </c>
      <c r="F15" s="127">
        <v>0</v>
      </c>
      <c r="G15" t="s">
        <v>63</v>
      </c>
      <c r="H15" t="s">
        <v>63</v>
      </c>
      <c r="I15" s="126">
        <v>0</v>
      </c>
      <c r="J15" s="127">
        <v>0</v>
      </c>
      <c r="K15" s="92" t="s">
        <v>63</v>
      </c>
      <c r="L15" s="92" t="s">
        <v>63</v>
      </c>
      <c r="M15" s="126">
        <v>7.2942392748184898E-2</v>
      </c>
      <c r="N15" s="127">
        <v>0.110463422655613</v>
      </c>
      <c r="O15" s="92" t="s">
        <v>63</v>
      </c>
      <c r="P15" s="92" t="s">
        <v>63</v>
      </c>
      <c r="Q15" s="126">
        <v>0</v>
      </c>
      <c r="R15" s="127">
        <v>0</v>
      </c>
    </row>
    <row r="16" spans="1:18" x14ac:dyDescent="0.25">
      <c r="A16" t="s">
        <v>77</v>
      </c>
      <c r="B16" t="s">
        <v>122</v>
      </c>
      <c r="C16" s="92" t="s">
        <v>63</v>
      </c>
      <c r="D16" s="92" t="s">
        <v>63</v>
      </c>
      <c r="E16" s="126">
        <v>98.912221595542505</v>
      </c>
      <c r="F16" s="127">
        <v>297.49770890847299</v>
      </c>
      <c r="G16" t="s">
        <v>63</v>
      </c>
      <c r="H16" t="s">
        <v>63</v>
      </c>
      <c r="I16" s="126">
        <v>85.582889293026298</v>
      </c>
      <c r="J16" s="127">
        <v>194.30283533512801</v>
      </c>
      <c r="K16" s="92" t="s">
        <v>63</v>
      </c>
      <c r="L16" s="92" t="s">
        <v>63</v>
      </c>
      <c r="M16" s="126">
        <v>401.64778674061603</v>
      </c>
      <c r="N16" s="127">
        <v>453.532038684138</v>
      </c>
      <c r="O16" s="92" t="s">
        <v>63</v>
      </c>
      <c r="P16" s="92" t="s">
        <v>63</v>
      </c>
      <c r="Q16" s="126">
        <v>13.384253712280399</v>
      </c>
      <c r="R16" s="127">
        <v>139.715196820004</v>
      </c>
    </row>
    <row r="17" spans="1:18" x14ac:dyDescent="0.25">
      <c r="A17" t="s">
        <v>78</v>
      </c>
      <c r="B17" t="s">
        <v>43</v>
      </c>
      <c r="C17" s="92" t="s">
        <v>63</v>
      </c>
      <c r="D17" s="92" t="s">
        <v>63</v>
      </c>
      <c r="E17" s="126">
        <v>0</v>
      </c>
      <c r="F17" s="127">
        <v>0</v>
      </c>
      <c r="G17" s="93">
        <v>42538</v>
      </c>
      <c r="H17" s="93">
        <v>42538</v>
      </c>
      <c r="I17" s="126">
        <v>3.8861136713181099</v>
      </c>
      <c r="J17" s="127">
        <v>25.352629059816199</v>
      </c>
      <c r="K17" s="93">
        <v>43241</v>
      </c>
      <c r="L17" s="93">
        <v>43241</v>
      </c>
      <c r="M17" s="126">
        <v>2.1261498560711098</v>
      </c>
      <c r="N17" s="127">
        <v>6.16037971470793</v>
      </c>
      <c r="O17" s="93">
        <v>43620</v>
      </c>
      <c r="P17" s="93">
        <v>43620</v>
      </c>
      <c r="Q17" s="126">
        <v>0.701119541151347</v>
      </c>
      <c r="R17" s="127">
        <v>6.5733945644062004</v>
      </c>
    </row>
    <row r="18" spans="1:18" x14ac:dyDescent="0.25">
      <c r="A18" t="s">
        <v>79</v>
      </c>
      <c r="B18" t="s">
        <v>123</v>
      </c>
      <c r="C18" s="92" t="s">
        <v>63</v>
      </c>
      <c r="D18" s="92" t="s">
        <v>63</v>
      </c>
      <c r="E18" s="126">
        <v>23.407674502654999</v>
      </c>
      <c r="F18" s="127">
        <v>61.826259556397098</v>
      </c>
      <c r="G18" t="s">
        <v>63</v>
      </c>
      <c r="H18" t="s">
        <v>63</v>
      </c>
      <c r="I18" s="126">
        <v>23.2979190582558</v>
      </c>
      <c r="J18" s="127">
        <v>74.062393306418898</v>
      </c>
      <c r="K18" s="92" t="s">
        <v>63</v>
      </c>
      <c r="L18" s="92" t="s">
        <v>63</v>
      </c>
      <c r="M18" s="126">
        <v>21.291265811535499</v>
      </c>
      <c r="N18" s="127">
        <v>71.965745723185194</v>
      </c>
      <c r="O18" s="92" t="s">
        <v>63</v>
      </c>
      <c r="P18" s="92" t="s">
        <v>63</v>
      </c>
      <c r="Q18" s="126">
        <v>4.2392521999521602</v>
      </c>
      <c r="R18" s="127">
        <v>388.01320990445498</v>
      </c>
    </row>
    <row r="19" spans="1:18" x14ac:dyDescent="0.25">
      <c r="A19" t="s">
        <v>80</v>
      </c>
      <c r="B19" t="s">
        <v>124</v>
      </c>
      <c r="C19" s="93">
        <f>$C$32</f>
        <v>41771</v>
      </c>
      <c r="D19" s="93">
        <f>$C$32</f>
        <v>41771</v>
      </c>
      <c r="E19" s="126">
        <v>44.140071458432303</v>
      </c>
      <c r="F19" s="127">
        <v>634.43102437061702</v>
      </c>
      <c r="G19" s="93">
        <v>42538</v>
      </c>
      <c r="H19" s="93">
        <v>42538</v>
      </c>
      <c r="I19" s="126">
        <v>10.803804527361001</v>
      </c>
      <c r="J19" s="127">
        <v>670.06897739452802</v>
      </c>
      <c r="K19" s="93">
        <v>43241</v>
      </c>
      <c r="L19" s="93">
        <v>43241</v>
      </c>
      <c r="M19" s="126">
        <v>42.994437070363603</v>
      </c>
      <c r="N19" s="127">
        <v>937.63581759846102</v>
      </c>
      <c r="O19" s="93">
        <v>43620</v>
      </c>
      <c r="P19" s="93">
        <v>43620</v>
      </c>
      <c r="Q19" s="126">
        <v>9.1803869675173593E-5</v>
      </c>
      <c r="R19" s="127">
        <v>1025.5898702340801</v>
      </c>
    </row>
    <row r="20" spans="1:18" x14ac:dyDescent="0.25">
      <c r="A20" t="s">
        <v>81</v>
      </c>
      <c r="B20" t="s">
        <v>47</v>
      </c>
      <c r="C20" s="92" t="s">
        <v>63</v>
      </c>
      <c r="D20" s="92" t="s">
        <v>63</v>
      </c>
      <c r="E20" s="126">
        <v>0.70725618638062704</v>
      </c>
      <c r="F20" s="127">
        <v>2.4294337071834602</v>
      </c>
      <c r="G20" t="s">
        <v>63</v>
      </c>
      <c r="H20" t="s">
        <v>63</v>
      </c>
      <c r="I20" s="126">
        <v>6.8556107517207795E-2</v>
      </c>
      <c r="J20" s="127">
        <v>0.43443825845425998</v>
      </c>
      <c r="K20" s="92" t="s">
        <v>63</v>
      </c>
      <c r="L20" s="92" t="s">
        <v>63</v>
      </c>
      <c r="M20" s="126">
        <v>3.9708172401389801</v>
      </c>
      <c r="N20" s="127">
        <v>5.2369111818457803</v>
      </c>
      <c r="O20" t="s">
        <v>63</v>
      </c>
      <c r="P20" t="s">
        <v>63</v>
      </c>
      <c r="Q20" s="126">
        <v>1.00257397410605</v>
      </c>
      <c r="R20" s="127">
        <v>2.7665409464308199</v>
      </c>
    </row>
    <row r="21" spans="1:18" x14ac:dyDescent="0.25">
      <c r="A21" t="s">
        <v>82</v>
      </c>
      <c r="B21" t="s">
        <v>112</v>
      </c>
      <c r="C21" t="s">
        <v>63</v>
      </c>
      <c r="D21" t="s">
        <v>63</v>
      </c>
      <c r="E21" s="125">
        <v>7.0046612708923303E-2</v>
      </c>
      <c r="F21" s="125">
        <v>1402.3856868396799</v>
      </c>
      <c r="G21" t="s">
        <v>63</v>
      </c>
      <c r="H21" t="s">
        <v>63</v>
      </c>
      <c r="I21" s="126">
        <v>1.22529287461536</v>
      </c>
      <c r="J21" s="127">
        <v>657.66737959765896</v>
      </c>
      <c r="K21" t="s">
        <v>63</v>
      </c>
      <c r="L21" t="s">
        <v>63</v>
      </c>
      <c r="M21" s="126">
        <v>0.29846547254078498</v>
      </c>
      <c r="N21" s="127">
        <v>1639.6106211425199</v>
      </c>
      <c r="O21" t="s">
        <v>63</v>
      </c>
      <c r="P21" t="s">
        <v>63</v>
      </c>
      <c r="Q21" s="126">
        <v>1.47527274068006E-24</v>
      </c>
      <c r="R21" s="127">
        <v>2179.1519831727701</v>
      </c>
    </row>
    <row r="22" spans="1:18" x14ac:dyDescent="0.25">
      <c r="A22" t="s">
        <v>83</v>
      </c>
      <c r="B22" t="s">
        <v>113</v>
      </c>
      <c r="C22" t="s">
        <v>63</v>
      </c>
      <c r="D22" t="s">
        <v>63</v>
      </c>
      <c r="E22" s="125">
        <v>1.2510587330253E-2</v>
      </c>
      <c r="F22" s="125">
        <v>0.756886881649666</v>
      </c>
      <c r="G22" t="s">
        <v>63</v>
      </c>
      <c r="H22" t="s">
        <v>63</v>
      </c>
      <c r="I22" s="126">
        <v>8.43427209867313E-3</v>
      </c>
      <c r="J22" s="127">
        <v>2.0009653817553201</v>
      </c>
      <c r="K22" t="s">
        <v>63</v>
      </c>
      <c r="L22" t="s">
        <v>63</v>
      </c>
      <c r="M22" s="126">
        <v>7.4139816257910596E-3</v>
      </c>
      <c r="N22" s="127">
        <v>0.260287529063644</v>
      </c>
      <c r="O22" t="s">
        <v>63</v>
      </c>
      <c r="P22" t="s">
        <v>63</v>
      </c>
      <c r="Q22" s="126">
        <v>4.7858826704068601E-4</v>
      </c>
      <c r="R22" s="127">
        <v>0.28285897003077998</v>
      </c>
    </row>
    <row r="23" spans="1:18" x14ac:dyDescent="0.25">
      <c r="A23" t="s">
        <v>84</v>
      </c>
      <c r="B23" t="s">
        <v>114</v>
      </c>
      <c r="C23" t="s">
        <v>63</v>
      </c>
      <c r="D23" t="s">
        <v>63</v>
      </c>
      <c r="E23" s="125">
        <v>3.8270545005938001E-4</v>
      </c>
      <c r="F23" s="125">
        <v>1.3946150103908299</v>
      </c>
      <c r="G23" t="s">
        <v>63</v>
      </c>
      <c r="H23" t="s">
        <v>63</v>
      </c>
      <c r="I23" s="126">
        <v>1.45010791380435E-4</v>
      </c>
      <c r="J23" s="127">
        <v>2.4124232354426498</v>
      </c>
      <c r="K23" t="s">
        <v>63</v>
      </c>
      <c r="L23" t="s">
        <v>63</v>
      </c>
      <c r="M23" s="126">
        <v>6.3825752908401503E-4</v>
      </c>
      <c r="N23" s="127">
        <v>0.97402909277692595</v>
      </c>
      <c r="O23" t="s">
        <v>63</v>
      </c>
      <c r="P23" t="s">
        <v>63</v>
      </c>
      <c r="Q23" s="126">
        <v>2.13446825502737E-5</v>
      </c>
      <c r="R23" s="127">
        <v>0.80195674052259802</v>
      </c>
    </row>
    <row r="24" spans="1:18" x14ac:dyDescent="0.25">
      <c r="A24" t="s">
        <v>85</v>
      </c>
      <c r="B24" t="s">
        <v>115</v>
      </c>
      <c r="C24" t="s">
        <v>63</v>
      </c>
      <c r="D24" t="s">
        <v>63</v>
      </c>
      <c r="E24" s="125">
        <v>1.99887881740823E-45</v>
      </c>
      <c r="F24" s="125">
        <v>0.855436188608661</v>
      </c>
      <c r="G24" t="s">
        <v>63</v>
      </c>
      <c r="H24" t="s">
        <v>63</v>
      </c>
      <c r="I24" s="126">
        <v>1.7365624026181701E-64</v>
      </c>
      <c r="J24" s="127">
        <v>2.8415527562615002</v>
      </c>
      <c r="K24" t="s">
        <v>63</v>
      </c>
      <c r="L24" t="s">
        <v>63</v>
      </c>
      <c r="M24" s="126">
        <v>1.2559683959331799E-31</v>
      </c>
      <c r="N24" s="127">
        <v>1.7752896108210501</v>
      </c>
      <c r="O24" t="s">
        <v>63</v>
      </c>
      <c r="P24" t="s">
        <v>63</v>
      </c>
      <c r="Q24" s="126">
        <v>1.05438264248253E-55</v>
      </c>
      <c r="R24" s="127">
        <v>30.0186031066048</v>
      </c>
    </row>
    <row r="25" spans="1:18" x14ac:dyDescent="0.25">
      <c r="A25" t="s">
        <v>86</v>
      </c>
      <c r="B25" t="s">
        <v>116</v>
      </c>
      <c r="C25" t="s">
        <v>63</v>
      </c>
      <c r="D25" t="s">
        <v>63</v>
      </c>
      <c r="E25" s="125">
        <v>0.21072021514457601</v>
      </c>
      <c r="F25" s="125">
        <v>0.34413189850709403</v>
      </c>
      <c r="G25" t="s">
        <v>63</v>
      </c>
      <c r="H25" t="s">
        <v>63</v>
      </c>
      <c r="I25" s="126">
        <v>0.86001839284444903</v>
      </c>
      <c r="J25" s="127">
        <v>1.65098659366013</v>
      </c>
      <c r="K25" t="s">
        <v>63</v>
      </c>
      <c r="L25" t="s">
        <v>63</v>
      </c>
      <c r="M25" s="126">
        <v>0.75459735312337595</v>
      </c>
      <c r="N25" s="127">
        <v>1.20966210340241</v>
      </c>
      <c r="O25" t="s">
        <v>63</v>
      </c>
      <c r="P25" t="s">
        <v>63</v>
      </c>
      <c r="Q25" s="126">
        <v>0.522633625025403</v>
      </c>
      <c r="R25" s="127">
        <v>0.95007836758877195</v>
      </c>
    </row>
    <row r="26" spans="1:18" x14ac:dyDescent="0.25">
      <c r="A26" t="s">
        <v>87</v>
      </c>
      <c r="B26" t="s">
        <v>117</v>
      </c>
      <c r="C26" t="s">
        <v>63</v>
      </c>
      <c r="D26" t="s">
        <v>63</v>
      </c>
      <c r="E26" s="125">
        <v>2.42462177589961</v>
      </c>
      <c r="F26" s="125">
        <v>2.97086364738762</v>
      </c>
      <c r="G26" t="s">
        <v>63</v>
      </c>
      <c r="H26" t="s">
        <v>63</v>
      </c>
      <c r="I26" s="126">
        <v>6.5132370975945699</v>
      </c>
      <c r="J26" s="127">
        <v>8.6673520203244401</v>
      </c>
      <c r="K26" t="s">
        <v>63</v>
      </c>
      <c r="L26" t="s">
        <v>63</v>
      </c>
      <c r="M26" s="126">
        <v>3.60318612669673</v>
      </c>
      <c r="N26" s="127">
        <v>4.5745488232985201</v>
      </c>
      <c r="O26" t="s">
        <v>63</v>
      </c>
      <c r="P26" t="s">
        <v>63</v>
      </c>
      <c r="Q26" s="126">
        <v>3.7901352208676902</v>
      </c>
      <c r="R26" s="127">
        <v>4.9212999985740797</v>
      </c>
    </row>
    <row r="27" spans="1:18" x14ac:dyDescent="0.25">
      <c r="A27" t="s">
        <v>88</v>
      </c>
      <c r="B27" t="s">
        <v>118</v>
      </c>
      <c r="C27" t="s">
        <v>63</v>
      </c>
      <c r="D27" t="s">
        <v>63</v>
      </c>
      <c r="E27" s="125">
        <v>2.4524415908459001</v>
      </c>
      <c r="F27" s="125">
        <v>3.0961357460710102</v>
      </c>
      <c r="G27" t="s">
        <v>63</v>
      </c>
      <c r="H27" t="s">
        <v>63</v>
      </c>
      <c r="I27" s="126">
        <v>2.7060071180270699</v>
      </c>
      <c r="J27" s="127">
        <v>3.7253721476575201</v>
      </c>
      <c r="K27" t="s">
        <v>63</v>
      </c>
      <c r="L27" t="s">
        <v>63</v>
      </c>
      <c r="M27" s="126">
        <v>4.8922526015129097</v>
      </c>
      <c r="N27" s="127">
        <v>6.3709203833349299</v>
      </c>
      <c r="O27" t="s">
        <v>63</v>
      </c>
      <c r="P27" t="s">
        <v>63</v>
      </c>
      <c r="Q27" s="126">
        <v>1.63563740262424</v>
      </c>
      <c r="R27" s="127">
        <v>2.1936296008235199</v>
      </c>
    </row>
    <row r="32" spans="1:18" x14ac:dyDescent="0.25">
      <c r="A32" t="s">
        <v>125</v>
      </c>
      <c r="C32" s="68">
        <v>41771</v>
      </c>
      <c r="D32" s="68">
        <v>41771</v>
      </c>
      <c r="G32" s="68">
        <v>42538</v>
      </c>
      <c r="H32" s="68">
        <v>42538</v>
      </c>
      <c r="K32" s="68">
        <v>43241</v>
      </c>
      <c r="L32" s="68">
        <v>43241</v>
      </c>
      <c r="O32" s="68">
        <v>43620</v>
      </c>
      <c r="P32" s="68">
        <v>43620</v>
      </c>
    </row>
    <row r="33" spans="7:12" x14ac:dyDescent="0.25">
      <c r="G33" s="92">
        <v>0.26575342465753399</v>
      </c>
      <c r="H33" s="94">
        <v>0.26575342465753399</v>
      </c>
      <c r="K33" s="94">
        <v>0.26575342465753399</v>
      </c>
      <c r="L33" s="94">
        <v>0.26575342465753399</v>
      </c>
    </row>
    <row r="45" spans="7:12" x14ac:dyDescent="0.25">
      <c r="G45" s="68"/>
    </row>
    <row r="46" spans="7:12" x14ac:dyDescent="0.25">
      <c r="G46" s="68"/>
    </row>
  </sheetData>
  <autoFilter ref="A1:R27" xr:uid="{3ABFF84C-7DCB-411A-B512-7E8A2A47D4FF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336C-5A10-4FCC-9C9A-B9A43E1A22F4}">
  <dimension ref="A1:R28"/>
  <sheetViews>
    <sheetView zoomScale="85" zoomScaleNormal="85" workbookViewId="0">
      <selection activeCell="P31" sqref="P31"/>
    </sheetView>
  </sheetViews>
  <sheetFormatPr baseColWidth="10" defaultRowHeight="15" x14ac:dyDescent="0.25"/>
  <cols>
    <col min="1" max="1" width="46.85546875" customWidth="1"/>
    <col min="2" max="2" width="32.140625" customWidth="1"/>
  </cols>
  <sheetData>
    <row r="1" spans="1:18" x14ac:dyDescent="0.25">
      <c r="A1" s="107"/>
      <c r="B1" s="108" t="s">
        <v>95</v>
      </c>
      <c r="C1" s="107" t="s">
        <v>152</v>
      </c>
      <c r="D1" s="108" t="s">
        <v>153</v>
      </c>
      <c r="E1" s="108" t="s">
        <v>154</v>
      </c>
      <c r="F1" s="109" t="s">
        <v>155</v>
      </c>
      <c r="G1" s="107" t="s">
        <v>156</v>
      </c>
      <c r="H1" s="108" t="s">
        <v>157</v>
      </c>
      <c r="I1" s="108" t="s">
        <v>158</v>
      </c>
      <c r="J1" s="108" t="s">
        <v>159</v>
      </c>
      <c r="K1" s="107" t="s">
        <v>160</v>
      </c>
      <c r="L1" s="108" t="s">
        <v>161</v>
      </c>
      <c r="M1" s="108" t="s">
        <v>162</v>
      </c>
      <c r="N1" s="109" t="s">
        <v>163</v>
      </c>
      <c r="O1" s="107" t="s">
        <v>164</v>
      </c>
      <c r="P1" s="108" t="s">
        <v>165</v>
      </c>
      <c r="Q1" s="108" t="s">
        <v>166</v>
      </c>
      <c r="R1" s="109" t="s">
        <v>167</v>
      </c>
    </row>
    <row r="2" spans="1:18" x14ac:dyDescent="0.25">
      <c r="A2" s="43" t="s">
        <v>62</v>
      </c>
      <c r="B2" t="s">
        <v>126</v>
      </c>
      <c r="C2" s="43"/>
      <c r="F2" s="110"/>
      <c r="G2" s="43"/>
      <c r="K2" s="43"/>
      <c r="N2" s="110"/>
      <c r="O2" s="43"/>
      <c r="R2" s="110"/>
    </row>
    <row r="3" spans="1:18" x14ac:dyDescent="0.25">
      <c r="A3" s="43" t="s">
        <v>64</v>
      </c>
      <c r="B3" t="s">
        <v>127</v>
      </c>
      <c r="C3" s="43"/>
      <c r="F3" s="110"/>
      <c r="G3" s="43"/>
      <c r="K3" s="43"/>
      <c r="N3" s="110"/>
      <c r="O3" s="43"/>
      <c r="R3" s="110"/>
    </row>
    <row r="4" spans="1:18" x14ac:dyDescent="0.25">
      <c r="A4" s="43" t="s">
        <v>65</v>
      </c>
      <c r="B4" t="s">
        <v>128</v>
      </c>
      <c r="C4" s="43"/>
      <c r="F4" s="110"/>
      <c r="G4" s="43"/>
      <c r="K4" s="43"/>
      <c r="N4" s="110"/>
      <c r="O4" s="43"/>
      <c r="R4" s="110"/>
    </row>
    <row r="5" spans="1:18" x14ac:dyDescent="0.25">
      <c r="A5" s="43" t="s">
        <v>66</v>
      </c>
      <c r="B5" t="s">
        <v>129</v>
      </c>
      <c r="C5" s="43"/>
      <c r="F5" s="110"/>
      <c r="G5" s="43"/>
      <c r="K5" s="43"/>
      <c r="N5" s="110"/>
      <c r="O5" s="43"/>
      <c r="R5" s="110"/>
    </row>
    <row r="6" spans="1:18" x14ac:dyDescent="0.25">
      <c r="A6" s="43" t="s">
        <v>67</v>
      </c>
      <c r="B6" t="s">
        <v>130</v>
      </c>
      <c r="C6" s="43"/>
      <c r="F6" s="110"/>
      <c r="G6" s="43"/>
      <c r="K6" s="43"/>
      <c r="N6" s="110"/>
      <c r="O6" s="43"/>
      <c r="R6" s="110"/>
    </row>
    <row r="7" spans="1:18" x14ac:dyDescent="0.25">
      <c r="A7" s="43" t="s">
        <v>68</v>
      </c>
      <c r="B7" t="s">
        <v>131</v>
      </c>
      <c r="C7" s="43"/>
      <c r="F7" s="110"/>
      <c r="G7" s="43"/>
      <c r="K7" s="43"/>
      <c r="N7" s="110"/>
      <c r="O7" s="43"/>
      <c r="R7" s="110"/>
    </row>
    <row r="8" spans="1:18" x14ac:dyDescent="0.25">
      <c r="A8" s="43" t="s">
        <v>69</v>
      </c>
      <c r="B8" t="s">
        <v>132</v>
      </c>
      <c r="C8" s="43"/>
      <c r="F8" s="110"/>
      <c r="G8" s="43"/>
      <c r="K8" s="43"/>
      <c r="N8" s="110"/>
      <c r="O8" s="43"/>
      <c r="R8" s="110"/>
    </row>
    <row r="9" spans="1:18" x14ac:dyDescent="0.25">
      <c r="A9" s="43" t="s">
        <v>70</v>
      </c>
      <c r="B9" t="s">
        <v>133</v>
      </c>
      <c r="C9" s="43"/>
      <c r="F9" s="110"/>
      <c r="G9" s="43"/>
      <c r="K9" s="43"/>
      <c r="N9" s="110"/>
      <c r="O9" s="43"/>
      <c r="R9" s="110"/>
    </row>
    <row r="10" spans="1:18" x14ac:dyDescent="0.25">
      <c r="A10" s="43" t="s">
        <v>71</v>
      </c>
      <c r="B10" t="s">
        <v>134</v>
      </c>
      <c r="C10" s="43"/>
      <c r="F10" s="110"/>
      <c r="G10" s="43"/>
      <c r="K10" s="43"/>
      <c r="N10" s="110"/>
      <c r="O10" s="43"/>
      <c r="R10" s="110"/>
    </row>
    <row r="11" spans="1:18" x14ac:dyDescent="0.25">
      <c r="A11" s="43" t="s">
        <v>72</v>
      </c>
      <c r="B11" t="s">
        <v>135</v>
      </c>
      <c r="C11" s="43"/>
      <c r="F11" s="110"/>
      <c r="G11" s="43"/>
      <c r="K11" s="43"/>
      <c r="N11" s="110"/>
      <c r="O11" s="43"/>
      <c r="R11" s="110"/>
    </row>
    <row r="12" spans="1:18" s="106" customFormat="1" ht="15.75" thickBot="1" x14ac:dyDescent="0.3">
      <c r="A12" s="111" t="s">
        <v>73</v>
      </c>
      <c r="B12" s="106" t="s">
        <v>136</v>
      </c>
      <c r="C12" s="111"/>
      <c r="F12" s="112"/>
      <c r="G12" s="111"/>
      <c r="K12" s="111"/>
      <c r="N12" s="112"/>
      <c r="O12" s="111"/>
      <c r="R12" s="112"/>
    </row>
    <row r="13" spans="1:18" x14ac:dyDescent="0.25">
      <c r="A13" s="107" t="s">
        <v>74</v>
      </c>
      <c r="B13" s="108" t="s">
        <v>137</v>
      </c>
      <c r="C13" s="107"/>
      <c r="D13" s="108"/>
      <c r="E13" s="108"/>
      <c r="F13" s="109"/>
      <c r="G13" s="107"/>
      <c r="H13" s="108"/>
      <c r="I13" s="108"/>
      <c r="J13" s="108"/>
      <c r="K13" s="107"/>
      <c r="L13" s="108"/>
      <c r="M13" s="108"/>
      <c r="N13" s="109"/>
      <c r="O13" s="107"/>
      <c r="P13" s="108"/>
      <c r="Q13" s="108"/>
      <c r="R13" s="109"/>
    </row>
    <row r="14" spans="1:18" x14ac:dyDescent="0.25">
      <c r="A14" s="43" t="s">
        <v>75</v>
      </c>
      <c r="B14" t="s">
        <v>138</v>
      </c>
      <c r="C14" s="43"/>
      <c r="F14" s="110"/>
      <c r="G14" s="43"/>
      <c r="K14" s="43"/>
      <c r="N14" s="110"/>
      <c r="O14" s="43"/>
      <c r="R14" s="110"/>
    </row>
    <row r="15" spans="1:18" x14ac:dyDescent="0.25">
      <c r="A15" s="43" t="s">
        <v>76</v>
      </c>
      <c r="B15" t="s">
        <v>139</v>
      </c>
      <c r="C15" s="43"/>
      <c r="F15" s="110"/>
      <c r="G15" s="43"/>
      <c r="K15" s="43"/>
      <c r="N15" s="110"/>
      <c r="O15" s="43"/>
      <c r="R15" s="110"/>
    </row>
    <row r="16" spans="1:18" x14ac:dyDescent="0.25">
      <c r="A16" s="43" t="s">
        <v>77</v>
      </c>
      <c r="B16" t="s">
        <v>140</v>
      </c>
      <c r="C16" s="43"/>
      <c r="F16" s="110"/>
      <c r="G16" s="43"/>
      <c r="K16" s="43"/>
      <c r="N16" s="110"/>
      <c r="O16" s="43"/>
      <c r="R16" s="110"/>
    </row>
    <row r="17" spans="1:18" x14ac:dyDescent="0.25">
      <c r="A17" s="43" t="s">
        <v>78</v>
      </c>
      <c r="B17" t="s">
        <v>141</v>
      </c>
      <c r="C17" s="43"/>
      <c r="F17" s="110"/>
      <c r="G17" s="43"/>
      <c r="K17" s="43"/>
      <c r="N17" s="110"/>
      <c r="O17" s="43"/>
      <c r="R17" s="110"/>
    </row>
    <row r="18" spans="1:18" x14ac:dyDescent="0.25">
      <c r="A18" s="43"/>
      <c r="B18" t="s">
        <v>44</v>
      </c>
      <c r="C18" s="43"/>
      <c r="F18" s="110"/>
      <c r="G18" s="43"/>
      <c r="K18" s="43"/>
      <c r="N18" s="110"/>
      <c r="O18" s="43"/>
      <c r="R18" s="110"/>
    </row>
    <row r="19" spans="1:18" x14ac:dyDescent="0.25">
      <c r="A19" s="43" t="s">
        <v>79</v>
      </c>
      <c r="B19" t="s">
        <v>142</v>
      </c>
      <c r="C19" s="43"/>
      <c r="F19" s="110"/>
      <c r="G19" s="43"/>
      <c r="K19" s="43"/>
      <c r="N19" s="110"/>
      <c r="O19" s="43"/>
      <c r="R19" s="110"/>
    </row>
    <row r="20" spans="1:18" x14ac:dyDescent="0.25">
      <c r="A20" s="43" t="s">
        <v>80</v>
      </c>
      <c r="B20" t="s">
        <v>143</v>
      </c>
      <c r="C20" s="43"/>
      <c r="F20" s="110"/>
      <c r="G20" s="43"/>
      <c r="K20" s="43"/>
      <c r="N20" s="110"/>
      <c r="O20" s="43"/>
      <c r="R20" s="110"/>
    </row>
    <row r="21" spans="1:18" s="106" customFormat="1" ht="15.75" thickBot="1" x14ac:dyDescent="0.3">
      <c r="A21" s="111" t="s">
        <v>81</v>
      </c>
      <c r="B21" s="106" t="s">
        <v>144</v>
      </c>
      <c r="C21" s="111"/>
      <c r="F21" s="112"/>
      <c r="G21" s="111"/>
      <c r="K21" s="111"/>
      <c r="N21" s="112"/>
      <c r="O21" s="111"/>
      <c r="R21" s="112"/>
    </row>
    <row r="22" spans="1:18" x14ac:dyDescent="0.25">
      <c r="A22" s="107" t="s">
        <v>82</v>
      </c>
      <c r="B22" s="108" t="s">
        <v>145</v>
      </c>
      <c r="C22" s="107"/>
      <c r="D22" s="108"/>
      <c r="E22" s="108"/>
      <c r="F22" s="109"/>
      <c r="G22" s="107"/>
      <c r="H22" s="108"/>
      <c r="I22" s="108"/>
      <c r="J22" s="108"/>
      <c r="K22" s="107"/>
      <c r="L22" s="108"/>
      <c r="M22" s="108"/>
      <c r="N22" s="109"/>
      <c r="O22" s="107"/>
      <c r="P22" s="108"/>
      <c r="Q22" s="108"/>
      <c r="R22" s="109"/>
    </row>
    <row r="23" spans="1:18" x14ac:dyDescent="0.25">
      <c r="A23" s="43" t="s">
        <v>83</v>
      </c>
      <c r="B23" t="s">
        <v>146</v>
      </c>
      <c r="C23" s="43"/>
      <c r="F23" s="110"/>
      <c r="G23" s="43"/>
      <c r="K23" s="43"/>
      <c r="N23" s="110"/>
      <c r="O23" s="43"/>
      <c r="R23" s="110"/>
    </row>
    <row r="24" spans="1:18" x14ac:dyDescent="0.25">
      <c r="A24" s="43" t="s">
        <v>84</v>
      </c>
      <c r="B24" t="s">
        <v>147</v>
      </c>
      <c r="C24" s="43"/>
      <c r="F24" s="110"/>
      <c r="G24" s="43"/>
      <c r="K24" s="43"/>
      <c r="N24" s="110"/>
      <c r="O24" s="43"/>
      <c r="R24" s="110"/>
    </row>
    <row r="25" spans="1:18" s="106" customFormat="1" ht="15.75" thickBot="1" x14ac:dyDescent="0.3">
      <c r="A25" s="111" t="s">
        <v>85</v>
      </c>
      <c r="B25" s="106" t="s">
        <v>148</v>
      </c>
      <c r="C25" s="111"/>
      <c r="F25" s="112"/>
      <c r="G25" s="111"/>
      <c r="K25" s="111"/>
      <c r="N25" s="112"/>
      <c r="O25" s="111"/>
      <c r="R25" s="112"/>
    </row>
    <row r="26" spans="1:18" x14ac:dyDescent="0.25">
      <c r="A26" s="107" t="s">
        <v>86</v>
      </c>
      <c r="B26" s="108" t="s">
        <v>149</v>
      </c>
      <c r="C26" s="107"/>
      <c r="D26" s="108"/>
      <c r="E26" s="108"/>
      <c r="F26" s="109"/>
      <c r="G26" s="107"/>
      <c r="H26" s="108"/>
      <c r="I26" s="108"/>
      <c r="J26" s="108"/>
      <c r="K26" s="107"/>
      <c r="L26" s="108"/>
      <c r="M26" s="108"/>
      <c r="N26" s="109"/>
      <c r="O26" s="107"/>
      <c r="P26" s="108"/>
      <c r="Q26" s="108"/>
      <c r="R26" s="109"/>
    </row>
    <row r="27" spans="1:18" ht="15.75" thickBot="1" x14ac:dyDescent="0.3">
      <c r="A27" s="43" t="s">
        <v>87</v>
      </c>
      <c r="B27" t="s">
        <v>150</v>
      </c>
      <c r="C27" s="43"/>
      <c r="F27" s="110"/>
      <c r="G27" s="111"/>
      <c r="H27" s="106"/>
      <c r="I27" s="106"/>
      <c r="J27" s="106"/>
      <c r="K27" s="43"/>
      <c r="N27" s="110"/>
      <c r="O27" s="43"/>
      <c r="R27" s="110"/>
    </row>
    <row r="28" spans="1:18" s="106" customFormat="1" ht="15.75" thickBot="1" x14ac:dyDescent="0.3">
      <c r="A28" s="111" t="s">
        <v>88</v>
      </c>
      <c r="B28" s="106" t="s">
        <v>151</v>
      </c>
      <c r="C28" s="111"/>
      <c r="F28" s="112"/>
      <c r="K28" s="111"/>
      <c r="N28" s="112"/>
      <c r="O28" s="111"/>
      <c r="R28" s="11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b2bc4a-8c05-4ac9-8444-39aa43079f4e" xsi:nil="true"/>
    <lcf76f155ced4ddcb4097134ff3c332f xmlns="e8c9f281-3412-4e7c-aa99-f11e77b298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361FC52636644AF018940F5BBAE47" ma:contentTypeVersion="16" ma:contentTypeDescription="Create a new document." ma:contentTypeScope="" ma:versionID="a0e4778441a68b52bfb4825cf402616b">
  <xsd:schema xmlns:xsd="http://www.w3.org/2001/XMLSchema" xmlns:xs="http://www.w3.org/2001/XMLSchema" xmlns:p="http://schemas.microsoft.com/office/2006/metadata/properties" xmlns:ns2="e8c9f281-3412-4e7c-aa99-f11e77b29808" xmlns:ns3="12b2bc4a-8c05-4ac9-8444-39aa43079f4e" targetNamespace="http://schemas.microsoft.com/office/2006/metadata/properties" ma:root="true" ma:fieldsID="9afa15085c38b3f0867a3e015a8378a1" ns2:_="" ns3:_="">
    <xsd:import namespace="e8c9f281-3412-4e7c-aa99-f11e77b29808"/>
    <xsd:import namespace="12b2bc4a-8c05-4ac9-8444-39aa43079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9f281-3412-4e7c-aa99-f11e77b29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2bc4a-8c05-4ac9-8444-39aa43079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c757e8-f5ca-42fb-966e-1bf4dd28d8b4}" ma:internalName="TaxCatchAll" ma:showField="CatchAllData" ma:web="12b2bc4a-8c05-4ac9-8444-39aa43079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ACF1B4-C812-420A-AE74-38BD5F444398}">
  <ds:schemaRefs>
    <ds:schemaRef ds:uri="http://schemas.microsoft.com/office/2006/metadata/properties"/>
    <ds:schemaRef ds:uri="http://schemas.microsoft.com/office/infopath/2007/PartnerControls"/>
    <ds:schemaRef ds:uri="12b2bc4a-8c05-4ac9-8444-39aa43079f4e"/>
    <ds:schemaRef ds:uri="e8c9f281-3412-4e7c-aa99-f11e77b29808"/>
  </ds:schemaRefs>
</ds:datastoreItem>
</file>

<file path=customXml/itemProps2.xml><?xml version="1.0" encoding="utf-8"?>
<ds:datastoreItem xmlns:ds="http://schemas.openxmlformats.org/officeDocument/2006/customXml" ds:itemID="{CD779B43-9003-47AD-91D8-F24602530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123DD-2F23-464E-BC27-D47F11D85E8B}"/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Information</vt:lpstr>
      <vt:lpstr>Macroinvertebrates</vt:lpstr>
      <vt:lpstr>Zooplankton</vt:lpstr>
      <vt:lpstr>Phytoplankton</vt:lpstr>
      <vt:lpstr>Periphyton</vt:lpstr>
      <vt:lpstr>raw data rev best</vt:lpstr>
      <vt:lpstr>raw data rev top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OConnor, Isabel</cp:lastModifiedBy>
  <cp:revision/>
  <dcterms:created xsi:type="dcterms:W3CDTF">2022-02-02T18:59:30Z</dcterms:created>
  <dcterms:modified xsi:type="dcterms:W3CDTF">2025-01-09T10:46:53Z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0x01010065A361FC52636644AF018940F5BBAE47</vt:lpwstr>
  </property>
  <property fmtid="{D5CDD505-2E9C-101B-9397-08002B2CF9AE}" pid="3" name="MediaServiceImageTags">
    <vt:lpwstr/>
  </property>
</Properties>
</file>